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sheet" sheetId="1" r:id="rId5"/>
    <sheet state="visible" name="Positive Leads" sheetId="2" r:id="rId6"/>
    <sheet state="visible" name="Entrepreneurship Unicorns (Sany" sheetId="3" r:id="rId7"/>
    <sheet state="visible" name="Entrepreneurship Soonicorn (Sum" sheetId="4" r:id="rId8"/>
    <sheet state="visible" name="Corporate (Ashish, Tanmay, Arus" sheetId="5" r:id="rId9"/>
    <sheet state="visible" name="Product (Yash Agrawal, Yash Gup" sheetId="6" r:id="rId10"/>
    <sheet state="visible" name="Influencers (Yash Gupta, Yash A" sheetId="7" r:id="rId11"/>
    <sheet state="visible" name="Technology (Kamlesh, Ehina)" sheetId="8" r:id="rId12"/>
    <sheet state="visible" name="SnS (Yash Agrawal, Kamlesh)" sheetId="9" r:id="rId13"/>
    <sheet state="visible" name="Finance(Soumili, Hitankar)" sheetId="10" r:id="rId14"/>
    <sheet state="visible" name="Marketing (Ashish)" sheetId="11" r:id="rId15"/>
  </sheets>
  <definedNames/>
  <calcPr/>
</workbook>
</file>

<file path=xl/sharedStrings.xml><?xml version="1.0" encoding="utf-8"?>
<sst xmlns="http://schemas.openxmlformats.org/spreadsheetml/2006/main" count="12576" uniqueCount="9008">
  <si>
    <t xml:space="preserve">Company name </t>
  </si>
  <si>
    <t>AM Name</t>
  </si>
  <si>
    <t>Name</t>
  </si>
  <si>
    <t>Associate - Human Resources at Eruditus Executive Education || HR Operations</t>
  </si>
  <si>
    <t>Designation</t>
  </si>
  <si>
    <t>Linkedin ID</t>
  </si>
  <si>
    <t>Contact No.</t>
  </si>
  <si>
    <t>Email</t>
  </si>
  <si>
    <t>Email 1</t>
  </si>
  <si>
    <t>Email 2</t>
  </si>
  <si>
    <t>Email 3</t>
  </si>
  <si>
    <t>Remarks (4-12-25)</t>
  </si>
  <si>
    <t>Soonicorn</t>
  </si>
  <si>
    <t>Zomato</t>
  </si>
  <si>
    <t>Deepinder</t>
  </si>
  <si>
    <t xml:space="preserve">Founder &amp; CEO </t>
  </si>
  <si>
    <t>https://www.linkedin.com/in/deepigoyal/</t>
  </si>
  <si>
    <t>Yash Agrawal</t>
  </si>
  <si>
    <t>upGrad</t>
  </si>
  <si>
    <t>Deepesh Dhakad</t>
  </si>
  <si>
    <t>Chief Product and Technology Officer</t>
  </si>
  <si>
    <t>https://www.linkedin.com/in/deepeshdhakad/</t>
  </si>
  <si>
    <t>deepinder@eternal.com</t>
  </si>
  <si>
    <t>89719 99433</t>
  </si>
  <si>
    <t>deepesh.dhakad@upgrad.com</t>
  </si>
  <si>
    <t>deepeshdhakad@gmail.com</t>
  </si>
  <si>
    <t xml:space="preserve"> TMRW House of Brands</t>
  </si>
  <si>
    <t>asked for details of the event and the logistics and brochure, sent it, asked him for a keynote or workshop session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</si>
  <si>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Daminee Sawhney</t>
    </r>
  </si>
  <si>
    <t xml:space="preserve">Prashanth Aluru </t>
  </si>
  <si>
    <t>CEO &amp; Co-Founder</t>
  </si>
  <si>
    <t>https://www.linkedin.com/in/prashanthaluru/?originalSubdomain=in</t>
  </si>
  <si>
    <t>cos</t>
  </si>
  <si>
    <t>daminee@zomato.com</t>
  </si>
  <si>
    <r>
      <rPr>
        <color rgb="FF000000"/>
        <sz val="11.0"/>
      </rPr>
      <t>Eclypse</t>
    </r>
  </si>
  <si>
    <t xml:space="preserve">swiggy </t>
  </si>
  <si>
    <t>Nandan Reddy</t>
  </si>
  <si>
    <t>Co-founder &amp; Director</t>
  </si>
  <si>
    <t>https://www.linkedin.com/in/nandan-reddy-1830659/</t>
  </si>
  <si>
    <t>Garimella Pavan Teja</t>
  </si>
  <si>
    <t>CPO</t>
  </si>
  <si>
    <t>https://www.linkedin.com/in/garimellapavanteja/</t>
  </si>
  <si>
    <t>nandan@swiggy.in
nandanreddy17@gmail.com</t>
  </si>
  <si>
    <t>prashanthaluru@gmail.com</t>
  </si>
  <si>
    <t>studypavanteja@gmail.com</t>
  </si>
  <si>
    <t>Swiggy</t>
  </si>
  <si>
    <t>asked to mail on a different mail, mailed it, alloted panel</t>
  </si>
  <si>
    <t>Sriharsha Majety</t>
  </si>
  <si>
    <t xml:space="preserve">asked to call past 5pm, Fixed for Panel Discussion </t>
  </si>
  <si>
    <t>https://www.linkedin.com/in/sriharsha-m-563aa217/?utm_source=chatgpt%2Ecom&amp;original_referer=https%3A%2F%2Fchatgpt%2Ecom%2F&amp;originalSubdomain=in</t>
  </si>
  <si>
    <t>Veena B</t>
  </si>
  <si>
    <t>Executive Assistant</t>
  </si>
  <si>
    <t>https://www.linkedin.com/in/veena-b-90408593/?originalSubdomain=in</t>
  </si>
  <si>
    <t>Moglix</t>
  </si>
  <si>
    <t>harsha@swiggy.in</t>
  </si>
  <si>
    <t>Deepak Agarwal</t>
  </si>
  <si>
    <t>Senior Director of Products</t>
  </si>
  <si>
    <t>https://www.linkedin.com/in/mdideepak/</t>
  </si>
  <si>
    <t>veeruban@gmail.com</t>
  </si>
  <si>
    <t>mdi.deepak@gmail.com, deepak.agarwal@moglix.com</t>
  </si>
  <si>
    <t>girish menon</t>
  </si>
  <si>
    <t>head hr</t>
  </si>
  <si>
    <t>not available offline, asked for an online session</t>
  </si>
  <si>
    <t>girish.menon@swiggy.in</t>
  </si>
  <si>
    <t>Florencia Quinteros</t>
  </si>
  <si>
    <t xml:space="preserve">Chief of Staff </t>
  </si>
  <si>
    <t>https://www.linkedin.com/in/florenciaquinteros/?originalSubdomain=au</t>
  </si>
  <si>
    <t>OYO</t>
  </si>
  <si>
    <t>Ritesh Agarwal</t>
  </si>
  <si>
    <t>https://www.linkedin.com/in/riteshagar/?utm_source=chatgpt%2Ecom&amp;originalSubdomain=in</t>
  </si>
  <si>
    <t>cult.sport</t>
  </si>
  <si>
    <t>Aditi Agrawal</t>
  </si>
  <si>
    <t>Head of Product</t>
  </si>
  <si>
    <t>https://www.linkedin.com/in/aditiagr/</t>
  </si>
  <si>
    <t>59898301049
+61292916290
+61292210872</t>
  </si>
  <si>
    <t xml:space="preserve"> 51078 97132 / +91 70530 70530</t>
  </si>
  <si>
    <t>quinterosflorencia@gmail.com</t>
  </si>
  <si>
    <t>ritesh@oyorooms.com</t>
  </si>
  <si>
    <t>95602 19045</t>
  </si>
  <si>
    <t>aditi.agrawal@curefit.com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</si>
  <si>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Dinesh Ramamurthi</t>
    </r>
  </si>
  <si>
    <t>asked on what is expected of her, alloted keynote/workshop</t>
  </si>
  <si>
    <t>asked to call post 6pm, Fixed for Keynote Session</t>
  </si>
  <si>
    <t>chro</t>
  </si>
  <si>
    <t>dineshr06@gmail.com</t>
  </si>
  <si>
    <t xml:space="preserve">The Sleep Company </t>
  </si>
  <si>
    <t xml:space="preserve">Harshil Salot </t>
  </si>
  <si>
    <t>Co founder</t>
  </si>
  <si>
    <t>https://www.linkedin.com/in/harshil-salot-7421a16/?originalSubdomain=in</t>
  </si>
  <si>
    <t>Accredian</t>
  </si>
  <si>
    <t>Suchit Majumdar</t>
  </si>
  <si>
    <t>Snapdeal</t>
  </si>
  <si>
    <t>Kunal Bahl</t>
  </si>
  <si>
    <t>Co-Founder</t>
  </si>
  <si>
    <t>https://www.linkedin.com/in/kunalbahl/?utm_source=chatgpt%2Ecom&amp;originalSubdomain=in</t>
  </si>
  <si>
    <t>https://www.linkedin.com/in/suchitmajumdar/</t>
  </si>
  <si>
    <t>kb@acevector.com</t>
  </si>
  <si>
    <t>harshilsalot@gmail.com</t>
  </si>
  <si>
    <t>96206 30714</t>
  </si>
  <si>
    <t>suchit@accredian.com</t>
  </si>
  <si>
    <t>sm3.friendz@gmail.com</t>
  </si>
  <si>
    <t>suchit.majumdar@gmail.com</t>
  </si>
  <si>
    <t>asked for details, sent it, alloted panel, asked for a google meet for tomorrow</t>
  </si>
  <si>
    <t>asked to get on a call at 3pm, fixed for panel discussion</t>
  </si>
  <si>
    <t>Boat Lifestyle</t>
  </si>
  <si>
    <t xml:space="preserve">Sameer Mehta </t>
  </si>
  <si>
    <t>https://www.linkedin.com/in/sameer-mehta-16233318/</t>
  </si>
  <si>
    <t xml:space="preserve">Priyanka Salot </t>
  </si>
  <si>
    <t>https://www.linkedin.com/in/priyanka-salot-3ba9617/?originalSubdomain=in</t>
  </si>
  <si>
    <t>sameer.mehta@imaginemarketingindia.com</t>
  </si>
  <si>
    <t>Zoho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</si>
  <si>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Alan Francis</t>
    </r>
  </si>
  <si>
    <t>priyankaiimc@gmail.com</t>
  </si>
  <si>
    <t>jyosmita chintey</t>
  </si>
  <si>
    <t xml:space="preserve">jyosmita.chintey@imaginemarketingindia.com
joeychintey@gmail.com
</t>
  </si>
  <si>
    <t>https://www.linkedin.com/in/alanfraneo/</t>
  </si>
  <si>
    <t xml:space="preserve">Pinky Poojary </t>
  </si>
  <si>
    <t xml:space="preserve">Executive Assistant </t>
  </si>
  <si>
    <t>https://www.linkedin.com/in/pinky-poojary/?originalSubdomain=in</t>
  </si>
  <si>
    <t>Paytm Payments Bank</t>
  </si>
  <si>
    <t>913326006305, +91.92592.49500</t>
  </si>
  <si>
    <t xml:space="preserve">Vijay Shekhar Sharma </t>
  </si>
  <si>
    <t>alan.francis@zohocorp.com</t>
  </si>
  <si>
    <t>https://www.linkedin.com/in/vijayshekhar/</t>
  </si>
  <si>
    <t>pinkypujari30@gmail.com</t>
  </si>
  <si>
    <t>sharma6.vijay@paytm.com</t>
  </si>
  <si>
    <t>Perfios</t>
  </si>
  <si>
    <t>Brahma Dev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</si>
  <si>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Krishna Chaitanya B</t>
    </r>
  </si>
  <si>
    <t>https://www.linkedin.com/in/brahma-dev-b28a8b360/?originalSubdomain=in</t>
  </si>
  <si>
    <t>https://www.linkedin.com/in/bkrishnachaitanyafintech/</t>
  </si>
  <si>
    <t>dev@thesleepcompany.in</t>
  </si>
  <si>
    <t>BharatPe</t>
  </si>
  <si>
    <t xml:space="preserve">Ashneer Grover </t>
  </si>
  <si>
    <t xml:space="preserve">Co-Founder &amp; MD </t>
  </si>
  <si>
    <t>https://www.linkedin.com/in/ashneer/</t>
  </si>
  <si>
    <t>917893993849, +91.98860.39444</t>
  </si>
  <si>
    <t>krishna.chaitanya@perfios.com</t>
  </si>
  <si>
    <t>said he is not an entrepreneur, convincing him for a fireside chat</t>
  </si>
  <si>
    <t>ashneergrover@gmail.com</t>
  </si>
  <si>
    <t xml:space="preserve">Bhavik Koladiya </t>
  </si>
  <si>
    <t>https://linkedin.com/in/koladiya/</t>
  </si>
  <si>
    <t>Inmobi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</si>
  <si>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Chandrashekhar Vattikuti</t>
    </r>
  </si>
  <si>
    <t>FinBox</t>
  </si>
  <si>
    <t>Rajat Deshpande</t>
  </si>
  <si>
    <t>bhavik@otpless.com</t>
  </si>
  <si>
    <t>CEO</t>
  </si>
  <si>
    <t>https://www.linkedin.com/in/rajatdeshpande/</t>
  </si>
  <si>
    <t>SVP Product</t>
  </si>
  <si>
    <t>https://www.linkedin.com/in/vattikuti/</t>
  </si>
  <si>
    <t xml:space="preserve">Shashvat Nakrani </t>
  </si>
  <si>
    <t>Founder &amp; COO</t>
  </si>
  <si>
    <t>https://www.linkedin.com/in/shashvat-nakrani/</t>
  </si>
  <si>
    <t>91 91673 38183</t>
  </si>
  <si>
    <t>rajatdeshpande@gmail.com</t>
  </si>
  <si>
    <t>shashvat@bharatpe.com</t>
  </si>
  <si>
    <t>chandra.vattikuti@gmail.com</t>
  </si>
  <si>
    <t>chandra.vattikuti@yahoo.com</t>
  </si>
  <si>
    <t>chandrashekhar.vattikuti@inmobi.com</t>
  </si>
  <si>
    <t>had a positive reply, replied with more details</t>
  </si>
  <si>
    <t xml:space="preserve">Srijan Nagar </t>
  </si>
  <si>
    <t>https://www.linkedin.com/in/srijannagar/</t>
  </si>
  <si>
    <t>Ranjan Agarwal</t>
  </si>
  <si>
    <t>ranjanagrwal@gmail.com
ranjanagrawal@rocketmail.com
ranjan.agrawal@bharatpe.com</t>
  </si>
  <si>
    <t>HealthifyMe</t>
  </si>
  <si>
    <t>srijannagar@gmail.com</t>
  </si>
  <si>
    <t>Anjan Umamaheswaran B</t>
  </si>
  <si>
    <t xml:space="preserve">Ex-CBO, CPO </t>
  </si>
  <si>
    <t>https://www.linkedin.com/in/anjan-umamaheswaran-b-76b871124/</t>
  </si>
  <si>
    <t xml:space="preserve">Anant Deshpande </t>
  </si>
  <si>
    <t xml:space="preserve">ShipRocket </t>
  </si>
  <si>
    <t>Co-founder</t>
  </si>
  <si>
    <t xml:space="preserve">Vishesh Khurana </t>
  </si>
  <si>
    <t>https://www.linkedin.com/in/deshpandeanant/</t>
  </si>
  <si>
    <t xml:space="preserve">Co-Founder </t>
  </si>
  <si>
    <t>https://www.linkedin.com/in/visheshkhurana/</t>
  </si>
  <si>
    <t>anjan@curiouscats.ai</t>
  </si>
  <si>
    <t>anj2bbb@gmail.com</t>
  </si>
  <si>
    <t>vishesh@shiprocket.in</t>
  </si>
  <si>
    <t>positive reply, asked for the main date of the event, 31st, alloted panel</t>
  </si>
  <si>
    <t>anantdeshpande@gmail.com</t>
  </si>
  <si>
    <t>Saumya Khati</t>
  </si>
  <si>
    <t>Scripbox</t>
  </si>
  <si>
    <t xml:space="preserve">saumyakhati@gmail.com
saumyakhati@yahoo.com
</t>
  </si>
  <si>
    <t>Krithika Muthukrishnan</t>
  </si>
  <si>
    <t xml:space="preserve">Nikhil Bhawsinka </t>
  </si>
  <si>
    <t>Chief Product &amp; AI Officer</t>
  </si>
  <si>
    <t>https://www.linkedin.com/in/krithikamuthukrishnan/</t>
  </si>
  <si>
    <t>https://www.linkedin.com/in/nikhil-bhawsinka/?originalSubdomain=in</t>
  </si>
  <si>
    <t>Paisabazaar</t>
  </si>
  <si>
    <t>Naveen Kukreja</t>
  </si>
  <si>
    <t>Co-Founder &amp; CEO</t>
  </si>
  <si>
    <t>https://www.linkedin.com/in/naveen-kukreja-b333013/</t>
  </si>
  <si>
    <t>krithika.muthukrishnan@scripbox.com</t>
  </si>
  <si>
    <t>krithika.muthukrishnan@fmr.com</t>
  </si>
  <si>
    <t>kmuthukrishnan@gmail.com</t>
  </si>
  <si>
    <t>Alloted panel, will call after 5:30pm, dnp</t>
  </si>
  <si>
    <t>naveen@paisabazaar.com</t>
  </si>
  <si>
    <t>nbhawsinka@gmail.com</t>
  </si>
  <si>
    <t>CoinDCX</t>
  </si>
  <si>
    <t xml:space="preserve">Foram Buch 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</si>
  <si>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Sangeeth Aloysius</t>
    </r>
  </si>
  <si>
    <t>Cars24</t>
  </si>
  <si>
    <t>Head of HR</t>
  </si>
  <si>
    <t>Mehul Agrawal</t>
  </si>
  <si>
    <t>Co-Founder and COO</t>
  </si>
  <si>
    <t>https://www.linkedin.com/in/foram-buch-4ba726184/?originalSubdomain=in</t>
  </si>
  <si>
    <t>https://www.linkedin.com/in/mehul-agrawal-75123514/?originalSubdomain=in</t>
  </si>
  <si>
    <t>https://www.linkedin.com/in/sangeeth-aloysius-484916a/</t>
  </si>
  <si>
    <t>mehul@cars24.com</t>
  </si>
  <si>
    <t>foram.buch@finbox.in</t>
  </si>
  <si>
    <t>sangeeth.aloysius@coindcx.com</t>
  </si>
  <si>
    <t>sangeeth.aloysius@gmail.com</t>
  </si>
  <si>
    <t>Vikas S.</t>
  </si>
  <si>
    <t>Asked for details, and what is expected of him, alloted panel discussion</t>
  </si>
  <si>
    <t>Director/chief of staff</t>
  </si>
  <si>
    <t>Asked to call on 10th dec 9:30am</t>
  </si>
  <si>
    <t>https://www.linkedin.com/in/vikas-s-774245130/</t>
  </si>
  <si>
    <t>solanki.vikas14@gmail.com</t>
  </si>
  <si>
    <t>AppsForBharat</t>
  </si>
  <si>
    <t>Fractal</t>
  </si>
  <si>
    <t>Prashant Sachan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</si>
  <si>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Himanshu Nautiyal</t>
    </r>
  </si>
  <si>
    <t>Founder and CEO</t>
  </si>
  <si>
    <t>https://www.linkedin.com/in/prashantsachan/?originalSubdomain=in</t>
  </si>
  <si>
    <t>Urban Company</t>
  </si>
  <si>
    <t>Abhiraj Singh Bhal</t>
  </si>
  <si>
    <t>https://www.linkedin.com/in/abhirajbhal/?originalSubdomain=in</t>
  </si>
  <si>
    <t>https://www.linkedin.com/in/himanshunautiyal/</t>
  </si>
  <si>
    <t>abhirajbhal@urbancompany.com abhirajsinghbhal@gmail.com</t>
  </si>
  <si>
    <t>prashant1877@gmail.com</t>
  </si>
  <si>
    <t>Raghav Chandra</t>
  </si>
  <si>
    <t>https://www.linkedin.com/in/raghavchandra/</t>
  </si>
  <si>
    <t>himanshu.nautiyal@fractal.ai</t>
  </si>
  <si>
    <t>hnautiyal@gmail.com</t>
  </si>
  <si>
    <t xml:space="preserve">Hiran Kumar </t>
  </si>
  <si>
    <t>Founder</t>
  </si>
  <si>
    <t>Could not make it to GES, Pitched online, said that he will be travelling too much so refused to join</t>
  </si>
  <si>
    <t>https://www.linkedin.com/in/hirankumarg/?originalSubdomain=in</t>
  </si>
  <si>
    <t>raghavchandra@urbanclap.com</t>
  </si>
  <si>
    <t>Zumutor Biologics</t>
  </si>
  <si>
    <t>Kavitha Iyer Rodrigues</t>
  </si>
  <si>
    <t>hirankumar226@gmail.com</t>
  </si>
  <si>
    <t>neha mathur</t>
  </si>
  <si>
    <t>Founder | CEO</t>
  </si>
  <si>
    <t>https://www.linkedin.com/in/kavitha-iyer-rodrigues-8b8b29b/?originalSubdomain=in</t>
  </si>
  <si>
    <t>nehamathur@urbancompany.com</t>
  </si>
  <si>
    <t xml:space="preserve">Neha Singh </t>
  </si>
  <si>
    <t>https://www.linkedin.com/in/neha-singh-7260977a/?originalSubdomain=in</t>
  </si>
  <si>
    <t>Spinny</t>
  </si>
  <si>
    <t>Niraj Singh</t>
  </si>
  <si>
    <t>kavithaiyer.rodrigues@zumutor.com</t>
  </si>
  <si>
    <t>Founder &amp; CEO</t>
  </si>
  <si>
    <t>https://www.linkedin.com/in/niraj-singh-67159715/</t>
  </si>
  <si>
    <t>Asked for stay and travel allowance</t>
  </si>
  <si>
    <t>neha_singh@intuit.com</t>
  </si>
  <si>
    <t>niraj.singh@spinny.com</t>
  </si>
  <si>
    <t>Yash Gupta</t>
  </si>
  <si>
    <t>Freight Tiger</t>
  </si>
  <si>
    <t>Rajesh Sudhakaran</t>
  </si>
  <si>
    <t>Ramanshu Mahaur</t>
  </si>
  <si>
    <t>VP of Product</t>
  </si>
  <si>
    <t xml:space="preserve">Founder &amp; CTO </t>
  </si>
  <si>
    <t>https://www.linkedin.com/in/ramanshu-mahaur-76678053/</t>
  </si>
  <si>
    <t>https://www.linkedin.com/in/rajesh-sudhakaran-7823a029/</t>
  </si>
  <si>
    <t xml:space="preserve">                                                                          9180102 46046</t>
  </si>
  <si>
    <t>ramanshu@spinny.com</t>
  </si>
  <si>
    <t xml:space="preserve"> Raphe mPhibr</t>
  </si>
  <si>
    <t xml:space="preserve">Vivek Mishra </t>
  </si>
  <si>
    <t>https://www.linkedin.com/in/vmishra9/?originalSubdomain=in</t>
  </si>
  <si>
    <t>rajesh.s@freighttiger.com</t>
  </si>
  <si>
    <t>Asked for more detals</t>
  </si>
  <si>
    <t>Isprava &amp; Lohono Stays</t>
  </si>
  <si>
    <t>Mithil Srivastav</t>
  </si>
  <si>
    <t>VP- Product</t>
  </si>
  <si>
    <t>https://www.linkedin.com/in/mithilsrivastav/</t>
  </si>
  <si>
    <t>vkmmanit@gmail.com</t>
  </si>
  <si>
    <t>Shweta Singh</t>
  </si>
  <si>
    <t xml:space="preserve">Head of people and Customer Experience </t>
  </si>
  <si>
    <t>https://www.linkedin.com/in/shweta-singh-a204aa1/</t>
  </si>
  <si>
    <t>98508 32078</t>
  </si>
  <si>
    <t>Nitin Katiyar</t>
  </si>
  <si>
    <t>https://www.linkedin.com/in/nitin-katiyar-01615818/</t>
  </si>
  <si>
    <t>shweta.singh@spinny.com</t>
  </si>
  <si>
    <t>mithil.srivastav@lohono.com</t>
  </si>
  <si>
    <t>Confirmed the date</t>
  </si>
  <si>
    <t>rite2shweta@gmail.com</t>
  </si>
  <si>
    <t>shwsingh85@gmail.com</t>
  </si>
  <si>
    <t>PushBowl</t>
  </si>
  <si>
    <t>Puru Govind</t>
  </si>
  <si>
    <t>CEO, ex-CPO Exotel</t>
  </si>
  <si>
    <t>https://www.linkedin.com/in/purugovind/</t>
  </si>
  <si>
    <t>MobiKwik</t>
  </si>
  <si>
    <t>Bipin Preet Singh</t>
  </si>
  <si>
    <t>109nik@gmail.com</t>
  </si>
  <si>
    <t>https://www.linkedin.com/in/bipinpreetsingh/</t>
  </si>
  <si>
    <t>puru.govind@gmail.com</t>
  </si>
  <si>
    <t xml:space="preserve"> 78386 93548</t>
  </si>
  <si>
    <t>bipinpsingh@gmail.com bipin@mobikwik.com</t>
  </si>
  <si>
    <t>Ananya Sharrma</t>
  </si>
  <si>
    <t>https://www.linkedin.com/in/ananya-sharrma-22b73914a/?originalSubdomain=in</t>
  </si>
  <si>
    <t>IKSA.ai</t>
  </si>
  <si>
    <t>Mobikwik</t>
  </si>
  <si>
    <t>Upasana Taku</t>
  </si>
  <si>
    <t>Co-Founder &amp; CFO</t>
  </si>
  <si>
    <t>https://www.linkedin.com/in/upasana/</t>
  </si>
  <si>
    <t>Thobith Abraham</t>
  </si>
  <si>
    <t>https://www.linkedin.com/in/thobithabraham/</t>
  </si>
  <si>
    <t>ananyas2311@gmail.com</t>
  </si>
  <si>
    <t xml:space="preserve"> 92390 89912</t>
  </si>
  <si>
    <t>upasanataku@gmail.com upasana@mobikwik.com</t>
  </si>
  <si>
    <t>thobithabraham@gmail.com</t>
  </si>
  <si>
    <t>swati.singh</t>
  </si>
  <si>
    <t>swati.singh@mobikwik.com</t>
  </si>
  <si>
    <t>Battery Smart</t>
  </si>
  <si>
    <t xml:space="preserve"> Recyclekaro</t>
  </si>
  <si>
    <t>Vaibhav Sambre</t>
  </si>
  <si>
    <t xml:space="preserve">Prassann Daphal </t>
  </si>
  <si>
    <t>VP Product</t>
  </si>
  <si>
    <t>https://www.linkedin.com/in/vaibhav-sambre/</t>
  </si>
  <si>
    <t>https://www.linkedin.com/in/prassann-daphal-a2a08127/?originalSubdomain=in</t>
  </si>
  <si>
    <t>Blinkit</t>
  </si>
  <si>
    <t>Albinder Dhindsa</t>
  </si>
  <si>
    <t>https://www.linkedin.com/in/adhindsa/?originalSubdomain=in</t>
  </si>
  <si>
    <t>vaibhav.sambre@batterysmart.in</t>
  </si>
  <si>
    <t xml:space="preserve"> 99992 36508</t>
  </si>
  <si>
    <t>albinder@grofers.com</t>
  </si>
  <si>
    <t>prassanndaphal@gmail.com</t>
  </si>
  <si>
    <t>FarEye</t>
  </si>
  <si>
    <t>Gaurav Srivastava</t>
  </si>
  <si>
    <t xml:space="preserve">CPTO </t>
  </si>
  <si>
    <t xml:space="preserve">Saurabh Kumar
 </t>
  </si>
  <si>
    <t>https://www.linkedin.com/in/gaurav-srivastava-9a67ba1b/</t>
  </si>
  <si>
    <t xml:space="preserve">
saurabh.kumar@blinkit.com
Work
content_copy
thumb_up
thumb_down
error
saurabh@warpli.com
Work
content_copy
thumb_up
thumb_down
verified
saurabhksingh@gmail.co</t>
  </si>
  <si>
    <t>Rajesh Gupta</t>
  </si>
  <si>
    <t>https://www.linkedin.com/in/rajesh-gupta-recyclekaro/</t>
  </si>
  <si>
    <t>gaurav.srivastava@getfareye.com</t>
  </si>
  <si>
    <t>Asked for details</t>
  </si>
  <si>
    <t>Ofbusiness</t>
  </si>
  <si>
    <t>Said 1feb</t>
  </si>
  <si>
    <t>Asish Mohapatra</t>
  </si>
  <si>
    <t>https://www.linkedin.com/in/asish-mohapatra-22685a28/</t>
  </si>
  <si>
    <t>rajesh@recyclekaro.com</t>
  </si>
  <si>
    <t>asishmohapatra@gmail.com asish.mohapatra@ofbusiness.com</t>
  </si>
  <si>
    <t>HomeLane</t>
  </si>
  <si>
    <t>Abhishek Gupta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</si>
  <si>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VP / Head of Product &amp; Technology</t>
    </r>
  </si>
  <si>
    <t>Vinod Lokhande</t>
  </si>
  <si>
    <t>Executive</t>
  </si>
  <si>
    <t>https://www.linkedin.com/in/vinod-lokhande-282991307/?originalSubdomain=in</t>
  </si>
  <si>
    <t>Nitin Jain</t>
  </si>
  <si>
    <t>Co-Founder &amp; CBO</t>
  </si>
  <si>
    <t>https://www.linkedin.com/in/nitin-jain-17b82310/</t>
  </si>
  <si>
    <t>nitin@oagrifarm.com</t>
  </si>
  <si>
    <t>https://www.linkedin.com/in/abhishekguptas/</t>
  </si>
  <si>
    <t>vinod@recyclekaro.com</t>
  </si>
  <si>
    <t>Ruchi Kalra</t>
  </si>
  <si>
    <t>imabhishekgupta@gmail.com</t>
  </si>
  <si>
    <t>Will love to join, asked for next steps</t>
  </si>
  <si>
    <t>https://www.linkedin.com/in/ruchi-kalra-0a62512/</t>
  </si>
  <si>
    <t>ruchi@ofbusiness.in</t>
  </si>
  <si>
    <t>Refyne</t>
  </si>
  <si>
    <t>Ishan Vyas</t>
  </si>
  <si>
    <t>SNITCH</t>
  </si>
  <si>
    <t>Head of Products</t>
  </si>
  <si>
    <t xml:space="preserve">Siddharth DUNGARWAL </t>
  </si>
  <si>
    <t>https://www.linkedin.com/in/ishanvyas/</t>
  </si>
  <si>
    <t>https://www.linkedin.com/in/siddharthrdungarwal/?originalSubdomain=in</t>
  </si>
  <si>
    <t>ashish kumar</t>
  </si>
  <si>
    <t>ashish.kumar@ofbusiness.in</t>
  </si>
  <si>
    <t>ishan@aspricot.com</t>
  </si>
  <si>
    <t>Positive but asking for flight bookings</t>
  </si>
  <si>
    <t>siddharth916@gmail.com</t>
  </si>
  <si>
    <t>Tata 1mg</t>
  </si>
  <si>
    <t>Prashant Tandon</t>
  </si>
  <si>
    <t>https://www.linkedin.com/in/prashant-tandon-2802a4/</t>
  </si>
  <si>
    <t>Finxact</t>
  </si>
  <si>
    <t>Satish Mohan</t>
  </si>
  <si>
    <t>Hardik Parekh</t>
  </si>
  <si>
    <t>VP</t>
  </si>
  <si>
    <t>Chief of staff</t>
  </si>
  <si>
    <t xml:space="preserve"> pt@1mg.com prashant_tandon@yahoo.com prashant_tandon@yahoo.com</t>
  </si>
  <si>
    <t>https://www.linkedin.com/in/hardik-parekh-3884a099/</t>
  </si>
  <si>
    <t>https://www.linkedin.com/in/sathish-mohan-257b2a3/</t>
  </si>
  <si>
    <t>91 96194 66007</t>
  </si>
  <si>
    <t>sathishnm@gmail.com</t>
  </si>
  <si>
    <t>hardik.p@snitch.co.in</t>
  </si>
  <si>
    <t>Gaurav Agarwal</t>
  </si>
  <si>
    <t>https://www.linkedin.com/in/agarwalga/</t>
  </si>
  <si>
    <t>Kajabi</t>
  </si>
  <si>
    <t>gaurava@1mg.com gaurava@gmail.com</t>
  </si>
  <si>
    <t>Tabish Gilani</t>
  </si>
  <si>
    <t>Yash Kothari</t>
  </si>
  <si>
    <t>Founder office</t>
  </si>
  <si>
    <t>Head of Product, ex-Replit</t>
  </si>
  <si>
    <t>https://www.linkedin.com/in/pratikagarwal11/?originalSubdomain=in</t>
  </si>
  <si>
    <t>https://www.linkedin.com/in/tabishgilani/</t>
  </si>
  <si>
    <t>Vikas Chauhan</t>
  </si>
  <si>
    <t>tabish.ag@gmail.com</t>
  </si>
  <si>
    <t>tabish_gilani@hotmail.com</t>
  </si>
  <si>
    <t>1 610-403-2111</t>
  </si>
  <si>
    <t>pratik@snitch.co.in</t>
  </si>
  <si>
    <t xml:space="preserve">vconnet@gmail.com
vikaskjs@gmail.com
vikas.chauhan@hexahealth.com
</t>
  </si>
  <si>
    <t>Navan</t>
  </si>
  <si>
    <t>Thiagarajan Rajagopalan</t>
  </si>
  <si>
    <t>VP Product, India</t>
  </si>
  <si>
    <t>https://www.linkedin.com/in/thiagarajan-rajagopalan/</t>
  </si>
  <si>
    <t xml:space="preserve">
Janhavi Malhotra</t>
  </si>
  <si>
    <t>people leader</t>
  </si>
  <si>
    <t>98183 24059</t>
  </si>
  <si>
    <t xml:space="preserve">janhavi.malhotra@1mg.com
+91 
</t>
  </si>
  <si>
    <t>thiagar1@gmail.com</t>
  </si>
  <si>
    <t>Farmley</t>
  </si>
  <si>
    <t>Asked for more details</t>
  </si>
  <si>
    <t xml:space="preserve">Akash Sharma </t>
  </si>
  <si>
    <t>Telling for 1st Feb</t>
  </si>
  <si>
    <t>Co Founder</t>
  </si>
  <si>
    <t>https://www.linkedin.com/in/akash92sharma/?originalSubdomain=in</t>
  </si>
  <si>
    <t>makemytrip</t>
  </si>
  <si>
    <t>Rajesh Magow</t>
  </si>
  <si>
    <t>Co-Founder &amp; Group CEO</t>
  </si>
  <si>
    <t>https://www.linkedin.com/in/rajesh-magow-9278094/</t>
  </si>
  <si>
    <t>Shreya Sharma</t>
  </si>
  <si>
    <t>https://www.linkedin.com/in/sharmashreya/</t>
  </si>
  <si>
    <t>91 99998 44634
+91 97187 35744</t>
  </si>
  <si>
    <t>akash92sharma@gmail.com</t>
  </si>
  <si>
    <t>rajeshm@makemytrip.com</t>
  </si>
  <si>
    <t>shreya1204@gmail.com</t>
  </si>
  <si>
    <t>Asking for more details</t>
  </si>
  <si>
    <t xml:space="preserve">Abhishek Agarwal </t>
  </si>
  <si>
    <t>https://www.linkedin.com/in/abhishek-agarwal-0b442690/?originalSubdomain=in</t>
  </si>
  <si>
    <t>MakeMyTrip.com</t>
  </si>
  <si>
    <t>Capital One India</t>
  </si>
  <si>
    <t>Deep Kalra</t>
  </si>
  <si>
    <r>
      <rPr>
        <rFont val="Arial"/>
        <color rgb="FF1155CC"/>
        <u/>
      </rPr>
      <t>Japan Doshi</t>
    </r>
  </si>
  <si>
    <t>https://www.linkedin.com/in/deep-kalra-2954862/</t>
  </si>
  <si>
    <t>agarwalabhishekiitr@gmail.com</t>
  </si>
  <si>
    <t>deep@makemytrip.com</t>
  </si>
  <si>
    <t>shubham kumar</t>
  </si>
  <si>
    <t>Assistant Operations Manager</t>
  </si>
  <si>
    <t>https://www.linkedin.com/in/shubham-kumar-aa2032105/?originalSubdomain=in</t>
  </si>
  <si>
    <t>sanjay Arya</t>
  </si>
  <si>
    <t>shubham@farmley.com</t>
  </si>
  <si>
    <t>EaseMyTrip</t>
  </si>
  <si>
    <t>Nishant Pitti</t>
  </si>
  <si>
    <t>https://www.linkedin.com/in/nishant-pitti-a956b079/</t>
  </si>
  <si>
    <t>nishant@easemytrip.com</t>
  </si>
  <si>
    <t>Flipspaces</t>
  </si>
  <si>
    <t xml:space="preserve">Kunal Sharma </t>
  </si>
  <si>
    <t>https://www.linkedin.com/in/kunal-sharma-23830a9/?originalSubdomain=in</t>
  </si>
  <si>
    <t>Co-founder &amp; CEO</t>
  </si>
  <si>
    <t>https://www.linkedin.com/in/nishantpitti/</t>
  </si>
  <si>
    <t>kvsharma@gmail.com</t>
  </si>
  <si>
    <t>Head of Tech and PRoduct</t>
  </si>
  <si>
    <t>https://www.linkedin.com/in/japan-doshi-a432171/</t>
  </si>
  <si>
    <t>Ankur Muchhal</t>
  </si>
  <si>
    <t>https://www.linkedin.com/in/ankurmuchhal/</t>
  </si>
  <si>
    <t>japandoshi@gmail.com</t>
  </si>
  <si>
    <t>Will get back</t>
  </si>
  <si>
    <t>Rikant Pitti</t>
  </si>
  <si>
    <t>https://www.linkedin.com/in/rikantpitti/</t>
  </si>
  <si>
    <t>ankurmuchhal@gmail.com</t>
  </si>
  <si>
    <t>LAMBDATEST</t>
  </si>
  <si>
    <t>Tarun Kondepudi</t>
  </si>
  <si>
    <t>Mayank Bhola</t>
  </si>
  <si>
    <t xml:space="preserve">Assistant Vice President </t>
  </si>
  <si>
    <t>https://www.linkedin.com/in/tarun-kondepudi/?originalSubdomain=in</t>
  </si>
  <si>
    <t>Co-Founder and Head of Products</t>
  </si>
  <si>
    <t>https://www.linkedin.com/in/mayankbhola/</t>
  </si>
  <si>
    <t>Nykaa</t>
  </si>
  <si>
    <t>Falguni Nayar</t>
  </si>
  <si>
    <t>CEO, Founder</t>
  </si>
  <si>
    <t>ktarun90@gmail.com</t>
  </si>
  <si>
    <t>falguni.nayar@nykaa.com</t>
  </si>
  <si>
    <t>mayankb@lambdatest.com</t>
  </si>
  <si>
    <t>Added Vipul to cc</t>
  </si>
  <si>
    <t>ideaForge</t>
  </si>
  <si>
    <t>Khyati kalra</t>
  </si>
  <si>
    <t>Ezhilan Nanmaran</t>
  </si>
  <si>
    <t>khyatikalra09@gmail.com
khyati.kalra@nykaa.com</t>
  </si>
  <si>
    <t>https://www.linkedin.com/in/ezhilan/</t>
  </si>
  <si>
    <t>Propelld</t>
  </si>
  <si>
    <t>Victor Senapaty</t>
  </si>
  <si>
    <t>https://www.linkedin.com/in/victorsenapaty/?originalSubdomain=in</t>
  </si>
  <si>
    <t>Sugar Cosmetics</t>
  </si>
  <si>
    <t>ezhilan.n@gmail.com</t>
  </si>
  <si>
    <t>Vineeta Singh</t>
  </si>
  <si>
    <t>Said will review and get back</t>
  </si>
  <si>
    <t xml:space="preserve"> </t>
  </si>
  <si>
    <t>vineetasing@gmail.com</t>
  </si>
  <si>
    <t>91 99201 75773</t>
  </si>
  <si>
    <t>victorsenapaty@gmail.com</t>
  </si>
  <si>
    <t>Citadel</t>
  </si>
  <si>
    <t>Roshan Khatri</t>
  </si>
  <si>
    <t>Brijesh Samantaray</t>
  </si>
  <si>
    <t>https://www.linkedin.com/in/brijeshsamantaray/</t>
  </si>
  <si>
    <t>https://www.linkedin.com/in/roshan-khatri-185b7375/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</si>
  <si>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Nirav Jagad</t>
    </r>
  </si>
  <si>
    <t>roshan.rishabh@gmail.com</t>
  </si>
  <si>
    <t>brijesh10000@gmail.com</t>
  </si>
  <si>
    <t>Confirmed for an Online Session</t>
  </si>
  <si>
    <t xml:space="preserve"> 98209 15897</t>
  </si>
  <si>
    <t xml:space="preserve">nirav@vellvette.com
n_jagad@yahoo.com
</t>
  </si>
  <si>
    <t>Bibhu Prasad D.</t>
  </si>
  <si>
    <t>https://www.linkedin.com/in/bibhu-prasad-das-cfa/?originalSubdomain=in</t>
  </si>
  <si>
    <t>Salesforce</t>
  </si>
  <si>
    <t>Gourav Sinha</t>
  </si>
  <si>
    <t>Sr. Director- Product</t>
  </si>
  <si>
    <t>91 85840 74019</t>
  </si>
  <si>
    <t>bibhu@propelld.com</t>
  </si>
  <si>
    <t>Innovaccer</t>
  </si>
  <si>
    <t>Abhinav Shashank</t>
  </si>
  <si>
    <t>https://www.linkedin.com/in/abhinavshashank</t>
  </si>
  <si>
    <t>https://www.linkedin.com/in/gosinha/</t>
  </si>
  <si>
    <t>gpsinha@gmail.com</t>
  </si>
  <si>
    <t>gourav.sinha@salesforce.com</t>
  </si>
  <si>
    <t>abhinav.shashank@innovaccer.com</t>
  </si>
  <si>
    <t>Nagarajan Ramachandran</t>
  </si>
  <si>
    <t>Assistant Manager</t>
  </si>
  <si>
    <t>https://www.linkedin.com/in/nagarajan-ramachandran-3422ba234/?originalSubdomain=in</t>
  </si>
  <si>
    <t>Sandeep Gupta</t>
  </si>
  <si>
    <t>https://www.linkedin.com/in/9sandeepg</t>
  </si>
  <si>
    <t>Soumili</t>
  </si>
  <si>
    <t>CarDekho</t>
  </si>
  <si>
    <t>Mayank Gupta</t>
  </si>
  <si>
    <t>sandeep@innovaccer.com</t>
  </si>
  <si>
    <t>CFO</t>
  </si>
  <si>
    <t>https://www.linkedin.com/in/mayank1180/?originalSubdomain=in</t>
  </si>
  <si>
    <t>Agrima N.</t>
  </si>
  <si>
    <t xml:space="preserve"> 312-292-7130</t>
  </si>
  <si>
    <t>agrimanagpal@gmail.com
agrima.nagpal@innovaccer.com</t>
  </si>
  <si>
    <t>mayank.gupta@girnarsoft.com</t>
  </si>
  <si>
    <t>Scapia</t>
  </si>
  <si>
    <t>Anil Goteti</t>
  </si>
  <si>
    <t>https://www.linkedin.com/in/anilgoteti/</t>
  </si>
  <si>
    <t>anilgoteti@gmail.com</t>
  </si>
  <si>
    <t>Mensa</t>
  </si>
  <si>
    <t>Vinay Juluri</t>
  </si>
  <si>
    <t>Poonam Dugar</t>
  </si>
  <si>
    <t>https://www.linkedin.com/in/poonamdugar/?originalSubdomain=in</t>
  </si>
  <si>
    <t>https://www.linkedin.com/in/vinay-juluri-24b02555/?originalSubdomain=in</t>
  </si>
  <si>
    <t>91 98860 26906</t>
  </si>
  <si>
    <t>poonamdugar1987@gmail.com</t>
  </si>
  <si>
    <t>Anand Kandadai</t>
  </si>
  <si>
    <t>vinay@eloelo.in</t>
  </si>
  <si>
    <t>building scapia</t>
  </si>
  <si>
    <t>https://www.linkedin.com/in/anandkandadai/?originalSubdomain=in</t>
  </si>
  <si>
    <t>Zerodha</t>
  </si>
  <si>
    <t>Nikhil Kamath</t>
  </si>
  <si>
    <t>anandkandadai@gmail.com</t>
  </si>
  <si>
    <t>nikhil@zerodha.com</t>
  </si>
  <si>
    <t>Abhinav Jain Ranka</t>
  </si>
  <si>
    <t>https://www.linkedin.com/in/abhinavpjain/?originalSubdomain=in</t>
  </si>
  <si>
    <t>Pilgrim</t>
  </si>
  <si>
    <t xml:space="preserve">Anurag Kedia </t>
  </si>
  <si>
    <t>https://www.linkedin.com/in/anuragkedia/?originalSubdomain=in</t>
  </si>
  <si>
    <t>abhinavjainranka@gmail.com</t>
  </si>
  <si>
    <t>anuragkedia@gmail.com</t>
  </si>
  <si>
    <t xml:space="preserve"> 95940 63393     98926 01542</t>
  </si>
  <si>
    <t>Paytm</t>
  </si>
  <si>
    <t>Vijay Shekhar Sharma</t>
  </si>
  <si>
    <t>, abhinav.ranka@yahoo.com</t>
  </si>
  <si>
    <t>vijayshekhar@gmail.com</t>
  </si>
  <si>
    <t xml:space="preserve">Gagandeep M. </t>
  </si>
  <si>
    <t>https://www.linkedin.com/in/gaganmakker/</t>
  </si>
  <si>
    <t>gaganatiitb@gmail.com</t>
  </si>
  <si>
    <t>Ashish</t>
  </si>
  <si>
    <t>Slice</t>
  </si>
  <si>
    <t>Pocket FM</t>
  </si>
  <si>
    <t>Rajan Bajaj</t>
  </si>
  <si>
    <t>Vineet Singh</t>
  </si>
  <si>
    <t>https://www.linkedin.com/in/rajanbajaj/?originalSubdomain=in</t>
  </si>
  <si>
    <t>SVP - Head of Brand Marketing</t>
  </si>
  <si>
    <t>https://www.linkedin.com/in/vineetsing/</t>
  </si>
  <si>
    <t>Joylin Dʹsilva</t>
  </si>
  <si>
    <t>https://www.linkedin.com/in/joylin-d%CA%B9silva-90a5a577/?originalSubdomain=in</t>
  </si>
  <si>
    <t>rajanbajaj1992@gmail.com rajan@slicepay.in  rajan.bajaj@sliceit.com</t>
  </si>
  <si>
    <t>vineet@pocketfm.com</t>
  </si>
  <si>
    <t>Ehina</t>
  </si>
  <si>
    <t>Apna App</t>
  </si>
  <si>
    <t xml:space="preserve">Abhishek Ranjan </t>
  </si>
  <si>
    <t>Head of Engineering</t>
  </si>
  <si>
    <t>linkedin.com/in/abhishek-ranjan-engg</t>
  </si>
  <si>
    <t>abhishekranjandev@gmail.com</t>
  </si>
  <si>
    <t>Ajit Kumar</t>
  </si>
  <si>
    <t>CTO</t>
  </si>
  <si>
    <t>ajit@bharatpe.com</t>
  </si>
  <si>
    <t>75F</t>
  </si>
  <si>
    <t>Netradyne</t>
  </si>
  <si>
    <t>Deepinder Singh</t>
  </si>
  <si>
    <t>Amith Kumar</t>
  </si>
  <si>
    <t>https://www.linkedin.com/in/flyingsardar/</t>
  </si>
  <si>
    <t>Udaan, Ex CTO- Flipkart</t>
  </si>
  <si>
    <t>director marketing</t>
  </si>
  <si>
    <t xml:space="preserve"> Amod Malviya</t>
  </si>
  <si>
    <t>https://www.linkedin.com/in/amit-kumar-marketing/?original_referer=https%3A%2F%2Fwww%2Egoogle%2Ecom%2F&amp;originalSubdomain=in</t>
  </si>
  <si>
    <t>https://www.linkedin.com/in/amodm/?originalSubdomain=in</t>
  </si>
  <si>
    <t>deepinder_s@yahoo.com</t>
  </si>
  <si>
    <t>amod@pre6.ai amod@urbanyogi.in amod.malviya@gmail.com</t>
  </si>
  <si>
    <t>Alissa Sundstedt</t>
  </si>
  <si>
    <t>https://www.linkedin.com/in/alissa-sundstedt-ms-atc-otc-capm-59a67492/</t>
  </si>
  <si>
    <t>amit8022@yahoo.co.in</t>
  </si>
  <si>
    <t>1 612-439-5529</t>
  </si>
  <si>
    <t>Acko General Insurance</t>
  </si>
  <si>
    <t>asundstedt@75f.io</t>
  </si>
  <si>
    <t>Varun Dua</t>
  </si>
  <si>
    <t>https://www.linkedin.com/in/thevarundua/?originalSubdomain=in</t>
  </si>
  <si>
    <t>Yulu</t>
  </si>
  <si>
    <t>varun@acko.com  varundua25@gmail.com  duavrn@gmail.com</t>
  </si>
  <si>
    <t>Neeraj Kumar</t>
  </si>
  <si>
    <t>Business Head</t>
  </si>
  <si>
    <t>https://www.linkedin.com/in/neerajkumar10/?originalSubdomain=in</t>
  </si>
  <si>
    <t>Leap</t>
  </si>
  <si>
    <t>Arnav Kumar</t>
  </si>
  <si>
    <t>founder</t>
  </si>
  <si>
    <t>https://www.linkedin.com/in/arnavk/?originalSubdomain=in</t>
  </si>
  <si>
    <t>neeraj.kumar@yulu.bike</t>
  </si>
  <si>
    <t>Kavita K.</t>
  </si>
  <si>
    <t>91 72592 95504</t>
  </si>
  <si>
    <t>arnav.ll@gmail.com</t>
  </si>
  <si>
    <t>https://www.linkedin.com/in/kavita-k-8a84411b/</t>
  </si>
  <si>
    <t xml:space="preserve">Rajan Chaudhary </t>
  </si>
  <si>
    <t>https://www.linkedin.com/in/rajan-chaudhary-b3b27423/?originalSubdomain=in</t>
  </si>
  <si>
    <t>kavita.aimt@gmail.com</t>
  </si>
  <si>
    <t>Stashfin</t>
  </si>
  <si>
    <t>Monika Mishra</t>
  </si>
  <si>
    <t>Head of Marketing</t>
  </si>
  <si>
    <t>https://www.linkedin.com/in/monikamishra/?originalSubdomain=in</t>
  </si>
  <si>
    <t>rajansoft1@gmail.com</t>
  </si>
  <si>
    <t>Cred</t>
  </si>
  <si>
    <t>Kunal Shah</t>
  </si>
  <si>
    <t>(2) Kunal Shah | LinkedIn</t>
  </si>
  <si>
    <t>Preeti Tamhane</t>
  </si>
  <si>
    <t>https://www.linkedin.com/in/preeti-tamhane-99a0a7373/?originalSubdomain=in</t>
  </si>
  <si>
    <t>mmishra0689@gmail.com</t>
  </si>
  <si>
    <t>preeti.tamhane@leapscale.com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</si>
  <si>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Priti M.</t>
    </r>
  </si>
  <si>
    <t>FoxTale</t>
  </si>
  <si>
    <t xml:space="preserve">Romita Mazumdar </t>
  </si>
  <si>
    <t>https://www.linkedin.com/in/romita-mazumdar-063777a5/?originalSubdomain=in</t>
  </si>
  <si>
    <t>company secy</t>
  </si>
  <si>
    <t xml:space="preserve"> +91 98194 03615</t>
  </si>
  <si>
    <t>91 81869 92607</t>
  </si>
  <si>
    <t>priti.manyal@cred.club</t>
  </si>
  <si>
    <t>romita@foxtale.in</t>
  </si>
  <si>
    <t>Abdul Aziz Ansari</t>
  </si>
  <si>
    <t>https://www.linkedin.com/in/abdul-aziz-ansari-93519024b/?originalSubdomain=in</t>
  </si>
  <si>
    <t>Ather</t>
  </si>
  <si>
    <t>Tarun Mehta</t>
  </si>
  <si>
    <t>CEO, Co Founder</t>
  </si>
  <si>
    <t>tarun.m@atherenergy.com</t>
  </si>
  <si>
    <t>aziz@foxtale.in</t>
  </si>
  <si>
    <t xml:space="preserve">Siddhanth Sanghavi 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</si>
  <si>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Gagan Singh</t>
    </r>
  </si>
  <si>
    <t>https://www.linkedin.com/in/siddhanth-sanghavi/?originalSubdomain=in</t>
  </si>
  <si>
    <t>77388 53144</t>
  </si>
  <si>
    <t>gagan.singh@atherenergy.com</t>
  </si>
  <si>
    <t>siddhanth238@gmail.com</t>
  </si>
  <si>
    <t>Rapido</t>
  </si>
  <si>
    <t>Pavan Guntupalli</t>
  </si>
  <si>
    <t>pavan@rapido.bike</t>
  </si>
  <si>
    <t>Snapmint</t>
  </si>
  <si>
    <t xml:space="preserve">Nalin Agrawal </t>
  </si>
  <si>
    <t>https://www.linkedin.com/in/nalinagrawal/?originalSubdomain=in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</si>
  <si>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Shravya Reddy</t>
    </r>
  </si>
  <si>
    <t>nalin1482@gmail.com</t>
  </si>
  <si>
    <t xml:space="preserve">Abhineet Sawa </t>
  </si>
  <si>
    <t>https://www.linkedin.com/in/abhineet-sawa-31575b4/</t>
  </si>
  <si>
    <t>Infra.Market</t>
  </si>
  <si>
    <t>Souvik Sengupta</t>
  </si>
  <si>
    <t>https://www.linkedin.com/in/souvik-sengupta-439699142/</t>
  </si>
  <si>
    <t>abhineetsawa@gmail.com</t>
  </si>
  <si>
    <t xml:space="preserve"> 70215 13762</t>
  </si>
  <si>
    <t xml:space="preserve">Anil Gelra </t>
  </si>
  <si>
    <t>souvik.sengupta@infra.market</t>
  </si>
  <si>
    <t>https://www.linkedin.com/in/anil-gelra-91890b4/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</si>
  <si>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Nayana M.B</t>
    </r>
  </si>
  <si>
    <t>anilgelra@gmail.com</t>
  </si>
  <si>
    <t xml:space="preserve">Amitt Sharma </t>
  </si>
  <si>
    <t>Chief Customer Officer</t>
  </si>
  <si>
    <t>https://www.linkedin.com/in/amitsharmaam/?originalSubdomain=in</t>
  </si>
  <si>
    <t>ea</t>
  </si>
  <si>
    <t>nayana.mb@infra.market</t>
  </si>
  <si>
    <t>amit2808sharma@gmail.com</t>
  </si>
  <si>
    <t>Durva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</si>
  <si>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Jaspreet Singh</t>
    </r>
  </si>
  <si>
    <t>SpotDraft</t>
  </si>
  <si>
    <t>Shashank Bijapur</t>
  </si>
  <si>
    <t>https://www.linkedin.com/in/shashankbijapur/</t>
  </si>
  <si>
    <t>https://www.linkedin.com/in/jaspreets/https://www.linkedin.com/in/jaspreets/</t>
  </si>
  <si>
    <t>shashankbijapur@gmail.com</t>
  </si>
  <si>
    <t>jaspreet.singh@druva.com</t>
  </si>
  <si>
    <t>Madhav Bhagat</t>
  </si>
  <si>
    <t>https://www.linkedin.com/in/madhavbhagat/?originalSubdomain=in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</si>
  <si>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Milind Borate</t>
    </r>
  </si>
  <si>
    <t>madhav89@gmail.com</t>
  </si>
  <si>
    <t>milind.borate@druva.com</t>
  </si>
  <si>
    <t>Saubhagya Mehta</t>
  </si>
  <si>
    <t>https://www.linkedin.com/in/saubhagya-mehta-m4/?originalSubdomain=in</t>
  </si>
  <si>
    <t>Tom Brown</t>
  </si>
  <si>
    <t>91 82955 58185</t>
  </si>
  <si>
    <t>saubhagya@spotdraft.com</t>
  </si>
  <si>
    <t>tombrown1966@yahoo.com
tom.brown@druva.com</t>
  </si>
  <si>
    <t xml:space="preserve">Delhivery 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</si>
  <si>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Sahil Barua</t>
    </r>
  </si>
  <si>
    <t>zigackly@gmail.com.  sb@delhivery.com</t>
  </si>
  <si>
    <t>Easy Home Finance</t>
  </si>
  <si>
    <t xml:space="preserve">Rohan Shah </t>
  </si>
  <si>
    <t>https://www.linkedin.com/in/rohan-shah-3bb45489/?originalSubdomain=in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</si>
  <si>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Suraj Saharan</t>
    </r>
  </si>
  <si>
    <t>roshah00@gmail.com</t>
  </si>
  <si>
    <t>suraj.saharan@delhivery.com | surajsaharan@gmail.com</t>
  </si>
  <si>
    <t>Vivek Gajula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</si>
  <si>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Kapil Bharati</t>
    </r>
  </si>
  <si>
    <t xml:space="preserve">Assistant Manager </t>
  </si>
  <si>
    <t>https://www.linkedin.com/in/vivekgajula/?originalSubdomain=in</t>
  </si>
  <si>
    <t>kbhara@gmail.com | kapil.bharati@delhivery.com</t>
  </si>
  <si>
    <t>vivekgajula10@gmail.com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</si>
  <si>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Mohit Tandon</t>
    </r>
  </si>
  <si>
    <t>Ashish Semwal</t>
  </si>
  <si>
    <t>Head - Human Resources</t>
  </si>
  <si>
    <t>https://www.linkedin.com/in/ashishsemwal/?originalSubdomain=in</t>
  </si>
  <si>
    <t>mohittandon@gmail.com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</si>
  <si>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Bhavesh Manglani</t>
    </r>
  </si>
  <si>
    <t>TripFactory</t>
  </si>
  <si>
    <t xml:space="preserve">Vinay Gupta </t>
  </si>
  <si>
    <t>bhaveshmanglani@gmail.com</t>
  </si>
  <si>
    <t>http://linkedin.com/in/vinay/?originalSubdomain=in</t>
  </si>
  <si>
    <t>vinaydude@gmail.com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</si>
  <si>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Luckshaya Kem</t>
    </r>
  </si>
  <si>
    <t xml:space="preserve">Vandana Mishra </t>
  </si>
  <si>
    <t xml:space="preserve">Chartered Accountant </t>
  </si>
  <si>
    <t>https://www.linkedin.com/in/vandana-mishra/?originalSubdomain=in</t>
  </si>
  <si>
    <t>luckshaya.kem1@delhivery.com</t>
  </si>
  <si>
    <t>91 88004 13925</t>
  </si>
  <si>
    <t>mvandana064@gmail.com</t>
  </si>
  <si>
    <t>Bigbasket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</si>
  <si>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Hari Menon</t>
    </r>
  </si>
  <si>
    <t>PMI Electro Mobility</t>
  </si>
  <si>
    <t xml:space="preserve">Aanchal Jain </t>
  </si>
  <si>
    <t>https://www.linkedin.com/in/pmi-aanchal-jain/?originalSubdomain=in</t>
  </si>
  <si>
    <t>hari@bigbasket.com</t>
  </si>
  <si>
    <t>aanchal.jain@pmielectro.com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</si>
  <si>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Vipul Parekh</t>
    </r>
  </si>
  <si>
    <t xml:space="preserve">Satish Jain </t>
  </si>
  <si>
    <t>https://www.linkedin.com/in/satish-jain-2a5709278/?originalSubdomain=in</t>
  </si>
  <si>
    <t>vipul1000@gmail.com. vipul@bigbasket.com</t>
  </si>
  <si>
    <t>satishjain@pmielectro.com</t>
  </si>
  <si>
    <t>Megha Rajora</t>
  </si>
  <si>
    <t>Executive assistant</t>
  </si>
  <si>
    <t>https://www.linkedin.com/in/megha-rajora-2345311b/?originalSubdomain=in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</si>
  <si>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Abhinay Choudhari</t>
    </r>
  </si>
  <si>
    <t>meghabhardwaj1@gmail.com</t>
  </si>
  <si>
    <t>abhinay@bigbasket.com
abhinay.choudhari@gmail.com
abhinaychoudhari@yahoo.com
abhinaychoudhari@hotmail.com</t>
  </si>
  <si>
    <t>Tanuja Tewari</t>
  </si>
  <si>
    <t>ESDS Software Solution Ltd</t>
  </si>
  <si>
    <t xml:space="preserve">Piyush Somani </t>
  </si>
  <si>
    <t>https://www.linkedin.com/in/piyushsomani/?originalSubdomain=in</t>
  </si>
  <si>
    <t>tanuja.tewari@bigbasket.com</t>
  </si>
  <si>
    <t>piyush@esds.co.in</t>
  </si>
  <si>
    <t>Hike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</si>
  <si>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Kavin Bharti Mittal</t>
    </r>
  </si>
  <si>
    <t>Sharmishtha Roy</t>
  </si>
  <si>
    <t>https://www.linkedin.com/in/sharmishtha-roy-a568a38b/?originalSubdomain=in</t>
  </si>
  <si>
    <t>kbm@hike.in
kavinbmittal@gmail.com</t>
  </si>
  <si>
    <t>shormishtha13@gmail.com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</si>
  <si>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ANISH MOONKA</t>
    </r>
  </si>
  <si>
    <t>Kishore Shah</t>
  </si>
  <si>
    <t>https://www.linkedin.com/in/iamkishoreshah/?originalSubdomain=in</t>
  </si>
  <si>
    <t>moonkanish@gmail.com</t>
  </si>
  <si>
    <t>kishoreshahinfobyte@gmail.com</t>
  </si>
  <si>
    <t>navi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</si>
  <si>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Sachin Bansal</t>
    </r>
  </si>
  <si>
    <t>Even</t>
  </si>
  <si>
    <t xml:space="preserve">Matilde Giglio </t>
  </si>
  <si>
    <t>https://www.linkedin.com/in/matilde-giglio-774961a8/?originalSubdomain=in</t>
  </si>
  <si>
    <t>sachin.bansal@navi.com
sachinbansal81@gmail.com</t>
  </si>
  <si>
    <t>matildegiglio@gmail.com</t>
  </si>
  <si>
    <t xml:space="preserve">Hanu Siddhanth Rapeti </t>
  </si>
  <si>
    <t>hanu.rapeti@navi.com</t>
  </si>
  <si>
    <t xml:space="preserve">Mayank Banerjee </t>
  </si>
  <si>
    <t>Co- Founder</t>
  </si>
  <si>
    <t>https://www.linkedin.com/in/mayank-banerjee-b081507b/?originalSubdomain=in</t>
  </si>
  <si>
    <t>zepto</t>
  </si>
  <si>
    <t xml:space="preserve">Aadit Palicha </t>
  </si>
  <si>
    <t xml:space="preserve">Co Founder &amp; CEO </t>
  </si>
  <si>
    <t>mayankbanerjee92@gmail.com</t>
  </si>
  <si>
    <t>aaditpalicha@gmail.com</t>
  </si>
  <si>
    <t>Alessandro Davide Ialongo</t>
  </si>
  <si>
    <t>https://www.linkedin.com/in/alessandro-ialongo/?originalSubdomain=in</t>
  </si>
  <si>
    <t xml:space="preserve">Kaivalya V. </t>
  </si>
  <si>
    <t xml:space="preserve">Co Founder </t>
  </si>
  <si>
    <t>alexialongo@gmail.com</t>
  </si>
  <si>
    <t>kaivalyavohra@gmail.com, kaivalya@zeptonow.com</t>
  </si>
  <si>
    <t>Sneha Arora</t>
  </si>
  <si>
    <t>Chief Human Resources Officer</t>
  </si>
  <si>
    <t>https://www.linkedin.com/in/arora-sneha/</t>
  </si>
  <si>
    <t>Neysa Networks</t>
  </si>
  <si>
    <t>Anindya D.</t>
  </si>
  <si>
    <t>https://www.linkedin.com/in/anindya-d-0785a333b/?originalSubdomain=in</t>
  </si>
  <si>
    <t>sneha.arora@zeptonow.com</t>
  </si>
  <si>
    <t>sneha.arora@getsimpl.com</t>
  </si>
  <si>
    <t>sneha.arora@gmail.com</t>
  </si>
  <si>
    <t>anindya.das@neysa.ai</t>
  </si>
  <si>
    <t>glance</t>
  </si>
  <si>
    <t>Naveen Tewari</t>
  </si>
  <si>
    <t>naveen.tewari@inmobi.com</t>
  </si>
  <si>
    <t xml:space="preserve">Sharad Sanghi </t>
  </si>
  <si>
    <t>https://www.linkedin.com/in/sharadsanghi/?originalSubdomain=in</t>
  </si>
  <si>
    <t>Shefali Rai</t>
  </si>
  <si>
    <t>https://www.linkedin.com/in/shefalirai/</t>
  </si>
  <si>
    <t>sharadsanghi@gmail.com</t>
  </si>
  <si>
    <t>shefali.rai@inmobi.com</t>
  </si>
  <si>
    <t>shefali.rai@glance.com</t>
  </si>
  <si>
    <t>shefali.rai@gmail.com</t>
  </si>
  <si>
    <t>CA Rajat Kedia</t>
  </si>
  <si>
    <t>https://www.linkedin.com/in/rajat-kedia/?originalSubdomain=in</t>
  </si>
  <si>
    <t>raise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</si>
  <si>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Alok Pandey</t>
    </r>
  </si>
  <si>
    <t>kediarajat@gmail.com</t>
  </si>
  <si>
    <t>alok@raiseholding.co</t>
  </si>
  <si>
    <t>Kathleen Anderl</t>
  </si>
  <si>
    <t>Chief of Staff</t>
  </si>
  <si>
    <t>https://www.linkedin.com/in/kathleen-anderl/</t>
  </si>
  <si>
    <t xml:space="preserve"> Haber</t>
  </si>
  <si>
    <t xml:space="preserve">Vipin Raghavan </t>
  </si>
  <si>
    <t>http://linkedin.com/in/vipin-raghavan-6142986/?originalSubdomain=in</t>
  </si>
  <si>
    <t>katieanderl@gmail.com</t>
  </si>
  <si>
    <t>k8te01@hotmail.com</t>
  </si>
  <si>
    <t>91 96730 00097</t>
  </si>
  <si>
    <t>vipin@haberwater.com</t>
  </si>
  <si>
    <t>Ronnie Screwvala</t>
  </si>
  <si>
    <t>Chairperson &amp; Co-Founder</t>
  </si>
  <si>
    <r>
      <rPr>
        <rFont val="Arial"/>
        <color rgb="FF1155CC"/>
        <sz val="12.0"/>
        <u/>
      </rPr>
      <t>https://in.linkedin.com/in/ronniescrewvala</t>
    </r>
  </si>
  <si>
    <t xml:space="preserve">Priya Venkat </t>
  </si>
  <si>
    <t>https://www.linkedin.com/in/priya-venkat-811257122/</t>
  </si>
  <si>
    <t>ronniescrewvala@gmail.com</t>
  </si>
  <si>
    <t>91 85540 20099</t>
  </si>
  <si>
    <t>priya@haberwater.com</t>
  </si>
  <si>
    <t>walkwithme@unilazer.com</t>
  </si>
  <si>
    <t>Kishan AP</t>
  </si>
  <si>
    <t xml:space="preserve">Administration Assistant </t>
  </si>
  <si>
    <t>ronnie.screwvala@upgrad.com</t>
  </si>
  <si>
    <t>https://www.linkedin.com/in/kishan-ap-0736b7194/?originalSubdomain=in</t>
  </si>
  <si>
    <t>Rahil Shah</t>
  </si>
  <si>
    <t>91 90378 15595</t>
  </si>
  <si>
    <t>kishan.ap@haberwater.com</t>
  </si>
  <si>
    <t>https://www.linkedin.com/in/rahil-ashah/</t>
  </si>
  <si>
    <t>rahilshah4217@gmail.com</t>
  </si>
  <si>
    <t>rahil.shah@lnkd.in</t>
  </si>
  <si>
    <t>AdOnMo</t>
  </si>
  <si>
    <t xml:space="preserve">Sravanth Gajula </t>
  </si>
  <si>
    <t>https://www.linkedin.com/in/gsravanth/?originalSubdomain=in</t>
  </si>
  <si>
    <t>gsravanth@gmail.com</t>
  </si>
  <si>
    <t xml:space="preserve">Sandeep Bommireddi </t>
  </si>
  <si>
    <t>https://www.linkedin.com/in/sandeep-bommireddi/?originalSubdomain=in</t>
  </si>
  <si>
    <t>Quickr</t>
  </si>
  <si>
    <t>Pranay Chulet</t>
  </si>
  <si>
    <t>pranay@quikr.com</t>
  </si>
  <si>
    <t>sandeepbommireddi@gmail.com</t>
  </si>
  <si>
    <t xml:space="preserve">Chandini Velaga </t>
  </si>
  <si>
    <t>Senior Human Resources Associate</t>
  </si>
  <si>
    <t>Yuganka Sharan</t>
  </si>
  <si>
    <t>Senior Staff Engineer</t>
  </si>
  <si>
    <t>https://www.linkedin.com/in/chandini-velaga-393b83256/?originalSubdomain=in</t>
  </si>
  <si>
    <t>https://www.linkedin.com/in/yugankasharan/</t>
  </si>
  <si>
    <t>yuganka.sharan@pw.live</t>
  </si>
  <si>
    <t>milennium.y@gmail.com</t>
  </si>
  <si>
    <t>velagachandini616@gmail.com</t>
  </si>
  <si>
    <t>physicswallah</t>
  </si>
  <si>
    <t xml:space="preserve">Alakh pandey </t>
  </si>
  <si>
    <t>alakh@pw.live</t>
  </si>
  <si>
    <t>Kapiva</t>
  </si>
  <si>
    <t xml:space="preserve">Shantanu </t>
  </si>
  <si>
    <t>https://www.linkedin.com/in/shantanu-b535a010/?originalSubdomain=in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</si>
  <si>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Murali Krishna</t>
    </r>
  </si>
  <si>
    <t>sshantanu@gmail.com</t>
  </si>
  <si>
    <t xml:space="preserve">Ameve Sharma </t>
  </si>
  <si>
    <t>https://www.linkedin.com/in/amevesharma/?originalSubdomain=in</t>
  </si>
  <si>
    <t>kmkrishna@gmail.com</t>
  </si>
  <si>
    <t>ameve.sharma@kapiva.in</t>
  </si>
  <si>
    <t>meesho</t>
  </si>
  <si>
    <t>Utkarsh Garg</t>
  </si>
  <si>
    <t>https://www.linkedin.com/in/utkarshgarg/</t>
  </si>
  <si>
    <t>utkarsh@meesho.com</t>
  </si>
  <si>
    <t>Midhun Manohar</t>
  </si>
  <si>
    <t>utkarshgarg1994@gmail.com</t>
  </si>
  <si>
    <t>https://www.linkedin.com/in/midhun-manohar-77b146123/?originalSubdomain=in</t>
  </si>
  <si>
    <t>midhun.manohar@kapiva.in</t>
  </si>
  <si>
    <t>Sanjeev Barnwal</t>
  </si>
  <si>
    <t>reachsanjeev5@gmail.com</t>
  </si>
  <si>
    <t>OnSurity</t>
  </si>
  <si>
    <t xml:space="preserve">Yogesh Agarwal </t>
  </si>
  <si>
    <t>https://www.linkedin.com/in/yogesh-actuary/?originalSubdomain=in</t>
  </si>
  <si>
    <t>Purplle</t>
  </si>
  <si>
    <t>Manish Taneja</t>
  </si>
  <si>
    <t>https://www.linkedin.com/in/manish-taneja-64657116/</t>
  </si>
  <si>
    <t>yogesh@onsurity.com</t>
  </si>
  <si>
    <t>Kulin Shah</t>
  </si>
  <si>
    <t>https://www.linkedin.com/in/kcshah/?originalSubdomain=in</t>
  </si>
  <si>
    <t>manishtaneja@gmail.com</t>
  </si>
  <si>
    <t>manish.taneja@purplle.com</t>
  </si>
  <si>
    <t>kulin@onsurity.com</t>
  </si>
  <si>
    <t>Varun Kejriwal</t>
  </si>
  <si>
    <t>Chief Of staff</t>
  </si>
  <si>
    <t>https://www.linkedin.com/in/varunkejriwal/</t>
  </si>
  <si>
    <t>Akshada Kardile</t>
  </si>
  <si>
    <t>HR Manager</t>
  </si>
  <si>
    <t>https://www.linkedin.com/in/akshada-kardile/?originalSubdomain=in</t>
  </si>
  <si>
    <t>varun.kejriwal@purplle.com</t>
  </si>
  <si>
    <t>varun@ivfa.com</t>
  </si>
  <si>
    <t>varun.kejriwal@gmail.com</t>
  </si>
  <si>
    <t>akshada@onsurity.com</t>
  </si>
  <si>
    <t>Mechanic Pro</t>
  </si>
  <si>
    <t>Mohammad Nishanth</t>
  </si>
  <si>
    <t>https://www.linkedin.com/in/mohammad-nishanth-09901a193/?originalSubdomain=in</t>
  </si>
  <si>
    <t xml:space="preserve">Policy Bazaar </t>
  </si>
  <si>
    <t>Tarun Mathur</t>
  </si>
  <si>
    <t>Co-Founder &amp; Chief Business Officer</t>
  </si>
  <si>
    <t>tarun@policybazaar.com</t>
  </si>
  <si>
    <t>mohammadnishanth2002@gmail.com</t>
  </si>
  <si>
    <t>Avaneesh Nirjar</t>
  </si>
  <si>
    <t>Lakshmi Narasimha Manyam</t>
  </si>
  <si>
    <t>Co-Founder &amp; Chief Operating Officer</t>
  </si>
  <si>
    <t>https://www.linkedin.com/in/lakshmi-narasimha-manyam-3a6663360/?originalSubdomain=in</t>
  </si>
  <si>
    <t>avaneesh@policybazaar.com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</si>
  <si>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Raman Kumar</t>
    </r>
  </si>
  <si>
    <t>raman@policybazaar.com</t>
  </si>
  <si>
    <t>Heaithplix</t>
  </si>
  <si>
    <t xml:space="preserve">Sandeep Gudibanda </t>
  </si>
  <si>
    <t>https://www.linkedin.com/in/sandeepg/?originalSubdomain=in</t>
  </si>
  <si>
    <t>BYJU’S</t>
  </si>
  <si>
    <t>Byju Raveendran</t>
  </si>
  <si>
    <t>91 99000 63740</t>
  </si>
  <si>
    <t>sandeep@healthplix.com</t>
  </si>
  <si>
    <t>byju.raveendran@byjus.com</t>
  </si>
  <si>
    <t>Nitin Devatraj</t>
  </si>
  <si>
    <t>Associate Director</t>
  </si>
  <si>
    <t>https://www.linkedin.com/in/nitin-devatraj-b6943aa9/?originalSubdomain=in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</si>
  <si>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Abishek VN</t>
    </r>
  </si>
  <si>
    <t>nitin.devatraj@healthplix.com</t>
  </si>
  <si>
    <t>vnabishek@gmail.com</t>
  </si>
  <si>
    <t>10club</t>
  </si>
  <si>
    <t>Bhavna Suresh</t>
  </si>
  <si>
    <t>https://www.linkedin.com/in/bhavnasc/?originalSubdomain=in</t>
  </si>
  <si>
    <t>Flipkart</t>
  </si>
  <si>
    <t>Sachin Bansal</t>
  </si>
  <si>
    <t>https://www.linkedin.com/in/sachinbansal/?originalSubdomain=in</t>
  </si>
  <si>
    <t>suresh@hec.fr</t>
  </si>
  <si>
    <t>99454 78489</t>
  </si>
  <si>
    <t>sachin.bansal@navi.com</t>
  </si>
  <si>
    <t>Binny Bansal</t>
  </si>
  <si>
    <t>https://www.linkedin.com/in/binnybansal/?originalSubdomain=sg</t>
  </si>
  <si>
    <t>lentra</t>
  </si>
  <si>
    <t xml:space="preserve">Ankur Handa </t>
  </si>
  <si>
    <t>https://www.linkedin.com/in/ankurhan/?originalSubdomain=in</t>
  </si>
  <si>
    <t>96110 77833</t>
  </si>
  <si>
    <t>binny.bansal@flipkart.com</t>
  </si>
  <si>
    <t>ankur@lentra.ai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</si>
  <si>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Meena Chandran</t>
    </r>
  </si>
  <si>
    <t xml:space="preserve">D (DV) Venkatesh </t>
  </si>
  <si>
    <t>https://www.linkedin.com/in/dvenkatesh/</t>
  </si>
  <si>
    <t xml:space="preserve">
meenaaikara@gmail.com
meansgr@gmail.com
</t>
  </si>
  <si>
    <t>dv@lentra.ai</t>
  </si>
  <si>
    <t>Lenskart</t>
  </si>
  <si>
    <t>Bhuvaneswar Naik</t>
  </si>
  <si>
    <t xml:space="preserve">Peyush Bansal
  </t>
  </si>
  <si>
    <t>CEO &amp; Co-founder</t>
  </si>
  <si>
    <t>https://www.linkedin.com/in/peyushbansal/</t>
  </si>
  <si>
    <t>CHRO</t>
  </si>
  <si>
    <t>https://www.linkedin.com/in/bhuvan/?originalSubdomain=in</t>
  </si>
  <si>
    <t>peyush.bansal@lenskart.com/peyush.bansal@gmail.com</t>
  </si>
  <si>
    <t>bhuvaneswar.naik@tata.com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</si>
  <si>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Priyanka Jaina</t>
    </r>
  </si>
  <si>
    <t>priyankajaina1997@gmail.com</t>
  </si>
  <si>
    <t>Bizongo</t>
  </si>
  <si>
    <t>Sachin Agrawal</t>
  </si>
  <si>
    <t>ShopClues</t>
  </si>
  <si>
    <t>Sanjay Sethi</t>
  </si>
  <si>
    <t>https://www.linkedin.com/in/sachin-agrawal-903b8323/?originalSubdomain=in</t>
  </si>
  <si>
    <t>https://www.linkedin.com/in/sethisanjay/</t>
  </si>
  <si>
    <t>sanjay@shopclues.com</t>
  </si>
  <si>
    <t>9630023331, +919699033166</t>
  </si>
  <si>
    <t>sachin@bizongo.com, agrawalsachin99@gmail.com</t>
  </si>
  <si>
    <t>Rahul Garg</t>
  </si>
  <si>
    <t xml:space="preserve">Anupama Tigga </t>
  </si>
  <si>
    <t>https://www.linkedin.com/in/rahulgarg/</t>
  </si>
  <si>
    <t>Business Partner</t>
  </si>
  <si>
    <t>https://www.linkedin.com/in/anupama-tigga-40952846/?originalSubdomain=in</t>
  </si>
  <si>
    <t>rahul@moglix.com</t>
  </si>
  <si>
    <t>anupama.tigga@bizongo.com, anupamatigga3@gmail.com</t>
  </si>
  <si>
    <t>Acko</t>
  </si>
  <si>
    <t>https://www.linkedin.com/in/thevarundua/</t>
  </si>
  <si>
    <t>varun@acko.com</t>
  </si>
  <si>
    <t>turtlemint</t>
  </si>
  <si>
    <t>Anand Prabhudesai</t>
  </si>
  <si>
    <t>co-founder</t>
  </si>
  <si>
    <t>https://www.linkedin.com/in/anandprabhudesai/?originalSubdomain=in</t>
  </si>
  <si>
    <t>InCred</t>
  </si>
  <si>
    <t>Bhupinder Singh</t>
  </si>
  <si>
    <t>Founder &amp; Group CEO</t>
  </si>
  <si>
    <t>anand@turtlemint.com, aprabhud@gmail.com</t>
  </si>
  <si>
    <r>
      <rPr>
        <rFont val="Arial"/>
        <color rgb="FF1155CC"/>
        <sz val="12.0"/>
        <u/>
      </rPr>
      <t>linkedin.com/in/bhupindersingh-incred</t>
    </r>
  </si>
  <si>
    <t>bhupinisha@gmail.com</t>
  </si>
  <si>
    <t>Dhirendra Mahyavanshi</t>
  </si>
  <si>
    <t>https://www.linkedin.com/in/dhirendra-mahyavanshi-turtlemint/?originalSubdomain=in</t>
  </si>
  <si>
    <t>Zeta</t>
  </si>
  <si>
    <t>dhirendra@turtlemint.com, dhirendramahyavanshi@gmail.com</t>
  </si>
  <si>
    <t>Prakash Gorjilla</t>
  </si>
  <si>
    <t>Sunny Bhatia</t>
  </si>
  <si>
    <t>Senior Vice President</t>
  </si>
  <si>
    <t>Founder &amp; Chief People &amp; Product Officer</t>
  </si>
  <si>
    <t>https://www.linkedin.com/in/sunny-bhatia-9244b314/?originalSubdomain=in</t>
  </si>
  <si>
    <t>https://www.linkedin.com/in/prakash-gorjilla-15081123/</t>
  </si>
  <si>
    <t>pgorjilla@zetaglobal.com</t>
  </si>
  <si>
    <t>prakashgjc@gmail.com</t>
  </si>
  <si>
    <t>sunny.b@turtlemint.com, bhatiasunny26@rediffmail.com</t>
  </si>
  <si>
    <t>Saakshi Agarwal</t>
  </si>
  <si>
    <t>Director</t>
  </si>
  <si>
    <t>https://www.linkedin.com/in/saakshi-agarwal/</t>
  </si>
  <si>
    <t>MBA CHAI WALA</t>
  </si>
  <si>
    <t>Vivek Billore</t>
  </si>
  <si>
    <t>saakshia@zeta.tech</t>
  </si>
  <si>
    <t>https://www.linkedin.com/in/vivek-billore-00049a1a6/?originalSubdomain=in</t>
  </si>
  <si>
    <t>ag13687@gmail.com</t>
  </si>
  <si>
    <t>saakshiagarwal1306@gmail.com</t>
  </si>
  <si>
    <t>vivek@mbachaiwala.com, vivek@hushventures.in</t>
  </si>
  <si>
    <t>Mu Sigma</t>
  </si>
  <si>
    <t>Dhiraj C. Rajaram</t>
  </si>
  <si>
    <t>dhiraj.rajaram@mu-sigma.com</t>
  </si>
  <si>
    <t>Prafull Billore</t>
  </si>
  <si>
    <t>MD</t>
  </si>
  <si>
    <t>https://www.linkedin.com/in/prafull-billore-a228019b/?originalSubdomain=in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</si>
  <si>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Ashish Sawant</t>
    </r>
  </si>
  <si>
    <t>prafull@mbachaiwala.com, prafull.billore@oneclub.io</t>
  </si>
  <si>
    <t xml:space="preserve">ashish.sawant@mu-sigma.com
</t>
  </si>
  <si>
    <t xml:space="preserve">Nandini Goyal </t>
  </si>
  <si>
    <t>Head HR</t>
  </si>
  <si>
    <t>https://www.linkedin.com/in/nandini-goyal-15a64b113/?originalSubdomain=in</t>
  </si>
  <si>
    <t>nandinigoyal960@gmail.com</t>
  </si>
  <si>
    <t>PolicyBazaar</t>
  </si>
  <si>
    <t>Alok Bansal</t>
  </si>
  <si>
    <t>https://www.linkedin.com/in/alok-bansal-23b04a4/</t>
  </si>
  <si>
    <t>Burger Singh</t>
  </si>
  <si>
    <t>Rahul Seth</t>
  </si>
  <si>
    <t>https://www.linkedin.com/in/rahul-seth-22697743/?originalSubdomain=in</t>
  </si>
  <si>
    <t>alok@policybazaar.com</t>
  </si>
  <si>
    <t>sethrahul83@gmail.com, rahul.seth@tippingmrpink.com</t>
  </si>
  <si>
    <t>https://www.linkedin.com/in/avaneesh-nirjar-b447991/</t>
  </si>
  <si>
    <t>Kabir Jeet Singh</t>
  </si>
  <si>
    <t>anirjar@gmail.com</t>
  </si>
  <si>
    <t>https://www.linkedin.com/in/kabir-jeet-singh-6265439/</t>
  </si>
  <si>
    <t>kabirjeet@gmail.com, kabirjeet@gmail.com</t>
  </si>
  <si>
    <t>Manoj Sharma</t>
  </si>
  <si>
    <t>https://www.linkedin.com/in/manoj-sharma-8ab030a/</t>
  </si>
  <si>
    <t>manoj@policybazaar.com</t>
  </si>
  <si>
    <t>Mehrab Ilavia</t>
  </si>
  <si>
    <t xml:space="preserve">VP </t>
  </si>
  <si>
    <t>https://www.linkedin.com/in/mehrab-ilavia-ab021b1a/?originalSubdomain=in</t>
  </si>
  <si>
    <t>https://www.linkedin.com/in/tarun-mathur-58abb49/</t>
  </si>
  <si>
    <t>mehrabilavia@gmail.com</t>
  </si>
  <si>
    <t>tarun.mathur@policybazaar.com</t>
  </si>
  <si>
    <t>Yashish Dahiya</t>
  </si>
  <si>
    <t>https://www.linkedin.com/in/yashish-dahiya-145495261/</t>
  </si>
  <si>
    <t>Wow! Momo</t>
  </si>
  <si>
    <t>Sagar J Daryani</t>
  </si>
  <si>
    <t>yashish@policybazaar.com</t>
  </si>
  <si>
    <t>https://www.linkedin.com/in/sagar-j-daryani-950085b7/?originalSubdomain=in</t>
  </si>
  <si>
    <t>sagardaryani@wowmomo.co.in, sagar.daryani@nrai.org</t>
  </si>
  <si>
    <t>G Srinivas</t>
  </si>
  <si>
    <t>https://www.linkedin.com/in/gsrinivas/?originalSubdomain=in</t>
  </si>
  <si>
    <t>Freshworks</t>
  </si>
  <si>
    <t>Girish Mathrubootham</t>
  </si>
  <si>
    <t>https://www.linkedin.com/in/girish1/</t>
  </si>
  <si>
    <t>srinivasgssr@gmail.com</t>
  </si>
  <si>
    <t>girish@freshworks.com</t>
  </si>
  <si>
    <t>Binod Homagai</t>
  </si>
  <si>
    <t>https://www.linkedin.com/in/binod-homagai-b652b430/overlay/contact-info/?lipi=urn%3Ali%3Apage%3Ad_flagship3_profile_view_base%3BnOc8vtfwQnyb4iJ3Endytw%3D%3D</t>
  </si>
  <si>
    <t>binodhomagai@wowmomo.co.in</t>
  </si>
  <si>
    <t>Zoho Corporation</t>
  </si>
  <si>
    <t>Sridhar Vembu</t>
  </si>
  <si>
    <t>sridhar.vembu@gmail.com, svembu@zoho.com</t>
  </si>
  <si>
    <t>Murali Krishnan</t>
  </si>
  <si>
    <t>CMO</t>
  </si>
  <si>
    <t>https://www.linkedin.com/in/murali-krishnan-976a859/?originalSubdomain=in</t>
  </si>
  <si>
    <t>Monish Darda</t>
  </si>
  <si>
    <r>
      <rPr>
        <rFont val="Arial"/>
        <color rgb="FF1155CC"/>
        <sz val="12.0"/>
        <u/>
      </rPr>
      <t>linkedin.com/in/monishdarda</t>
    </r>
  </si>
  <si>
    <t>monish@icertis.com</t>
  </si>
  <si>
    <t>muralikrishnan.l@wowmomo.com, hariomkrish1987@gmail.com</t>
  </si>
  <si>
    <t>Rivigo</t>
  </si>
  <si>
    <t xml:space="preserve">Deepak Garg </t>
  </si>
  <si>
    <t>dgargdeepak@gmail.com</t>
  </si>
  <si>
    <t>832-444-3417</t>
  </si>
  <si>
    <t>Mokobara</t>
  </si>
  <si>
    <t xml:space="preserve">Sangeet Agrawal </t>
  </si>
  <si>
    <t>https://www.linkedin.com/in/sangeet-agrawal-2260734a/?originalSubdomain=in</t>
  </si>
  <si>
    <t>FirstCry</t>
  </si>
  <si>
    <t>Supam Maheshwari</t>
  </si>
  <si>
    <t>s@mokobara.com,   sangeetvit@gmail.com</t>
  </si>
  <si>
    <t>https://www.linkedin.com/in/supam-maheshwari-a735a5/</t>
  </si>
  <si>
    <t>supam@firstcry.com</t>
  </si>
  <si>
    <t xml:space="preserve">Navin Parwal </t>
  </si>
  <si>
    <t>https://www.linkedin.com/in/navinparwal/?originalSubdomain=in</t>
  </si>
  <si>
    <t>navin@mokobara.com, nparwal@gmail.com</t>
  </si>
  <si>
    <t>Natasha Naidu</t>
  </si>
  <si>
    <t>https://www.linkedin.com/in/natasha-naidu-8052218b/?originalSubdomain=in</t>
  </si>
  <si>
    <t>Postman</t>
  </si>
  <si>
    <t>Abhinav Asthana</t>
  </si>
  <si>
    <t>abhinav@rickreation.com, abhinav@getpostman.com	(992) 397-5697</t>
  </si>
  <si>
    <t>natasha.naidu@mokobara.com,  natashanaidu19@gmail.com</t>
  </si>
  <si>
    <t>Unacademy</t>
  </si>
  <si>
    <t>Gaurav Munjal</t>
  </si>
  <si>
    <t>https://www.linkedin.com/in/gauravmunjal8/</t>
  </si>
  <si>
    <t>The Belgian Waffle Co.</t>
  </si>
  <si>
    <t>gaurav@unacademy.com</t>
  </si>
  <si>
    <t xml:space="preserve">Ankit Patel </t>
  </si>
  <si>
    <t>https://www.linkedin.com/in/ankit-patel81/?originalSubdomain=in</t>
  </si>
  <si>
    <t>Roman Saini</t>
  </si>
  <si>
    <t>ankit@thebelgianwaffle.co</t>
  </si>
  <si>
    <t>https://www.linkedin.com/in/romansaini/</t>
  </si>
  <si>
    <t>roman@unacademy.com</t>
  </si>
  <si>
    <t xml:space="preserve">Niraj Shukla </t>
  </si>
  <si>
    <t>Deputy general manager</t>
  </si>
  <si>
    <t>https://www.linkedin.com/in/niraj-shukla-07709b8a/?originalSubdomain=in</t>
  </si>
  <si>
    <t>Hemesh Singh</t>
  </si>
  <si>
    <t>https://www.linkedin.com/in/hemesh-singh/</t>
  </si>
  <si>
    <t>niraj@bloombay.in</t>
  </si>
  <si>
    <t>hemesh@unacademy.com</t>
  </si>
  <si>
    <t xml:space="preserve">Mayuri Makwana </t>
  </si>
  <si>
    <t>Senior Executive</t>
  </si>
  <si>
    <t>https://www.linkedin.com/in/mayurimakwana/</t>
  </si>
  <si>
    <t>Razorpay</t>
  </si>
  <si>
    <t>Shashank Kumar</t>
  </si>
  <si>
    <t>https://www.google.com/url?sa=t&amp;source=web&amp;rct=https://in.linkedin.com/in/kumarshashank</t>
  </si>
  <si>
    <t>mayuri.m@bloombay.in</t>
  </si>
  <si>
    <t>shashank@razorpay.com</t>
  </si>
  <si>
    <t>Rare Rabbit</t>
  </si>
  <si>
    <t>Manish Poddar</t>
  </si>
  <si>
    <t>Harshil Mathur</t>
  </si>
  <si>
    <t xml:space="preserve">founder </t>
  </si>
  <si>
    <t>https://in.linkedin.com/in/harshilmathur</t>
  </si>
  <si>
    <t>https://www.linkedin.com/in/manish-poddar-08b013207/?originalSubdomain=in</t>
  </si>
  <si>
    <t>harshil@razorpay.com</t>
  </si>
  <si>
    <t>lavish soni</t>
  </si>
  <si>
    <t>CBO</t>
  </si>
  <si>
    <t>https://www.linkedin.com/in/lavish-soni-0a000342/?originalSubdomain=in</t>
  </si>
  <si>
    <t>lavish@thehouseofrare.com</t>
  </si>
  <si>
    <t>Groww</t>
  </si>
  <si>
    <t>Harsh Jain</t>
  </si>
  <si>
    <t>https://www.linkedin.com/in/heyharsh/</t>
  </si>
  <si>
    <t>Gowtham Elango</t>
  </si>
  <si>
    <t>harsh@groww.in</t>
  </si>
  <si>
    <t>https://www.linkedin.com/in/gowtham-elango-ab613759/?originalSubdomain=in</t>
  </si>
  <si>
    <t>gowthamelaa8@gmail.com</t>
  </si>
  <si>
    <t>Lalit Keshre</t>
  </si>
  <si>
    <t>https://linkedin.com/in/lalitkeshre</t>
  </si>
  <si>
    <t>lalit@groww.in</t>
  </si>
  <si>
    <t>ninjacart</t>
  </si>
  <si>
    <t xml:space="preserve">Thirukumaran Nagarajan </t>
  </si>
  <si>
    <t>https://www.linkedin.com/in/thirukumaran-nagarajan-51870242/?originalSubdomain=in</t>
  </si>
  <si>
    <t>Neeraj Singh</t>
  </si>
  <si>
    <t>ntk@ninjacart.com, thiru@ninjacart.in,  thirukumarannagarajan@gmail.com</t>
  </si>
  <si>
    <t>Sharath Loganathan</t>
  </si>
  <si>
    <t>https://www.linkedin.com/in/sharathloganathan/?originalSubdomain=in</t>
  </si>
  <si>
    <t>sharath@ninjacart.com,    sharathbabu32@gmail.com</t>
  </si>
  <si>
    <t>Gupshup</t>
  </si>
  <si>
    <t>Beerud Sheth</t>
  </si>
  <si>
    <t>beerud@gupshup.io, beerud@gmail.co</t>
  </si>
  <si>
    <t>Kartheeswaran K K</t>
  </si>
  <si>
    <t>https://www.linkedin.com/in/kartheeswarankk/?originalSubdomain=in</t>
  </si>
  <si>
    <t>kartheeswaran@ninjacart.com, karthi1391@gmail.com</t>
  </si>
  <si>
    <t>Blackbuck</t>
  </si>
  <si>
    <t>Rajesh Yabaji</t>
  </si>
  <si>
    <t>Anuja Singh</t>
  </si>
  <si>
    <t>https://www.linkedin.com/in/anujasinghhr/?originalSubdomain=in</t>
  </si>
  <si>
    <t>Chanakya Hridaya</t>
  </si>
  <si>
    <t>anujasingh@gmail.com</t>
  </si>
  <si>
    <t>Rama Subramaniam</t>
  </si>
  <si>
    <t>The Souled Store</t>
  </si>
  <si>
    <t>Aditya Sharma</t>
  </si>
  <si>
    <t>https://www.linkedin.com/in/aditya-sharma-33018634/?originalSubdomain=in</t>
  </si>
  <si>
    <t>Droom</t>
  </si>
  <si>
    <t>Sandeep Aggarwal</t>
  </si>
  <si>
    <t>https://www.linkedin.com/in/sandeepaggarwal/</t>
  </si>
  <si>
    <t>aditya.sharma@thesouledstore.com,   adityasharma6589@gmail.com</t>
  </si>
  <si>
    <t>sandeep@droom.in</t>
  </si>
  <si>
    <t xml:space="preserve">Vedang Patel </t>
  </si>
  <si>
    <t>https://www.linkedin.com/in/vedang-patel-40aba34b/?originalSubdomain=in</t>
  </si>
  <si>
    <t>Company name</t>
  </si>
  <si>
    <t xml:space="preserve">Droom technology </t>
  </si>
  <si>
    <t>sandeepvision@gmail.com</t>
  </si>
  <si>
    <t>vedang@thesouledstore.com</t>
  </si>
  <si>
    <t>EA</t>
  </si>
  <si>
    <t>Column H</t>
  </si>
  <si>
    <t>Column I</t>
  </si>
  <si>
    <t>Column J</t>
  </si>
  <si>
    <t>Column K</t>
  </si>
  <si>
    <t>Column L</t>
  </si>
  <si>
    <t>Column M</t>
  </si>
  <si>
    <t>Column N</t>
  </si>
  <si>
    <t xml:space="preserve">Harsh Lal </t>
  </si>
  <si>
    <t>https://www.linkedin.com/in/harsh-lal-98247648/?originalSubdomain=in</t>
  </si>
  <si>
    <t>Reliance Industries Ltd</t>
  </si>
  <si>
    <t>Mr. Nikhil R Meswani</t>
  </si>
  <si>
    <t>Executive Director</t>
  </si>
  <si>
    <t>https://www.linkedin.com/in/nikhil-meswani-357b5838/</t>
  </si>
  <si>
    <t>Shashvat Nakrani</t>
  </si>
  <si>
    <t>harsh@thesouledstore.com</t>
  </si>
  <si>
    <t>nikhilmeswaniorm@gmail.com</t>
  </si>
  <si>
    <t>Indian Oil Corporation Ltd (IOC)</t>
  </si>
  <si>
    <t>Mr. S M Vaidya</t>
  </si>
  <si>
    <t>Third Wave Coffee</t>
  </si>
  <si>
    <t>Chairman</t>
  </si>
  <si>
    <t>Rajat Luthra</t>
  </si>
  <si>
    <t>https://www.linkedin.com/in/shrikant-m-vaidya/</t>
  </si>
  <si>
    <t>https://www.linkedin.com/in/rajat-luthra-a9826b8/?originalSubdomain=in</t>
  </si>
  <si>
    <t>vaidyas@indianoil.in</t>
  </si>
  <si>
    <t>Mr. Sanjay Kumar</t>
  </si>
  <si>
    <t>Director (P&amp;BD)</t>
  </si>
  <si>
    <t>https://www.linkedin.com/in/sanjay-kumar-118603ba/</t>
  </si>
  <si>
    <t>lrajat@yahoo.com</t>
  </si>
  <si>
    <t>Jumbotail</t>
  </si>
  <si>
    <t>Karthik Venkateswaran</t>
  </si>
  <si>
    <t>kumars@indianoil.in</t>
  </si>
  <si>
    <t>Oil &amp; Natural Gas Corporation Ltd (ONGC)</t>
  </si>
  <si>
    <t>Mr. Vivek Chandrakant Tongaonkar</t>
  </si>
  <si>
    <t>Director, Finance and CFO</t>
  </si>
  <si>
    <t>Anirudh Sharma</t>
  </si>
  <si>
    <t>https://www.google.com/search?q=Vivek+Chandrakant+Tongaonkar+site%3Alinkedin.com</t>
  </si>
  <si>
    <t>https://www.linkedin.com/in/anirudh-sharma-877ab2a0/?originalSubdomain=in</t>
  </si>
  <si>
    <t>Livspace</t>
  </si>
  <si>
    <t>Ramakant Sharma</t>
  </si>
  <si>
    <t>anirudhsharma@thirdwavecoffee.in</t>
  </si>
  <si>
    <t>contact@livspace.com</t>
  </si>
  <si>
    <t>vtongaonkar@gmail.com , vtongaonkar@hotmail.com</t>
  </si>
  <si>
    <t xml:space="preserve">Sandeep Sinha </t>
  </si>
  <si>
    <t>https://www.linkedin.com/in/sandeep-sinha-hr/?originalSubdomain=in</t>
  </si>
  <si>
    <t>Bharat Petroleum Corporation Ltd (BPCL)</t>
  </si>
  <si>
    <t>Mr. G. Krishnakumar</t>
  </si>
  <si>
    <t>Chairman &amp; Managing Director</t>
  </si>
  <si>
    <t>https://www.google.com/search?q=G.+Krishnakumar+site%3Alinkedin.com</t>
  </si>
  <si>
    <t>sandeep1405@yahoo.com</t>
  </si>
  <si>
    <t>Mamaearth</t>
  </si>
  <si>
    <t>Ghazal Alagh</t>
  </si>
  <si>
    <t>https://www.linkedin.com/in/ghazal-alagh-9755a0128/</t>
  </si>
  <si>
    <t>ghazal@mamaearth.in</t>
  </si>
  <si>
    <t>kumarsatnsr@gmail.com,krishnakumar@bharatpetroleum.in</t>
  </si>
  <si>
    <t>Hindustan Petroleum Corporation Ltd (HPCL)</t>
  </si>
  <si>
    <t>Mr. Pushp Kumar Joshi</t>
  </si>
  <si>
    <t>Varun Alagh</t>
  </si>
  <si>
    <t>https://www.linkedin.com/in/dr-pushp-joshi-57759643/</t>
  </si>
  <si>
    <t>https://www.linkedin.com/in/varunalagh84/</t>
  </si>
  <si>
    <t>Zostel</t>
  </si>
  <si>
    <t>Dharamveer Singh Chouhan</t>
  </si>
  <si>
    <t>https://www.linkedin.com/in/dvcoolster/?originalSubdomain=in</t>
  </si>
  <si>
    <t>varun@mamaearth.in</t>
  </si>
  <si>
    <t>dharamveer@zostel.com,      dvcoolster@gmail.com</t>
  </si>
  <si>
    <t>pushpjoshi@gmail.com</t>
  </si>
  <si>
    <t>Tata Motors Ltd</t>
  </si>
  <si>
    <t>Mr. Shailesh Chandra</t>
  </si>
  <si>
    <t>CEO, Tata Motors Passenger Vehicles</t>
  </si>
  <si>
    <t xml:space="preserve">Aviral Gupta </t>
  </si>
  <si>
    <t>https://www.linkedin.com/in/shaileshchandra13/</t>
  </si>
  <si>
    <t>https://www.linkedin.com/in/gupta-aviral/?originalSubdomain=in</t>
  </si>
  <si>
    <t>Pristyn Care</t>
  </si>
  <si>
    <t>Garima Sawhney</t>
  </si>
  <si>
    <t>shailesh.chandra@tatamotors.com</t>
  </si>
  <si>
    <t>aviral@zostel.com</t>
  </si>
  <si>
    <t>Tata Steel Ltd</t>
  </si>
  <si>
    <t>Mr. T. V. Narendran</t>
  </si>
  <si>
    <t>CEO &amp; Managing Director</t>
  </si>
  <si>
    <t>https://www.linkedin.com/in/t-v-narendran-5b531816/</t>
  </si>
  <si>
    <t xml:space="preserve">Abhishek B. </t>
  </si>
  <si>
    <t>https://www.linkedin.com/in/abhutra/?originalSubdomain=in</t>
  </si>
  <si>
    <t>JUSPAY</t>
  </si>
  <si>
    <t>Sheetal</t>
  </si>
  <si>
    <t>https://www.linkedin.com/in/sheetalchainraj/</t>
  </si>
  <si>
    <t>ba@warmstealth.xyz</t>
  </si>
  <si>
    <t>tvnarendran@gmail.com,t.narendran@tatasteel.com</t>
  </si>
  <si>
    <t>Sakshi Sharma</t>
  </si>
  <si>
    <t>saakshidadheech@gmail.com</t>
  </si>
  <si>
    <t>Tata Consultancy Services Ltd (TCS)</t>
  </si>
  <si>
    <t>Co-founder &amp; Chief Operating Officer</t>
  </si>
  <si>
    <t>81052 28842</t>
  </si>
  <si>
    <t>Mr. K. Krithivasan</t>
  </si>
  <si>
    <t>MD &amp; CEO</t>
  </si>
  <si>
    <t>https://www.linkedin.com/in/k-krithivasan-84659325/</t>
  </si>
  <si>
    <t>Chaayos</t>
  </si>
  <si>
    <t>Raghav Verma</t>
  </si>
  <si>
    <t>linkedin.com/in/raghav-verma-59367349?originalSubdomain=in</t>
  </si>
  <si>
    <t>Hindalco Industries Ltd</t>
  </si>
  <si>
    <t>Mr. Kumar Mangalam Birla</t>
  </si>
  <si>
    <t>m.kumar@adityabirla.com</t>
  </si>
  <si>
    <t>Mr. Satish Pai</t>
  </si>
  <si>
    <t>OneCard</t>
  </si>
  <si>
    <t>Managing Director</t>
  </si>
  <si>
    <t>Anurag Sinha</t>
  </si>
  <si>
    <r>
      <rPr>
        <rFont val="fkGroteskNeue, &quot;fkGroteskNeue Fallback&quot;, ui-sans-serif, system-ui, 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https://linkedin.com/in/anuragsinha2</t>
    </r>
  </si>
  <si>
    <t>satish.pai@adityabirla.com</t>
  </si>
  <si>
    <t>raghavverma1@gmail.com</t>
  </si>
  <si>
    <t>anurag.sinha@onescore.app</t>
  </si>
  <si>
    <t>18504386758 / 18504854267</t>
  </si>
  <si>
    <t>NTPC Ltd</t>
  </si>
  <si>
    <t>Mr. Gurdeep Singh</t>
  </si>
  <si>
    <t>Nitin Saluja</t>
  </si>
  <si>
    <t>gurdeepsingh@ntpc.co.in</t>
  </si>
  <si>
    <t>https://www.linkedin.com/in/nitin-saluja-6a88297/?originalSubdomain=in</t>
  </si>
  <si>
    <t>Bharti Airtel Ltd</t>
  </si>
  <si>
    <t>Mr. Gopal Vittal</t>
  </si>
  <si>
    <t>MD, Vice Chairman &amp; CEO</t>
  </si>
  <si>
    <t>nitin@chaayos.com</t>
  </si>
  <si>
    <t>Infosys Ltd</t>
  </si>
  <si>
    <t>Open Financial Technologies</t>
  </si>
  <si>
    <t>Nandan M. Nilekani</t>
  </si>
  <si>
    <t>Deena Jacob</t>
  </si>
  <si>
    <t>letstalk@open.money; deena@bankopen.co</t>
  </si>
  <si>
    <t>Mr. Salil Parekh</t>
  </si>
  <si>
    <t>CEO and MD</t>
  </si>
  <si>
    <t>salil.parekh@infosys.com</t>
  </si>
  <si>
    <t>Rishi Basu</t>
  </si>
  <si>
    <t>Mabel Chacko</t>
  </si>
  <si>
    <t>Global Head - Corporate Communications &amp; PR</t>
  </si>
  <si>
    <t>https://www.linkedin.com/in/rishi-basu-b067574a/</t>
  </si>
  <si>
    <t>mabel.chacko@gmail.com, mchacko@open.money</t>
  </si>
  <si>
    <t>Bewakoof</t>
  </si>
  <si>
    <t>Prabhkiran Singh</t>
  </si>
  <si>
    <t>https://www.linkedin.com/in/prabhkiran-singh-a5124918/?originalSubdomain=in</t>
  </si>
  <si>
    <t>rajarshi.basu@infosys.com</t>
  </si>
  <si>
    <t>prabhkiran@bewakoof.com</t>
  </si>
  <si>
    <t>Mahindra &amp; Mahindra Ltd (M&amp;M)</t>
  </si>
  <si>
    <t>Mr. Anand Mahindra</t>
  </si>
  <si>
    <t>https://www.google.com/search?q=Uday+Kotak+site%3Alinkedin.com</t>
  </si>
  <si>
    <t>ElasticRun</t>
  </si>
  <si>
    <t>Sandeep Deshmukh</t>
  </si>
  <si>
    <t>sandeep.deshmukh@elastic.run</t>
  </si>
  <si>
    <t>8600143125 || 8722072111</t>
  </si>
  <si>
    <t>Mr. Anish Shah</t>
  </si>
  <si>
    <t>Managing Director &amp; CEO</t>
  </si>
  <si>
    <t>Apna College</t>
  </si>
  <si>
    <t>Shradha Khapra</t>
  </si>
  <si>
    <t>https://www.linkedin.com/in/shradha-khapra/?originalSubdomain=in</t>
  </si>
  <si>
    <t>anishshah19@hotmail.com , anish@zeelearn.com</t>
  </si>
  <si>
    <t>LEAD School</t>
  </si>
  <si>
    <t>Smita Deorah</t>
  </si>
  <si>
    <t>Vedanta Ltd</t>
  </si>
  <si>
    <t>Anil Agarwal</t>
  </si>
  <si>
    <t>shradha@digiwagon.com</t>
  </si>
  <si>
    <r>
      <rPr>
        <rFont val="fkGroteskNeue, &quot;fkGroteskNeue Fallback&quot;, ui-sans-serif, system-ui, 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smita.d@gmail.com</t>
    </r>
    <r>
      <rPr>
        <rFont val="fkGroteskNeue"/>
        <sz val="12.0"/>
      </rPr>
      <t xml:space="preserve">, </t>
    </r>
    <r>
      <rPr>
        <rFont val="fkGroteskNeue, &quot;fkGroteskNeue Fallback&quot;, ui-sans-serif, system-ui, 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smitad@gmail.com</t>
    </r>
    <r>
      <rPr>
        <rFont val="fkGroteskNeue"/>
        <sz val="12.0"/>
      </rPr>
      <t xml:space="preserve">, </t>
    </r>
    <r>
      <rPr>
        <rFont val="fkGroteskNeue, &quot;fkGroteskNeue Fallback&quot;, ui-sans-serif, system-ui, 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smita@leadschool.in</t>
    </r>
  </si>
  <si>
    <t xml:space="preserve">anil.agarwal@vedanta.co.in,anilag01@gmail.com </t>
  </si>
  <si>
    <t>Ms. Priya Agarwal Hebbar</t>
  </si>
  <si>
    <t>Non-Executive Director</t>
  </si>
  <si>
    <t>priyaaa12@hotmail.com</t>
  </si>
  <si>
    <t>Rupeek</t>
  </si>
  <si>
    <t>GAIL (India) Ltd</t>
  </si>
  <si>
    <t>Sumit Maniyar</t>
  </si>
  <si>
    <t>Mr. Sandeep Kumar Gupta</t>
  </si>
  <si>
    <t>https://www.linkedin.com/in/sumitmaniyar/</t>
  </si>
  <si>
    <t>99996 58346</t>
  </si>
  <si>
    <t>sandeepg@indianoil.in,s4guptas@hotmail.com</t>
  </si>
  <si>
    <t>Mr. Deepak Gupta</t>
  </si>
  <si>
    <t>Director (HR)</t>
  </si>
  <si>
    <t>dg8544@gmail.com</t>
  </si>
  <si>
    <t>Upstox</t>
  </si>
  <si>
    <t>Vidit Bhargava</t>
  </si>
  <si>
    <t>sumitmaniyar@gmail.com</t>
  </si>
  <si>
    <t>Bajaj Auto Ltd</t>
  </si>
  <si>
    <t>Mr. Rajiv Bajaj</t>
  </si>
  <si>
    <t>rajivrupabajaj@gmail.com,rajivbajaj@bajajauto.co.in</t>
  </si>
  <si>
    <t>Shrinivas Viswanath</t>
  </si>
  <si>
    <t>Samvardhana Motherson International Ltd</t>
  </si>
  <si>
    <t>Mr. Laxman Agrawal</t>
  </si>
  <si>
    <t>Steel Authority of India Ltd (SAIL)</t>
  </si>
  <si>
    <t>Mr. Amarendu Prakash</t>
  </si>
  <si>
    <t>Smallcase</t>
  </si>
  <si>
    <t>Vasanth Kamath</t>
  </si>
  <si>
    <t>Raghu Kumar</t>
  </si>
  <si>
    <t>https://www.linkedin.com/in/vasanthskamath/</t>
  </si>
  <si>
    <t>amarendu.prakash@steel.gov.in</t>
  </si>
  <si>
    <t>Mr. Arvind Kumar Singh</t>
  </si>
  <si>
    <t>Director (Technical)</t>
  </si>
  <si>
    <t>arvindsingh27@engineer.com</t>
  </si>
  <si>
    <t>vasanth@smallcase.com</t>
  </si>
  <si>
    <t>Adani Enterprises Ltd</t>
  </si>
  <si>
    <t>Ravi Kumar</t>
  </si>
  <si>
    <t>Mr. Rajesh Adani</t>
  </si>
  <si>
    <r>
      <rPr>
        <rFont val="Arial"/>
        <color rgb="FF1155CC"/>
        <sz val="12.0"/>
        <u/>
      </rPr>
      <t>linkedin.com/in/ravi-kumar-b7698171</t>
    </r>
  </si>
  <si>
    <t>sandy_kumar83@yahoo.com ravi.kumar@rksv.in ravi.kumar@upstox.com</t>
  </si>
  <si>
    <t>Wipro Ltd</t>
  </si>
  <si>
    <t>Anugrah Shrivastava</t>
  </si>
  <si>
    <t>Mr. Rishad Premji</t>
  </si>
  <si>
    <t>Executive Chairman</t>
  </si>
  <si>
    <t>https://www.linkedin.com/in/anugrah-shrivastava-58721422/</t>
  </si>
  <si>
    <t>rishad.premji@wipro.com</t>
  </si>
  <si>
    <t>Mr. Srini Palia</t>
  </si>
  <si>
    <t>CEO and Managing Director</t>
  </si>
  <si>
    <t>https://www.linkedin.com/in/srini-pallia/</t>
  </si>
  <si>
    <t>iitanugrah@gmail.com</t>
  </si>
  <si>
    <t>srinivas.pallia@wipro.com</t>
  </si>
  <si>
    <t xml:space="preserve">Apna </t>
  </si>
  <si>
    <t>Nirmit Parikh</t>
  </si>
  <si>
    <t>nirmitp87@gmail.com</t>
  </si>
  <si>
    <t>Rohan Gupta</t>
  </si>
  <si>
    <t>Founder &amp; CTO</t>
  </si>
  <si>
    <t>https://www.linkedin.com/in/rohan-gupta-86289924/</t>
  </si>
  <si>
    <t>Axis Bank Ltd</t>
  </si>
  <si>
    <t>Mr. Amitabh Chaudhry</t>
  </si>
  <si>
    <t>amitabh.chaudhry@axisbank.com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</si>
  <si>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Priyank Mehta</t>
    </r>
  </si>
  <si>
    <t>ITC Ltd</t>
  </si>
  <si>
    <t>Mr. Sanjiv Puri</t>
  </si>
  <si>
    <t>rmukundan@tatachemicals.com</t>
  </si>
  <si>
    <t>Mr. Nakul Anand</t>
  </si>
  <si>
    <t xml:space="preserve">
priyanksagi2000@gmail.com
priyankmehta15@gmail.com
priyank.mehta@outlook.com
priyanksagi2000@yahoo.com</t>
  </si>
  <si>
    <t>anakul@itcportal.com</t>
  </si>
  <si>
    <t>Vivriti Capital</t>
  </si>
  <si>
    <t>Vineet Sukumar</t>
  </si>
  <si>
    <t>Founder &amp; MD</t>
  </si>
  <si>
    <t>UltraTech Cement Ltd</t>
  </si>
  <si>
    <t>https://www.linkedin.com/in/vineet-sukumar-5264b32/</t>
  </si>
  <si>
    <t>NoBroker.com</t>
  </si>
  <si>
    <t>b.kumar@adityabirla.com</t>
  </si>
  <si>
    <t>Mr. K. C. Jhanwar</t>
  </si>
  <si>
    <t>Amit Kumar Agarwal</t>
  </si>
  <si>
    <t>vineet@vivriticapital.com</t>
  </si>
  <si>
    <t>kailash.jhanwar@adityabirla.com</t>
  </si>
  <si>
    <t>amit@nobroker.in</t>
  </si>
  <si>
    <t>Kotak Mahindra Bank Ltd</t>
  </si>
  <si>
    <t>Mr. Uday Kotak</t>
  </si>
  <si>
    <t>Founder, Director</t>
  </si>
  <si>
    <t>Gaurav Kumar</t>
  </si>
  <si>
    <t>https://www.linkedin.com/in/gaurav-kumar-a6a3245/</t>
  </si>
  <si>
    <t>Mr. Dipak Gupta</t>
  </si>
  <si>
    <t>Saurabh Garg</t>
  </si>
  <si>
    <t>deepak.gupta@sscinc.com</t>
  </si>
  <si>
    <t>saurabh@nobroker.in</t>
  </si>
  <si>
    <t>Mr. Ashok Vahani</t>
  </si>
  <si>
    <t>https://www.linkedin.com/in/ashokvaswani/?originalSubdomain=in</t>
  </si>
  <si>
    <t>NoBroker</t>
  </si>
  <si>
    <t>Akhil Gupta</t>
  </si>
  <si>
    <t>akhil@nobroker.in</t>
  </si>
  <si>
    <t>ashok.vaswani@kotak.com</t>
  </si>
  <si>
    <t>ashok.vaswani@yahoo.com</t>
  </si>
  <si>
    <t>Indifi</t>
  </si>
  <si>
    <t>Alok Mittal</t>
  </si>
  <si>
    <t>Co-founder &amp; MD</t>
  </si>
  <si>
    <t>https://www.linkedin.com/in/alok-mittal-590a/</t>
  </si>
  <si>
    <t>Microsoft</t>
  </si>
  <si>
    <t>Mr. Rajiv Kumar</t>
  </si>
  <si>
    <t>https://www.linkedin.com/in/rajivk-ms/</t>
  </si>
  <si>
    <t xml:space="preserve"> 98106 48825</t>
  </si>
  <si>
    <t>alokmittal@gmail.com</t>
  </si>
  <si>
    <t>LeadSquared</t>
  </si>
  <si>
    <t>Prashant Singh</t>
  </si>
  <si>
    <t>rajiv.kumar@microsoft.com</t>
  </si>
  <si>
    <t>prashant@leadsquared.com</t>
  </si>
  <si>
    <t>Mr. Satya Nadela</t>
  </si>
  <si>
    <t>CEO and Chairman</t>
  </si>
  <si>
    <t>https://www.linkedin.com/in/satyanadella/</t>
  </si>
  <si>
    <t>Siddharth Mahanot</t>
  </si>
  <si>
    <t>Co-founder &amp; COO</t>
  </si>
  <si>
    <t>https://www.linkedin.com/in/siddharth-mahanot-173305/</t>
  </si>
  <si>
    <t>Nilesh Patel</t>
  </si>
  <si>
    <t>satyan@microsoft.com</t>
  </si>
  <si>
    <t>nilesh@leadsquared.com</t>
  </si>
  <si>
    <t>Mr. Scott Guthrie</t>
  </si>
  <si>
    <t>Executive Vice President</t>
  </si>
  <si>
    <t>https://www.linkedin.com/in/guthriescott/</t>
  </si>
  <si>
    <t>Priya Srivastava</t>
  </si>
  <si>
    <t>Director human resource</t>
  </si>
  <si>
    <t xml:space="preserve">priyaipec@gmail.com
Copy
priyasrivastava0402@gmail.com
priyasrivastava07@hotmail.com
priya@leadsquared.com
</t>
  </si>
  <si>
    <t>scottgu@microsoft.com</t>
  </si>
  <si>
    <t>Microsoft AI</t>
  </si>
  <si>
    <t>Mr. Mustafa Suleyman</t>
  </si>
  <si>
    <t xml:space="preserve">CEO </t>
  </si>
  <si>
    <t>https://www.linkedin.com/in/mustafa-suleyman/</t>
  </si>
  <si>
    <t>CoinSwitch Kuber</t>
  </si>
  <si>
    <t>Ashish Singhal</t>
  </si>
  <si>
    <t>singhalashish343@gmail.com, ashish@coinswitch.co	+91-9663892522</t>
  </si>
  <si>
    <t>Aye Finance</t>
  </si>
  <si>
    <t>Sanjay Sharma</t>
  </si>
  <si>
    <t>mustafas@microsoft.com</t>
  </si>
  <si>
    <t>MD &amp; Founder</t>
  </si>
  <si>
    <t>https://www.linkedin.com/in/sanjaysharmaaye/</t>
  </si>
  <si>
    <t>Mr. Christina Rogers</t>
  </si>
  <si>
    <t>https://www.linkedin.com/in/christina-rogers84/</t>
  </si>
  <si>
    <t>Govind Soni</t>
  </si>
  <si>
    <t>ssharmain@gmail.com</t>
  </si>
  <si>
    <t>chrisr@microsoft.com</t>
  </si>
  <si>
    <t>govindnsit07@gmail.com, govind@coinswitch.co</t>
  </si>
  <si>
    <t>Pallavi Walia</t>
  </si>
  <si>
    <t>Director of Comms</t>
  </si>
  <si>
    <t>https://www.linkedin.com/in/pallaviwalia/?originalSubdomain=in</t>
  </si>
  <si>
    <t>Vikram Jetley</t>
  </si>
  <si>
    <t>https://www.linkedin.com/in/vikram-jetley-b3489816/</t>
  </si>
  <si>
    <t>Vimal Sagar Tiwari</t>
  </si>
  <si>
    <t>vimalsagartiwari@gmail.com, vimal@coinswitch.co</t>
  </si>
  <si>
    <t>pwalia@microsoft.com</t>
  </si>
  <si>
    <t>Lauren Myers</t>
  </si>
  <si>
    <t>Head of Comms</t>
  </si>
  <si>
    <t>https://www.linkedin.com/in/lauren-myers-cavanagh-71801517/</t>
  </si>
  <si>
    <t>Sonia</t>
  </si>
  <si>
    <t>laurenmc@microsoft.com</t>
  </si>
  <si>
    <t>Copy
+919670625000</t>
  </si>
  <si>
    <t xml:space="preserve">sonal.jaiswal@coinswitch.co
</t>
  </si>
  <si>
    <t>Jupiter</t>
  </si>
  <si>
    <t>Jitendra Gupta</t>
  </si>
  <si>
    <t>Bank of Baroda</t>
  </si>
  <si>
    <t>Mr. Debadatta Chand</t>
  </si>
  <si>
    <t>linkedin.com/in/guptajiten?originalSubdomain=in</t>
  </si>
  <si>
    <t>https://www.linkedin.com/in/dr-debadatta-chand-0208b711a/?originalSubdomain=in</t>
  </si>
  <si>
    <t>Licious</t>
  </si>
  <si>
    <t>Vivek Gupta</t>
  </si>
  <si>
    <t>https://www.linkedin.com/in/vivek-gupta-licious/</t>
  </si>
  <si>
    <t>97699 33329</t>
  </si>
  <si>
    <t>jiten@jupiter.money</t>
  </si>
  <si>
    <t>vivek@licious.in</t>
  </si>
  <si>
    <t>Mr. Lalit Tyagi</t>
  </si>
  <si>
    <t>https://www.linkedin.com/in/lalit-tyagi-8643b416/?originalSubdomain=in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</si>
  <si>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Tiyasha Mukherjee</t>
    </r>
  </si>
  <si>
    <t>lalit.tyagi@bankofbaroda.com</t>
  </si>
  <si>
    <t>Niyo</t>
  </si>
  <si>
    <t>Virender Bisht</t>
  </si>
  <si>
    <t>Co-founder &amp; CTO</t>
  </si>
  <si>
    <t>https://www.linkedin.com/in/virender-bisht-a6b1078/</t>
  </si>
  <si>
    <t>HCL Technologies Ltd</t>
  </si>
  <si>
    <t>Shiva Nadar</t>
  </si>
  <si>
    <t xml:space="preserve">people </t>
  </si>
  <si>
    <t>Chairman Emeritus</t>
  </si>
  <si>
    <t>tiyasha.mukherjee06@outlook.com</t>
  </si>
  <si>
    <t xml:space="preserve"> foundationconnect@shivnadarfoundation.org</t>
  </si>
  <si>
    <t>C Vijayakumar</t>
  </si>
  <si>
    <t>vijayakumar_c@hcltech.com</t>
  </si>
  <si>
    <t>Vedantu</t>
  </si>
  <si>
    <t>Vamsi Krishna</t>
  </si>
  <si>
    <t>https://www.linkedin.com/in/profilevamsikrishna/</t>
  </si>
  <si>
    <t>Bajaj Finserv Ltd</t>
  </si>
  <si>
    <t>vamsi@vedantu.com</t>
  </si>
  <si>
    <t>Sanjiv Bajaj</t>
  </si>
  <si>
    <t>Chairman and Managing Director</t>
  </si>
  <si>
    <t>https://www.linkedin.com/in/sanjiv-r-bajaj/?originalSubdomain=in</t>
  </si>
  <si>
    <t>Fi (Epifi)</t>
  </si>
  <si>
    <t>Sujith Narayanan</t>
  </si>
  <si>
    <t>https://www.linkedin.com/in/sujithnarayanan/</t>
  </si>
  <si>
    <t>sanjiv.bajaj@cii.in</t>
  </si>
  <si>
    <t>77385 08040</t>
  </si>
  <si>
    <t>sujith@epifi.com</t>
  </si>
  <si>
    <t>Pulkit Jain</t>
  </si>
  <si>
    <t>Ganesh Mohan</t>
  </si>
  <si>
    <t>Managing Director, Asset Mgmt</t>
  </si>
  <si>
    <t>https://www.linkedin.com/in/jainpulkit/</t>
  </si>
  <si>
    <t>https://www.linkedin.com/in/ganesh-mohan-5840841/?originalSubdomain=in</t>
  </si>
  <si>
    <t>pulkit@vedantu.com</t>
  </si>
  <si>
    <t>Sumit Gwalani</t>
  </si>
  <si>
    <t>https://www.linkedin.com/in/sumitgwalani/</t>
  </si>
  <si>
    <t>ganesh.mohan@bajajamc.com</t>
  </si>
  <si>
    <t>NVIDIA</t>
  </si>
  <si>
    <t>Jensen Huang</t>
  </si>
  <si>
    <t>https://www.linkedin.com/in/jenhsunhuang/</t>
  </si>
  <si>
    <t>Chitresh Sharma</t>
  </si>
  <si>
    <t>jensenh@nvidia.com</t>
  </si>
  <si>
    <t>https://www.linkedin.com/in/chitreshsharma/</t>
  </si>
  <si>
    <t>Colette Kress</t>
  </si>
  <si>
    <t>EVP/CFO</t>
  </si>
  <si>
    <t>https://www.linkedin.com/in/colette-kress-22328346/</t>
  </si>
  <si>
    <t>99812 03722</t>
  </si>
  <si>
    <t>sharmachitresh90@gmail.com</t>
  </si>
  <si>
    <t>Mindtickle</t>
  </si>
  <si>
    <t>Krishna Gopal Depura</t>
  </si>
  <si>
    <r>
      <rPr>
        <rFont val="Arial"/>
        <color rgb="FF1155CC"/>
        <sz val="12.0"/>
        <u/>
      </rPr>
      <t>linkedin.com/in/krishna-gopal-depura-344630</t>
    </r>
  </si>
  <si>
    <t>ckress@nvidia.com</t>
  </si>
  <si>
    <t>colettekress@hotmail.com</t>
  </si>
  <si>
    <t>Apoorv Kumar</t>
  </si>
  <si>
    <t>https://www.linkedin.com/in/apoorvkumar/</t>
  </si>
  <si>
    <t>krishna.depura@mindtickle.com</t>
  </si>
  <si>
    <t>Sachiko Gomez</t>
  </si>
  <si>
    <t>https://www.linkedin.com/in/sachiko-gomez-57219777/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</si>
  <si>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Sunil Setlur</t>
    </r>
  </si>
  <si>
    <t>sgomez@nvidia.com</t>
  </si>
  <si>
    <t>Vishal Dhupar</t>
  </si>
  <si>
    <t>https://www.linkedin.com/in/vishaldhupar/?originalSubdomain=in</t>
  </si>
  <si>
    <t>sunilsetlur@gmail.com
Copy
sunil@bit.ly</t>
  </si>
  <si>
    <t>Uni Cards</t>
  </si>
  <si>
    <t>Nitin Gupta</t>
  </si>
  <si>
    <t>https://www.linkedin.com/posts/joydipgupta_nitin-gupta-founder-ceo-uni-cards-on-activity-7290657794477719552-gw7W/</t>
  </si>
  <si>
    <t>vdhupar@nvidia.com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</si>
  <si>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Harsh Jain</t>
    </r>
  </si>
  <si>
    <t>Anabella James</t>
  </si>
  <si>
    <t>Executvie Assistant</t>
  </si>
  <si>
    <t>https://www.linkedin.com/in/anabella-james-a9434826/</t>
  </si>
  <si>
    <t>nitinguptaiitd@gmail.com</t>
  </si>
  <si>
    <t>Culture Enforcement Officer (CEO) &amp; Co-Founder of Dream Sports (Dream11, FanCode, DreamSetGo, Dream Cricket, Sixer, Dream Sports Foundation etc). Always looking for great talent to join us!</t>
  </si>
  <si>
    <t>harsh@dream11.com</t>
  </si>
  <si>
    <t>harsh@mumbaitech.team</t>
  </si>
  <si>
    <t>anabellaj@nvidia.com</t>
  </si>
  <si>
    <t>Prateek Jindal</t>
  </si>
  <si>
    <t>//DO NOT MAIL REMAINING NVIDIA</t>
  </si>
  <si>
    <t>https://www.linkedin.com/in/prateek-jindal-0560b213/</t>
  </si>
  <si>
    <t>Janinie Paniagua</t>
  </si>
  <si>
    <t>Director of Executive Communications</t>
  </si>
  <si>
    <t>https://www.linkedin.com/in/janine-paniagua-23560747/</t>
  </si>
  <si>
    <t>BrowserStack</t>
  </si>
  <si>
    <t>Ritesh Arora</t>
  </si>
  <si>
    <t>janinep@nvidia.com</t>
  </si>
  <si>
    <t>https://www.linkedin.com/in/ritesh-arora-88937b7/</t>
  </si>
  <si>
    <t>Sydney Massing- Schaffer</t>
  </si>
  <si>
    <t>Jar</t>
  </si>
  <si>
    <t>Corporate Events</t>
  </si>
  <si>
    <t>Nishchay AG</t>
  </si>
  <si>
    <t>https://www.linkedin.com/in/sydneymassing/</t>
  </si>
  <si>
    <t>https://www.linkedin.com/in/nishchay-ag-904b325/</t>
  </si>
  <si>
    <t>ritesh@browserstack.com</t>
  </si>
  <si>
    <t>91 91676 63006</t>
  </si>
  <si>
    <t>agnishchay@gmail.com</t>
  </si>
  <si>
    <t>smassing@nvidia.com</t>
  </si>
  <si>
    <t>Laura Fay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</si>
  <si>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Nakul Aggarwal</t>
    </r>
  </si>
  <si>
    <t>Vice President Enterprise Marketing</t>
  </si>
  <si>
    <t>https://www.linkedin.com/in/laura-fay-b95688/</t>
  </si>
  <si>
    <t>Misbah Ashraf</t>
  </si>
  <si>
    <t>Co-founder &amp; CPO</t>
  </si>
  <si>
    <t>https://www.linkedin.com/in/misbahashraf/</t>
  </si>
  <si>
    <t>nakul@browserstack.com</t>
  </si>
  <si>
    <t>nakula@gmail.com</t>
  </si>
  <si>
    <t>lfay@nvidia.com</t>
  </si>
  <si>
    <t>Yogesh Agrawal</t>
  </si>
  <si>
    <t>Vice President</t>
  </si>
  <si>
    <t>https://www.linkedin.com/in/yagrawal/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</si>
  <si>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Smarak Mohanty</t>
    </r>
  </si>
  <si>
    <t>yogesha@nvidia.com</t>
  </si>
  <si>
    <t>Fibe (EarlySalary)</t>
  </si>
  <si>
    <t>Akshay Mehrotra</t>
  </si>
  <si>
    <t>Mark Hamilton</t>
  </si>
  <si>
    <t>CEO's Office at BrowserStack | Ex-OLA | IIT Bombay</t>
  </si>
  <si>
    <t>https://www.linkedin.com/in/akshay-mehrotra-b671925/</t>
  </si>
  <si>
    <t>VP, Solution Architecture</t>
  </si>
  <si>
    <t>https://www.linkedin.com/in/marchamilton/</t>
  </si>
  <si>
    <t>smarakmohanty1001@gmail.com</t>
  </si>
  <si>
    <t>akxmehrotra@gmail.com</t>
  </si>
  <si>
    <t>mhamilton@nvidia.com</t>
  </si>
  <si>
    <t>Games24x7</t>
  </si>
  <si>
    <t>Bhavin Pandya</t>
  </si>
  <si>
    <t>bp@games24x7.com consultvin@gmail.com</t>
  </si>
  <si>
    <t>Ashish Goyal</t>
  </si>
  <si>
    <t>Co-founder &amp; CFO</t>
  </si>
  <si>
    <t>https://www.linkedin.com/in/ashish-goyal-a5554313/</t>
  </si>
  <si>
    <t>P. M. Prasad</t>
  </si>
  <si>
    <t>Trivikraman Thampy</t>
  </si>
  <si>
    <t>dtpp.ncl.cil@coalindia.in</t>
  </si>
  <si>
    <t>Coal India Ltd</t>
  </si>
  <si>
    <t>G Pandey</t>
  </si>
  <si>
    <t>Director (Business Development)</t>
  </si>
  <si>
    <t>dtop.ncl.cil@coalindia.in</t>
  </si>
  <si>
    <t>Vikrant Goyal</t>
  </si>
  <si>
    <t>Accenture</t>
  </si>
  <si>
    <t xml:space="preserve">cos </t>
  </si>
  <si>
    <t>Julie Sweet</t>
  </si>
  <si>
    <t>vikigoyal2210@gmail.com</t>
  </si>
  <si>
    <t>https://www.linkedin.com/in/julie-sweet/</t>
  </si>
  <si>
    <t>Classplus</t>
  </si>
  <si>
    <t>Mukul Rustagi</t>
  </si>
  <si>
    <t>https://www.linkedin.com/in/mukul-rustagi-45462316/</t>
  </si>
  <si>
    <t>julie.sweet@accenture.com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</si>
  <si>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Mitchelle D'souza</t>
    </r>
  </si>
  <si>
    <t>88004 46892</t>
  </si>
  <si>
    <t>mrik.mukul@gmail.com</t>
  </si>
  <si>
    <t>Ajay Vij</t>
  </si>
  <si>
    <t>https://www.linkedin.com/in/ajay-vij-040292/?originalSubdomain=in</t>
  </si>
  <si>
    <t>Executive Assistant to Founder | CXO’s | AI &amp; Tech</t>
  </si>
  <si>
    <t>Bhaswat Agarwal</t>
  </si>
  <si>
    <t>dsouzamishu@gmail.com</t>
  </si>
  <si>
    <t>https://www.linkedin.com/in/bhaswat-agarwal-classplus/</t>
  </si>
  <si>
    <t>ajay.vij@accenture.com</t>
  </si>
  <si>
    <t>Arundhati Chakraborty</t>
  </si>
  <si>
    <t>Chief Executive</t>
  </si>
  <si>
    <t>https://www.linkedin.com/in/arundhati-chak/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</si>
  <si>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Tejashri Rane</t>
    </r>
  </si>
  <si>
    <t>Sr. Admin Executive at Games24x7</t>
  </si>
  <si>
    <t>arundhati0708@gmail.com</t>
  </si>
  <si>
    <t>ranetejashri@gmail.com</t>
  </si>
  <si>
    <t>tejashri.rane@games24x7.com</t>
  </si>
  <si>
    <t>Teachmint</t>
  </si>
  <si>
    <t>Mihir Gupta</t>
  </si>
  <si>
    <t>https://www.linkedin.com/in/gmihir/</t>
  </si>
  <si>
    <t>Mansi Arora</t>
  </si>
  <si>
    <t>https://www.linkedin.com/in/raghupolisetty/</t>
  </si>
  <si>
    <t>98207 18028</t>
  </si>
  <si>
    <t>mihir0492@gmail.com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</si>
  <si>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Lauren (Breuning) Curbelo</t>
    </r>
  </si>
  <si>
    <t>mansi.arora@accenture.com</t>
  </si>
  <si>
    <t>Priyanka Abbi</t>
  </si>
  <si>
    <t>https://www.linkedin.com/in/priyankaabbi09/</t>
  </si>
  <si>
    <t>laurenbreuning@gmail.com</t>
  </si>
  <si>
    <t>Payoj Jain</t>
  </si>
  <si>
    <t>lauren.curbelo@games24x7.com</t>
  </si>
  <si>
    <t>https://www.linkedin.com/in/payoj-jain/</t>
  </si>
  <si>
    <t>priyanka.abbi@accenture.com</t>
  </si>
  <si>
    <t>Alison Kennedy</t>
  </si>
  <si>
    <t>Senior Managing Director</t>
  </si>
  <si>
    <t>Fractal Analytics</t>
  </si>
  <si>
    <t>https://www.linkedin.com/in/alison-kennedy-2aaa6b14/</t>
  </si>
  <si>
    <t>Pranay Agrawal</t>
  </si>
  <si>
    <t>Divyansh Bordia</t>
  </si>
  <si>
    <t>https://www.linkedin.com/in/divyansh-bordia/</t>
  </si>
  <si>
    <t>alison.kennedy@accenture.com</t>
  </si>
  <si>
    <t>Sumedha Mahorey</t>
  </si>
  <si>
    <t>Global Media Relatons Lead</t>
  </si>
  <si>
    <t>https://www.linkedin.com/in/sumedha-mahorey-4a523a3/</t>
  </si>
  <si>
    <t>Srikanth Velamakanni</t>
  </si>
  <si>
    <t>Cuemath</t>
  </si>
  <si>
    <t>Manan Khurma</t>
  </si>
  <si>
    <t>https://www.linkedin.com/in/manankhurma/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</si>
  <si>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Namita Bhaidasna</t>
    </r>
  </si>
  <si>
    <t>sumedha.mahorey@accenture.com</t>
  </si>
  <si>
    <t>manan@cuemath.com</t>
  </si>
  <si>
    <t>Executive Assistant at Fractal Analytics</t>
  </si>
  <si>
    <t>namita.bhaidasna@fractal.ai</t>
  </si>
  <si>
    <t>namita.bhaidasna@gmail.com</t>
  </si>
  <si>
    <t>Aditya Birla Group</t>
  </si>
  <si>
    <t>Kumar Mangalam Birla</t>
  </si>
  <si>
    <t>https://www.linkedin.com/in/kumar-manglam-a95a316b/?originalSubdomain=in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</si>
  <si>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Rohini Singh</t>
    </r>
  </si>
  <si>
    <t>Scaler</t>
  </si>
  <si>
    <t>Abhimanyu Saxena</t>
  </si>
  <si>
    <t>https://www.linkedin.com/in/abhimanyusaxena/</t>
  </si>
  <si>
    <t>Chief People Officer at Fractal</t>
  </si>
  <si>
    <t>rohini.yadav@gmail.com</t>
  </si>
  <si>
    <t>99237 04608</t>
  </si>
  <si>
    <t>abhimanyu@scaler.com</t>
  </si>
  <si>
    <t>Sushil Agarwal</t>
  </si>
  <si>
    <t>Group CFO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</si>
  <si>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Bharath Nagendra</t>
    </r>
  </si>
  <si>
    <t>Anshuman Singh</t>
  </si>
  <si>
    <t>https://www.linkedin.com/in/anshuman-singh-scaler/</t>
  </si>
  <si>
    <t>Google</t>
  </si>
  <si>
    <t>Sundar Pichai</t>
  </si>
  <si>
    <t>Human Resource Director | Talent Management &amp; HR Transformation Leader |</t>
  </si>
  <si>
    <t>https://www.linkedin.com/in/sundarpichai/</t>
  </si>
  <si>
    <t>bharathnagendra@gmail.com</t>
  </si>
  <si>
    <t>sundar@google.com</t>
  </si>
  <si>
    <t xml:space="preserve">Google  </t>
  </si>
  <si>
    <t>Roma Datta Chobey</t>
  </si>
  <si>
    <t>Adda247</t>
  </si>
  <si>
    <t>https://www.linkedin.com/in/roma-datta-chobey-8474bb31/?originalSubdomain=in</t>
  </si>
  <si>
    <t>Anil Nagar</t>
  </si>
  <si>
    <t>https://www.linkedin.com/in/anil-nagar/</t>
  </si>
  <si>
    <t>anil@addaeducation.com</t>
  </si>
  <si>
    <t>roma@google.com</t>
  </si>
  <si>
    <t>Amit Kumar</t>
  </si>
  <si>
    <t>Saurabh Bansal</t>
  </si>
  <si>
    <t>https://www.linkedin.com/in/saurabh-bansal-adda247/</t>
  </si>
  <si>
    <t>https://www.linkedin.com/in/amit-kumar-11241a7/</t>
  </si>
  <si>
    <t>VerSe Innovation</t>
  </si>
  <si>
    <t>Umang Bedi</t>
  </si>
  <si>
    <t>umang.bedi@gmail.com, umang.bedi@verse.in</t>
  </si>
  <si>
    <t>amittkumarr@google.com</t>
  </si>
  <si>
    <t>Thoman Kurian</t>
  </si>
  <si>
    <t>CEO at Google cloud</t>
  </si>
  <si>
    <t>https://www.linkedin.com/in/thomas-kurian-469b6219/</t>
  </si>
  <si>
    <t>CollegeDekho</t>
  </si>
  <si>
    <t>Virendra Gupta</t>
  </si>
  <si>
    <t>Ruchir Arora</t>
  </si>
  <si>
    <t>https://www.linkedin.com/in/aroraruchir?originalSubdomain=in</t>
  </si>
  <si>
    <t>tkurian@google.com</t>
  </si>
  <si>
    <t>Gaurav Bhaskar</t>
  </si>
  <si>
    <t>Director, Global Comm</t>
  </si>
  <si>
    <t>https://www.linkedin.com/in/bhaskargaurav/?originalSubdomain=sg</t>
  </si>
  <si>
    <t>aroraruchir@gmail.com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</si>
  <si>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Rohit Sandal</t>
    </r>
  </si>
  <si>
    <t>Saurabh Jain</t>
  </si>
  <si>
    <t>https://www.linkedin.com/in/saurabh-jain-collegedekho/</t>
  </si>
  <si>
    <t>gauravbhaskar@google.com</t>
  </si>
  <si>
    <t>Saiyai Sakawee</t>
  </si>
  <si>
    <t xml:space="preserve">sandalrohit@gmail.com
rohit.sandal@freshworks.com
rohit.sandal@verse.in
</t>
  </si>
  <si>
    <t>Comms Manager</t>
  </si>
  <si>
    <t>https://www.linkedin.com/in/saiyai/</t>
  </si>
  <si>
    <t>saiyai@google.com</t>
  </si>
  <si>
    <t>Leverage Edu</t>
  </si>
  <si>
    <t>Jackie Wang</t>
  </si>
  <si>
    <t>Akshay Chaturvedi</t>
  </si>
  <si>
    <t>Director, Google Customer Solutions SEA</t>
  </si>
  <si>
    <t>https://www.linkedin.com/in/akshaychaturvedi/</t>
  </si>
  <si>
    <t>https://www.linkedin.com/in/jackie-wang-41bb012/</t>
  </si>
  <si>
    <t>akshaychaturvedi001@gmail.com</t>
  </si>
  <si>
    <t>jackiewang@google.com</t>
  </si>
  <si>
    <t>Larsen &amp; Toubro Ltd (L&amp;T)</t>
  </si>
  <si>
    <t>S. N. Subrahmanyan</t>
  </si>
  <si>
    <t>https://www.linkedin.com/in/s-r-subramanian-475207b/?originalSubdomain=in</t>
  </si>
  <si>
    <t>Simplilearn</t>
  </si>
  <si>
    <t>Krishna Kumar</t>
  </si>
  <si>
    <t>https://www.linkedin.com/in/krishnakumar-simplilearn/</t>
  </si>
  <si>
    <t>98801 33661</t>
  </si>
  <si>
    <t>krishna@simplilearn.com</t>
  </si>
  <si>
    <t>s.subramanian@larsentoubro.com</t>
  </si>
  <si>
    <t>R. Shankar Raman</t>
  </si>
  <si>
    <t>https://www.linkedin.com/in/shankar-raman-2193808/?originalSubdomain=in</t>
  </si>
  <si>
    <t>Tushar Vashisht</t>
  </si>
  <si>
    <t>https://www.linkedin.com/in/tusharvashisht/</t>
  </si>
  <si>
    <t>shankar.raman@larsentoubro.com</t>
  </si>
  <si>
    <t>Amit Jain</t>
  </si>
  <si>
    <t xml:space="preserve"> 98805 58972</t>
  </si>
  <si>
    <t>tusharvas@gmail.com</t>
  </si>
  <si>
    <t>amitjain01@gmail.com, amit@girnarsoft.com, am****@girnarsoft.com	(141) 262-0451, +91-1414224400</t>
  </si>
  <si>
    <t>Hinduja Group</t>
  </si>
  <si>
    <t>Sreedhar Rajendra</t>
  </si>
  <si>
    <t>https://www.linkedin.com/in/sreedhar-rajendran-5a1a96248/?originalSubdomain=in</t>
  </si>
  <si>
    <t>Sachin Shenoy</t>
  </si>
  <si>
    <t>https://www.linkedin.com/in/sachinshenoy/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</si>
  <si>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Manish Wadhwa</t>
    </r>
  </si>
  <si>
    <t xml:space="preserve">manishwadhwa0@gmail.com
</t>
  </si>
  <si>
    <t>Ashok P. Hinduja</t>
  </si>
  <si>
    <t>Chairman (India)</t>
  </si>
  <si>
    <t>Petronet LNG Ltd</t>
  </si>
  <si>
    <t>Akshay Kumar Singh</t>
  </si>
  <si>
    <t>webmaster@petronetlng.in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</si>
  <si>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Megha Rastogi</t>
    </r>
  </si>
  <si>
    <t>Ultrahuman</t>
  </si>
  <si>
    <t>Mohit Kumar</t>
  </si>
  <si>
    <t>https://www.linkedin.com/in/mohit-kumar-ultrahuman/</t>
  </si>
  <si>
    <t>V. K. Singh</t>
  </si>
  <si>
    <t>Executive Assistant- CarDekho(Group CFO)</t>
  </si>
  <si>
    <t>manirastogi94@gmail.com</t>
  </si>
  <si>
    <t>mohitasmi@gmail.com</t>
  </si>
  <si>
    <t>InterGlobe Aviation Ltd (IndiGo)</t>
  </si>
  <si>
    <t>Vikram Singh Mehta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</si>
  <si>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Jaspreet Kaur Saini</t>
    </r>
  </si>
  <si>
    <t>Vatsal Singhal</t>
  </si>
  <si>
    <t>Rahul Bhatia</t>
  </si>
  <si>
    <t>https://www.linkedin.com/in/vatsal-singhal/</t>
  </si>
  <si>
    <t>https://www.linkedin.com/in/rahul-bhatia-55a4b61/?originalSubdomain=in</t>
  </si>
  <si>
    <t>Executive Assistant | 13+ Years in Administration &amp; Coordination | CarDekho, Dalmia Bharat, Jet Airways, Saudi Airlines, Indigo | Skilled in Travel Management, Event Planning &amp; Stakeholder Engagement</t>
  </si>
  <si>
    <t>rahul.bhatia@globaldata.com</t>
  </si>
  <si>
    <t>Rashmi Soni</t>
  </si>
  <si>
    <t>VP - Corporate Communications</t>
  </si>
  <si>
    <t>https://www.linkedin.com/in/rashmi-soni-scpm%C2%AE-227ba51/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</si>
  <si>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jeetesh maheshwari</t>
    </r>
  </si>
  <si>
    <t>MediBuddy</t>
  </si>
  <si>
    <t>Satish Kannan</t>
  </si>
  <si>
    <t>https://www.linkedin.com/in/satishkannan16/</t>
  </si>
  <si>
    <t>rashmi.soni@goindigo.in</t>
  </si>
  <si>
    <t>jeetesh.maheshwari@cardekho.com</t>
  </si>
  <si>
    <t>satishkannan16@gmail.com</t>
  </si>
  <si>
    <t>Anuradha Mukharjee Chaudhari</t>
  </si>
  <si>
    <t>Manager- Communications</t>
  </si>
  <si>
    <t>https://www.linkedin.com/in/anuradha-mukherjee-chaudhuri-2b1b5538/</t>
  </si>
  <si>
    <t>Enbasekar Dinadayalane</t>
  </si>
  <si>
    <t>https://www.linkedin.com/in/enbasekar/</t>
  </si>
  <si>
    <t>anuradha.chaudhuri@goindigo.in</t>
  </si>
  <si>
    <t>https://www.linkedin.com/in/vineetsukumar/</t>
  </si>
  <si>
    <t>vineetsukumar@gmail.com</t>
  </si>
  <si>
    <t>UltraTech Industries Ltd (Grasim Industries Subsidiary)</t>
  </si>
  <si>
    <t>Dilip Gour</t>
  </si>
  <si>
    <t>Chief Operating Officer</t>
  </si>
  <si>
    <t>https://www.linkedin.com/in/dilipgaur/?originalSubdomain=in</t>
  </si>
  <si>
    <t>Redcliffe Labs</t>
  </si>
  <si>
    <t>Aditya Kandoi</t>
  </si>
  <si>
    <t>https://www.linkedin.com/in/adityakandoi/</t>
  </si>
  <si>
    <t>https://www.linkedin.com/in/gaurav-kumar-2a465114/</t>
  </si>
  <si>
    <t>dilip.gaur@adityabirla.com</t>
  </si>
  <si>
    <t>gauravirma@gmail.com</t>
  </si>
  <si>
    <t>adiitbhu@gmail.com</t>
  </si>
  <si>
    <t>Sun Pharmaceutical Industries Ltd</t>
  </si>
  <si>
    <t>Dilip Shanghvi</t>
  </si>
  <si>
    <t>Dheeraj Jain</t>
  </si>
  <si>
    <t>https://www.linkedin.com/in/dheerajjain/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</si>
  <si>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Raja Rajeswari Kodan</t>
    </r>
  </si>
  <si>
    <t>dilip.shanghvi@sunpharma.com</t>
  </si>
  <si>
    <t>Gaurav Chugh</t>
  </si>
  <si>
    <t>PA</t>
  </si>
  <si>
    <t>gaurav.chugh@sunpharma.com</t>
  </si>
  <si>
    <t xml:space="preserve">rajimulpuri@gmail.com
Copy
raja.kodan@vivriticapital.com
</t>
  </si>
  <si>
    <t>Dr Reddy’s Laboratories Ltd</t>
  </si>
  <si>
    <t>G V Prasad</t>
  </si>
  <si>
    <t>Co-Chairman and MD</t>
  </si>
  <si>
    <t>https://www.linkedin.com/in/gvprasadster/?originalSubdomain=in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</si>
  <si>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Hemang Mehta</t>
    </r>
  </si>
  <si>
    <t>Orange Health</t>
  </si>
  <si>
    <t>Dhruv Gupta</t>
  </si>
  <si>
    <t>Group Head Risk at Vivriti Capital I Chief Risk Officer at Vivriti Capital</t>
  </si>
  <si>
    <t>https://www.linkedin.com/in/dhruvgupta1?originalSubdomain=in</t>
  </si>
  <si>
    <t>prasadv@drreddys.com</t>
  </si>
  <si>
    <t>hemang.mehta@vivriticapital.com</t>
  </si>
  <si>
    <t>Erez Israeli</t>
  </si>
  <si>
    <t>Chief Executive Officer</t>
  </si>
  <si>
    <t>linkedin.com/in/erez-israeli-50a35585?originalSubdomain=il</t>
  </si>
  <si>
    <t>dhruvgupta999@gmail.com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</si>
  <si>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Aishwarya K</t>
    </r>
  </si>
  <si>
    <t>erez@drreddys.com</t>
  </si>
  <si>
    <t>Transforming Talent Acquisition | Strategy • Automation • Candidate Experience | Building Future-Ready Hiring Engines</t>
  </si>
  <si>
    <t>aishwarya.k@vivriticapital.com</t>
  </si>
  <si>
    <t>Tarun Bhambra</t>
  </si>
  <si>
    <t>https://www.linkedin.com/in/tarunbhambra/</t>
  </si>
  <si>
    <t>Cipla Ltd</t>
  </si>
  <si>
    <t>Yusuf Hamied</t>
  </si>
  <si>
    <t>Non-Executive Chairman</t>
  </si>
  <si>
    <t>https://www.linkedin.com/in/yusuf-hamied-9bb8b610b/?originalSubdomain=mu</t>
  </si>
  <si>
    <t>Umang Vohra</t>
  </si>
  <si>
    <t>Managing Director &amp; Global CEO</t>
  </si>
  <si>
    <t>Qure.ai</t>
  </si>
  <si>
    <t>https://www.linkedin.com/in/umangvohra/?originalSubdomain=in</t>
  </si>
  <si>
    <t>Zetwerk</t>
  </si>
  <si>
    <t>Amrit Acharya</t>
  </si>
  <si>
    <t>https://www.linkedin.com/in/amrit-acharya/</t>
  </si>
  <si>
    <t>Prashant Warier</t>
  </si>
  <si>
    <t>https://www.linkedin.com/in/pwarier/</t>
  </si>
  <si>
    <t>amrit@zetwerk.com</t>
  </si>
  <si>
    <t>umang.vohra@cipla.com</t>
  </si>
  <si>
    <t>prashantwarier@gmail.com</t>
  </si>
  <si>
    <t>BCG</t>
  </si>
  <si>
    <t>Saurav Chhajer</t>
  </si>
  <si>
    <t>sc@bcg.com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</si>
  <si>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Ginu Nair</t>
    </r>
  </si>
  <si>
    <t>https://www.linkedin.com/in/saurabhchhajer/</t>
  </si>
  <si>
    <t>Pooja Rao</t>
  </si>
  <si>
    <t>Co-founder &amp; R&amp;D Head</t>
  </si>
  <si>
    <t>https://www.linkedin.com/in/pooja-rao-qure/</t>
  </si>
  <si>
    <t xml:space="preserve">chro </t>
  </si>
  <si>
    <t xml:space="preserve">
9910956965
9711808008
9717896624
</t>
  </si>
  <si>
    <t xml:space="preserve">ginunair@gmail.com
</t>
  </si>
  <si>
    <t>saurabhchhajer@gmail.com</t>
  </si>
  <si>
    <t>Varun Ghaba</t>
  </si>
  <si>
    <t>Executive Assitant</t>
  </si>
  <si>
    <t>https://www.linkedin.com/in/varun-gaba-3a7432164/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</si>
  <si>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Raju Komaravolu</t>
    </r>
  </si>
  <si>
    <t>CEO - India Industrials at Zetwerk</t>
  </si>
  <si>
    <t>raju.komaravolu@zetwerk.com</t>
  </si>
  <si>
    <t>varun.gaba@bcg.com</t>
  </si>
  <si>
    <t>Dhruv Sethu</t>
  </si>
  <si>
    <t>https://www.linkedin.com/in/dhruv-sethi-ab675118/</t>
  </si>
  <si>
    <t>Fittr</t>
  </si>
  <si>
    <t>Jitendra Chouksey</t>
  </si>
  <si>
    <t>https://www.linkedin.com/in/jitendrachouksey/</t>
  </si>
  <si>
    <t>dhruv.sethi@bcg.com</t>
  </si>
  <si>
    <t>jc@fittr.com</t>
  </si>
  <si>
    <t>Varun Boppana</t>
  </si>
  <si>
    <t>https://www.linkedin.com/in/varunboppana/</t>
  </si>
  <si>
    <t>Srinath Ramakkrushnan</t>
  </si>
  <si>
    <t>boppana.varun@bcg.com</t>
  </si>
  <si>
    <t>Bhumika Gupta Oberoi</t>
  </si>
  <si>
    <t>Marketing Communications</t>
  </si>
  <si>
    <t>https://www.linkedin.com/in/bhumika-gupta/?originalSubdomain=in</t>
  </si>
  <si>
    <t>ginunair</t>
  </si>
  <si>
    <t>GreyOrange</t>
  </si>
  <si>
    <t xml:space="preserve">vp hr </t>
  </si>
  <si>
    <t>Samay Kohli</t>
  </si>
  <si>
    <t>https://www.linkedin.com/in/samaykohli/</t>
  </si>
  <si>
    <t>ginunair@gmail.com</t>
  </si>
  <si>
    <t>gupta.bhumika@bcg.com</t>
  </si>
  <si>
    <t>Hazel Menezes</t>
  </si>
  <si>
    <t>Marketing and Communications</t>
  </si>
  <si>
    <t>https://www.linkedin.com/in/hazel-menezes/</t>
  </si>
  <si>
    <t>hazel.menezes@bcg.com</t>
  </si>
  <si>
    <t>Akash Gupta</t>
  </si>
  <si>
    <t>https://www.linkedin.com/in/akash-gupta-greyorange/</t>
  </si>
  <si>
    <t>Ashok Leyland Ltd</t>
  </si>
  <si>
    <t>95603 23262</t>
  </si>
  <si>
    <t>Dheeraj G Hinduja</t>
  </si>
  <si>
    <t>akashn2008@gmail.com</t>
  </si>
  <si>
    <t>Shenu Agarwal</t>
  </si>
  <si>
    <t>https://www.linkedin.com/in/shenu-agarwal/</t>
  </si>
  <si>
    <t>Eruditus</t>
  </si>
  <si>
    <t>Chaitanya Kalipatnapu</t>
  </si>
  <si>
    <t>Locus</t>
  </si>
  <si>
    <t>Nishith Rastogi</t>
  </si>
  <si>
    <t>https://www.linkedin.com/in/nishithrastogi/</t>
  </si>
  <si>
    <t>shenu.agarwal@ashokleyland.com</t>
  </si>
  <si>
    <t>shenu.agarwal@escorts.co.in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</si>
  <si>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Kajal Dhage</t>
    </r>
  </si>
  <si>
    <t>shenu1605@gmail.com</t>
  </si>
  <si>
    <t>Bharat Heavy Electricals Ltd (BHEL)</t>
  </si>
  <si>
    <t>Associate Director - Human Resources at Emeritus &amp; Eruditus Executive Education</t>
  </si>
  <si>
    <t>K Sadashiv Murthy</t>
  </si>
  <si>
    <t>subietrastogi@gmail.com</t>
  </si>
  <si>
    <t>kajal.1503@gmail.com</t>
  </si>
  <si>
    <t>https://www.linkedin.com/in/sadashiv-murthy-koppu-512216242/</t>
  </si>
  <si>
    <t>Geet Garg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</si>
  <si>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Jui Lad</t>
    </r>
  </si>
  <si>
    <t>sadashivkoppu@hecltd.com</t>
  </si>
  <si>
    <t>https://www.linkedin.com/in/geet-garg/</t>
  </si>
  <si>
    <t>sadashivkoppu@bharatpumps.co.in</t>
  </si>
  <si>
    <t>juikulkarni08@gmail.com</t>
  </si>
  <si>
    <t>S M Ramanathan</t>
  </si>
  <si>
    <t>Director (Engineering, Research &amp; Dev.)</t>
  </si>
  <si>
    <t>https://www.linkedin.com/in/ramanathan-s-m-64235320/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</si>
  <si>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Pranjal Kumar</t>
    </r>
  </si>
  <si>
    <t>smrama@gmail.com</t>
  </si>
  <si>
    <t>Global CFO and Head of Corporate Development at Eruditus Executive Education</t>
  </si>
  <si>
    <t>kumarpjl@rediffmail.com</t>
  </si>
  <si>
    <t>Kushal Nahata</t>
  </si>
  <si>
    <t>Torrent Power Ltd</t>
  </si>
  <si>
    <t>Jinal Mehta</t>
  </si>
  <si>
    <t>https://www.linkedin.com/in/kushalnahata/</t>
  </si>
  <si>
    <t>Vice Chairman &amp; Managing Director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</si>
  <si>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Ganesh Shenoy</t>
    </r>
  </si>
  <si>
    <t>Samir Mehta</t>
  </si>
  <si>
    <t>kushalnahata@gmail.com</t>
  </si>
  <si>
    <t>Adani Power Ltd</t>
  </si>
  <si>
    <t>Anil Sardana</t>
  </si>
  <si>
    <t>https://www.linkedin.com/in/anil-sardana-30771721/</t>
  </si>
  <si>
    <t>Co-founder &amp; CPTO</t>
  </si>
  <si>
    <t>https://www.linkedin.com/in/gaurav-srivastava-fareye/</t>
  </si>
  <si>
    <t>anil.sardana@tatapower-ddl.com</t>
  </si>
  <si>
    <t>Sumit Gupta</t>
  </si>
  <si>
    <t>anil.sardana@tatapower.com</t>
  </si>
  <si>
    <t>aksardana@gmail.com</t>
  </si>
  <si>
    <t>Power Grid Corporation of India Ltd</t>
  </si>
  <si>
    <t>R. K. Tyagi</t>
  </si>
  <si>
    <t>Neeraj Khandelwal</t>
  </si>
  <si>
    <t>cmd@powergrid.in</t>
  </si>
  <si>
    <t>Gautam Kumar</t>
  </si>
  <si>
    <t>https://www.linkedin.com/in/gautam-kumar-fareye/</t>
  </si>
  <si>
    <t>Mohan K. Prasad</t>
  </si>
  <si>
    <t>Director (Projects)</t>
  </si>
  <si>
    <t xml:space="preserve">Apple </t>
  </si>
  <si>
    <t>Tim Cook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</si>
  <si>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Mudita Chauhan</t>
    </r>
  </si>
  <si>
    <t>https://www.linkedin.com/in/cooktim/?originalSubdomain=uk</t>
  </si>
  <si>
    <t>CHRO at NEOPAY</t>
  </si>
  <si>
    <t>mudita.chauhan@gmail.com</t>
  </si>
  <si>
    <t>tcook@acertitude.com</t>
  </si>
  <si>
    <t>Virat Bhatia</t>
  </si>
  <si>
    <t>https://www.linkedin.com/in/virat-bhatia-19304a97/?originalSubdomain=in</t>
  </si>
  <si>
    <t>Shadowfax</t>
  </si>
  <si>
    <t>Abhishek Bansal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</si>
  <si>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Rajbir Kaur Bindra</t>
    </r>
  </si>
  <si>
    <t>https://www.linkedin.com/in/abhishek-bansal-shadowfax/</t>
  </si>
  <si>
    <t>Vice President - Human Resources - Talent Acquisition &amp; Employer Branding</t>
  </si>
  <si>
    <t>abhishek@shadowfax.in</t>
  </si>
  <si>
    <t>connect2rajbir@gmail.com</t>
  </si>
  <si>
    <t>virat.bhatia@apple.com</t>
  </si>
  <si>
    <t>Punkaj Grover</t>
  </si>
  <si>
    <t>https://www.linkedin.com/in/groverpankaj/</t>
  </si>
  <si>
    <t>Vaibhav Khandelwal</t>
  </si>
  <si>
    <t>https://www.linkedin.com/in/vaibhav-khandelwal/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</si>
  <si>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Khushboo Gupta</t>
    </r>
  </si>
  <si>
    <t>pgrover@apple.com</t>
  </si>
  <si>
    <t>Everything People | FinTech | HRTech | EdTech | Citi | MDI</t>
  </si>
  <si>
    <t>Katie Jurow</t>
  </si>
  <si>
    <t>Executive Assistant to Tim Cook</t>
  </si>
  <si>
    <t>https://www.linkedin.com/in/katiejurowbarkett/</t>
  </si>
  <si>
    <t>khushboo.mdi@gmail.com</t>
  </si>
  <si>
    <t>Park+</t>
  </si>
  <si>
    <t>Amit Lakhotia</t>
  </si>
  <si>
    <t>jurow@apple.com</t>
  </si>
  <si>
    <t>https://www.linkedin.com/in/amitlakhotia/</t>
  </si>
  <si>
    <t>Shweta Mahajan</t>
  </si>
  <si>
    <t>https://www.linkedin.com/in/shweta-mahajan-27b577122/?originalSubdomain=in</t>
  </si>
  <si>
    <t>alakhotia@parkplus.io</t>
  </si>
  <si>
    <t>shweta@apple.com</t>
  </si>
  <si>
    <t>Adam Hunt</t>
  </si>
  <si>
    <t>Corporate Communications + PR</t>
  </si>
  <si>
    <t>https://www.linkedin.com/in/adamjhhunt/?originalSubdomain=ae</t>
  </si>
  <si>
    <t>Dream Sports</t>
  </si>
  <si>
    <t>Exotel</t>
  </si>
  <si>
    <t>linkedin.com/in/harshj22</t>
  </si>
  <si>
    <t>Shivakumar Ganesan</t>
  </si>
  <si>
    <t>https://www.linkedin.com/in/shivku/</t>
  </si>
  <si>
    <t>adam@apple.com</t>
  </si>
  <si>
    <t>Nick Leahy</t>
  </si>
  <si>
    <t>harshj22@gmail.com</t>
  </si>
  <si>
    <t>Director, Corporate Communications</t>
  </si>
  <si>
    <t>https://www.linkedin.com/in/nickleahy/</t>
  </si>
  <si>
    <t>shivku@gmail.com</t>
  </si>
  <si>
    <t>Ishwar Sridharan</t>
  </si>
  <si>
    <t>https://www.linkedin.com/in/ishwarsridharan/</t>
  </si>
  <si>
    <t>Bhavit Sheth</t>
  </si>
  <si>
    <t>nleahy@apple.com</t>
  </si>
  <si>
    <r>
      <rPr>
        <rFont val="Arial"/>
        <color rgb="FF1155CC"/>
        <sz val="12.0"/>
        <u/>
      </rPr>
      <t>linkedin.com/in/bhavitsheth</t>
    </r>
  </si>
  <si>
    <t>Kristin Huguet Quayle</t>
  </si>
  <si>
    <t>Vice President, Corporate Communications</t>
  </si>
  <si>
    <t>https://www.linkedin.com/in/kristin-huguet-quayle-a362b21/</t>
  </si>
  <si>
    <t>bhavitsheth@gmail.com</t>
  </si>
  <si>
    <t>khuguet@apple.com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</si>
  <si>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Manish Vedvikhyat</t>
    </r>
  </si>
  <si>
    <t>Whatfix</t>
  </si>
  <si>
    <t>Khadim Batti</t>
  </si>
  <si>
    <t>https://www.linkedin.com/in/khadimbatti/</t>
  </si>
  <si>
    <t>PA to CEO &amp; Co-Founder of Dream11 (Dream Sports), India’s Biggest Fantasy Sports Platform.</t>
  </si>
  <si>
    <t>Berkshire Hathaway</t>
  </si>
  <si>
    <t>manishv24@gmail.com</t>
  </si>
  <si>
    <t>khadim@gmail.com</t>
  </si>
  <si>
    <t>BlackRock</t>
  </si>
  <si>
    <t>Larry Fink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</si>
  <si>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Rajkumar Arude</t>
    </r>
  </si>
  <si>
    <t>https://www.linkedin.com/in/laurencefink/</t>
  </si>
  <si>
    <t>Vara Kumar</t>
  </si>
  <si>
    <t>https://www.linkedin.com/in/varakumar/</t>
  </si>
  <si>
    <t>PA to COO &amp; Co-Founder of Dream11 (Dream Sports), India’s Biggest Fantasy Sports Platform.</t>
  </si>
  <si>
    <t>raj071283@gmail.com</t>
  </si>
  <si>
    <t>larry_fink@blackrock.com</t>
  </si>
  <si>
    <t>Vanessa Walker</t>
  </si>
  <si>
    <t>https://www.linkedin.com/in/vanessa-walker-4a25b851/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</si>
  <si>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Harsh Jain</t>
    </r>
  </si>
  <si>
    <t>LambdaTest</t>
  </si>
  <si>
    <t>vanessa.walker@blackrock.com</t>
  </si>
  <si>
    <t>Asad Khan</t>
  </si>
  <si>
    <t>https://www.linkedin.com/in/asad-khan-lambdatest/</t>
  </si>
  <si>
    <t>Pravin Goel</t>
  </si>
  <si>
    <t>https://www.linkedin.com/in/pravin-goel-2452a54/?originalSubdomain=in</t>
  </si>
  <si>
    <t>asad@lambdatest.com</t>
  </si>
  <si>
    <t>pravin.goel@blackrock.com</t>
  </si>
  <si>
    <t>Jay Singh</t>
  </si>
  <si>
    <t>Prashant Sehgal</t>
  </si>
  <si>
    <t>https://www.linkedin.com/in/jaysingh-lambdatest/</t>
  </si>
  <si>
    <t>https://www.linkedin.com/in/prashant-sehgal-884b68/</t>
  </si>
  <si>
    <t>prashant.sehgal@blackrock.com</t>
  </si>
  <si>
    <t>Leigh Farris</t>
  </si>
  <si>
    <t>Global Head of Corporate Communications</t>
  </si>
  <si>
    <t>https://www.linkedin.com/in/leigh-farris-6bba456/</t>
  </si>
  <si>
    <t>BetterPlace</t>
  </si>
  <si>
    <t>Pravin Agarwala</t>
  </si>
  <si>
    <t>https://www.linkedin.com/in/pravinagarwala/</t>
  </si>
  <si>
    <t>leigh.farris@blackrock.com</t>
  </si>
  <si>
    <t>Christine Anderson</t>
  </si>
  <si>
    <t>Global Head Of Corporate Affairs</t>
  </si>
  <si>
    <t>https://www.linkedin.com/in/christine-anderson-33aa99123/</t>
  </si>
  <si>
    <t>pravinagarwala@gmail.com</t>
  </si>
  <si>
    <t>christine.anderson@blackstone.com</t>
  </si>
  <si>
    <t>Saurabh Tandon</t>
  </si>
  <si>
    <t>Sachin Bavishi</t>
  </si>
  <si>
    <t>https://www.linkedin.com/in/saurabhtandon-betterplace/</t>
  </si>
  <si>
    <t>https://www.linkedin.com/in/sachin-bavishi/</t>
  </si>
  <si>
    <t>sachin.bavishi@blackstone.com</t>
  </si>
  <si>
    <t>Goldman Sachs</t>
  </si>
  <si>
    <t>David Solomon</t>
  </si>
  <si>
    <t>Chairman and CEO</t>
  </si>
  <si>
    <t>https://www.linkedin.com/in/david-m-solomon/</t>
  </si>
  <si>
    <t>https://www.linkedin.com/in/vineetasingh-sugar/</t>
  </si>
  <si>
    <t>david.solomon@gs.com</t>
  </si>
  <si>
    <t>This is probable mail might not be correct</t>
  </si>
  <si>
    <t>Ramesh Kamath</t>
  </si>
  <si>
    <t>https://www.linkedin.com/in/rameshkamath/?originalSubdomain=in</t>
  </si>
  <si>
    <t>Kaushik Mukherjee</t>
  </si>
  <si>
    <t>ramesh.kamath@gs.com</t>
  </si>
  <si>
    <t>https://www.linkedin.com/in/kaushikmukherjee/</t>
  </si>
  <si>
    <t>Jai Sahani</t>
  </si>
  <si>
    <t>https://www.linkedin.com/in/jai-sahani-2a40a5b/</t>
  </si>
  <si>
    <t>jai.sahani@gs.com</t>
  </si>
  <si>
    <t>Harmeet Kaur</t>
  </si>
  <si>
    <t>https://www.linkedin.com/in/harneet-kaur-3429863/</t>
  </si>
  <si>
    <t>BlueStone</t>
  </si>
  <si>
    <t>Gaurav Singh Kushwaha</t>
  </si>
  <si>
    <t>https://www.linkedin.com/in/gskush/</t>
  </si>
  <si>
    <t>harneet.kaur@gs.com</t>
  </si>
  <si>
    <t>Tabish Khan</t>
  </si>
  <si>
    <t>gauravkushwaha@gmail.com</t>
  </si>
  <si>
    <t>https://www.linkedin.com/in/tabish-khan-0b850923/</t>
  </si>
  <si>
    <t>tabish.khan@gs.com</t>
  </si>
  <si>
    <t>Ankit Chowdhari</t>
  </si>
  <si>
    <t>https://www.linkedin.com/in/ankit-chowdhari-a9846148/</t>
  </si>
  <si>
    <t>Melorra</t>
  </si>
  <si>
    <t>Saroja Yeramilli</t>
  </si>
  <si>
    <t>linkedin.com/in/saroja-yeramilli-2540321?originalSubdomain=in</t>
  </si>
  <si>
    <t>ankit.chowdhari@gs.com</t>
  </si>
  <si>
    <t>Chaitra Purushotham</t>
  </si>
  <si>
    <t>https://www.linkedin.com/in/chaitra-purushotham-22259917/</t>
  </si>
  <si>
    <t>ylsaroja@gmail.com</t>
  </si>
  <si>
    <t>chaitra.purushotham@goldmansachs.com</t>
  </si>
  <si>
    <t>Krishnamurthy Vaidyanathan</t>
  </si>
  <si>
    <t>Managing Director and CEO</t>
  </si>
  <si>
    <t>https://www.linkedin.com/in/kvaidyan/</t>
  </si>
  <si>
    <t>Giva</t>
  </si>
  <si>
    <t>krishnamurthy.vaidyanathan@gs.com</t>
  </si>
  <si>
    <t>Ishendra Agarwal</t>
  </si>
  <si>
    <t>https://www.linkedin.com/in/ishendra-agarwal-23a91a55/</t>
  </si>
  <si>
    <t>Shivaprasanna Hebbar</t>
  </si>
  <si>
    <t>https://www.linkedin.com/in/shivaprasannahebbar/?originalSubdomain=in</t>
  </si>
  <si>
    <t>ishendra@giva.co</t>
  </si>
  <si>
    <t>Nikita Prasad</t>
  </si>
  <si>
    <t>shivaprasanna.hebbar@gs.com</t>
  </si>
  <si>
    <t>https://www.linkedin.com/in/nikita-prasad-giva/</t>
  </si>
  <si>
    <t>Jennifer Zuccarelli</t>
  </si>
  <si>
    <t>Global Head of Media Relations</t>
  </si>
  <si>
    <t>https://www.linkedin.com/in/jennifer-zuccarelli-8945994a/</t>
  </si>
  <si>
    <t>jennifer.zuccarelli@gs.com</t>
  </si>
  <si>
    <t>Jared Cohen</t>
  </si>
  <si>
    <t>President of Global Affairs &amp; Co-Head</t>
  </si>
  <si>
    <t>https://www.linkedin.com/in/jared-cohen-13b071a/</t>
  </si>
  <si>
    <t>Country Delight</t>
  </si>
  <si>
    <t>Chakradhar Gade</t>
  </si>
  <si>
    <t>https://www.linkedin.com/in/chakradhar-gade/</t>
  </si>
  <si>
    <t>jared.cohen@gs.com</t>
  </si>
  <si>
    <t>chakrigade@gmail.com</t>
  </si>
  <si>
    <t>JP Morgan</t>
  </si>
  <si>
    <t>Jamie Dimon</t>
  </si>
  <si>
    <t>https://www.linkedin.com/in/jamiedimon/</t>
  </si>
  <si>
    <t>Nitin Kaushal</t>
  </si>
  <si>
    <t>https://www.linkedin.com/in/nitin-kaushal-cd/</t>
  </si>
  <si>
    <t>jamie.dimon@jpmchase.com</t>
  </si>
  <si>
    <t>Ajay Deshmukh</t>
  </si>
  <si>
    <t>https://www.linkedin.com/in/ajay-deshmukh-5984a015/</t>
  </si>
  <si>
    <t>WoodenStreet</t>
  </si>
  <si>
    <t>Lokendra Ranawat</t>
  </si>
  <si>
    <t>https://www.linkedin.com/in/lokendra-singh-ranawat-84324117/</t>
  </si>
  <si>
    <t>ajay.deshmukh@jpmchase.com</t>
  </si>
  <si>
    <t>Kavita Gopal</t>
  </si>
  <si>
    <t>https://www.linkedin.com/in/kavita-gopal-8772036a/</t>
  </si>
  <si>
    <t>ranawat.lokendra@yahoo.com</t>
  </si>
  <si>
    <t>Virendra Ranawat</t>
  </si>
  <si>
    <t>kavita.gopal@jpmchase.com</t>
  </si>
  <si>
    <t>https://www.linkedin.com/in/virendra-ranawat/</t>
  </si>
  <si>
    <t>Vidhya Duthaluru</t>
  </si>
  <si>
    <t>https://www.linkedin.com/in/vidhya-duthaluru-1b0bb734/</t>
  </si>
  <si>
    <t>vidhya.duthaluru@jpmorgan.com</t>
  </si>
  <si>
    <t>Subba Perepa</t>
  </si>
  <si>
    <t>https://www.linkedin.com/in/subbaperepa/</t>
  </si>
  <si>
    <t>subba.perepa@jpmorgan.com</t>
  </si>
  <si>
    <t>Srikrishna Kulkarni</t>
  </si>
  <si>
    <t>Srikanth Iyer</t>
  </si>
  <si>
    <t>https://www.linkedin.com/in/krishnakulkarni1975/</t>
  </si>
  <si>
    <t>https://www.linkedin.com/in/iyersrikanth/</t>
  </si>
  <si>
    <t>srikanthbiyer@gmail.com</t>
  </si>
  <si>
    <t>srikrishna.kulkarni@jpmchase.com</t>
  </si>
  <si>
    <t>Vishvesh Kumar</t>
  </si>
  <si>
    <t>Managing Director, Chief Administrative Officer</t>
  </si>
  <si>
    <t>https://www.linkedin.com/in/vishesh-kumar-82605a2a/</t>
  </si>
  <si>
    <t>Tanuj Choudhry</t>
  </si>
  <si>
    <t>https://www.linkedin.com/in/tanuj-choudhry/</t>
  </si>
  <si>
    <t>vishesh.kumar@jpmorgan.com</t>
  </si>
  <si>
    <t>Avani Ekbote Mahendra</t>
  </si>
  <si>
    <t>Executive Director and Head of Communications Corporate Centres</t>
  </si>
  <si>
    <t>https://www.linkedin.com/in/avanimahendra/</t>
  </si>
  <si>
    <t>avani.mahendra@jpmorgan.com</t>
  </si>
  <si>
    <t>Wakefit</t>
  </si>
  <si>
    <t>Ankit Garg</t>
  </si>
  <si>
    <t>https://www.linkedin.com/in/ankitgarg-wakefit/</t>
  </si>
  <si>
    <t>Brian Marchiony</t>
  </si>
  <si>
    <t>Global Head of Communications, Commercial &amp; Investment Bank</t>
  </si>
  <si>
    <t>https://www.linkedin.com/in/brianmarchiony/</t>
  </si>
  <si>
    <t>ankit.garg@wakefit.co</t>
  </si>
  <si>
    <t>brian.j.marchiony@jpmorgan.com</t>
  </si>
  <si>
    <t>Chaitanya Ramalingegowda</t>
  </si>
  <si>
    <t>Patrick Burton</t>
  </si>
  <si>
    <t>https://www.linkedin.com/in/chaitanyaramalingegowda/</t>
  </si>
  <si>
    <t>Head of Communications</t>
  </si>
  <si>
    <t>https://www.linkedin.com/in/patrick-burton-82a533/</t>
  </si>
  <si>
    <t>patrick.o.burton@jpmorgan.com</t>
  </si>
  <si>
    <t>Amazon</t>
  </si>
  <si>
    <t>Andy Jassy</t>
  </si>
  <si>
    <t xml:space="preserve">President </t>
  </si>
  <si>
    <t>https://www.linkedin.com/in/andy-jassy-8b1615/</t>
  </si>
  <si>
    <t>Bombay Shaving Co.</t>
  </si>
  <si>
    <t>Shantanu Deshpande</t>
  </si>
  <si>
    <t>https://www.linkedin.com/in/shantanudeshpandebsc/</t>
  </si>
  <si>
    <t>ajassy@amazon.com</t>
  </si>
  <si>
    <t>shantanudeshpande@bombayshavingcompany.com</t>
  </si>
  <si>
    <t>Reliance Infrastructure Ltd</t>
  </si>
  <si>
    <t>Mrs. Chhaya Virani</t>
  </si>
  <si>
    <t>Independent Director</t>
  </si>
  <si>
    <t>22 400 10000</t>
  </si>
  <si>
    <t>cvirani@almtlegal.com</t>
  </si>
  <si>
    <t>Punit Garg</t>
  </si>
  <si>
    <t>Executive Director &amp; CEO</t>
  </si>
  <si>
    <t>mCaffeine</t>
  </si>
  <si>
    <t>Tarun Sharma</t>
  </si>
  <si>
    <t>IndusInd Bank Ltd</t>
  </si>
  <si>
    <t>Rajiv Anand</t>
  </si>
  <si>
    <t>https://www.linkedin.com/in/tarun-sharma-a5993328?originalSubdomain=in</t>
  </si>
  <si>
    <t>https://www.linkedin.com/in/rajiv-anand-2730946/</t>
  </si>
  <si>
    <t>tsharma@letshyphen.com</t>
  </si>
  <si>
    <t>rajiv366@gmail.com</t>
  </si>
  <si>
    <t>Sunil Mehta</t>
  </si>
  <si>
    <t>Vikas Lachhwani</t>
  </si>
  <si>
    <t>https://www.linkedin.com/in/vikas-lachhwani/</t>
  </si>
  <si>
    <t>https://www.linkedin.com/in/sunil-mehta-29a98298/</t>
  </si>
  <si>
    <t>sunmehta99@gmail.com</t>
  </si>
  <si>
    <t>Tata Power Company Ltd</t>
  </si>
  <si>
    <t>N. Chandrasekaran</t>
  </si>
  <si>
    <t>Praveer Sinha</t>
  </si>
  <si>
    <t>Grasim Industries Ltd</t>
  </si>
  <si>
    <t>Plum</t>
  </si>
  <si>
    <t>Shankar Prasad</t>
  </si>
  <si>
    <t>linkedin.com/in/shankarprasad?originalSubdomain=in</t>
  </si>
  <si>
    <t>Himanshu Kapania</t>
  </si>
  <si>
    <t>Managing Director Grasim</t>
  </si>
  <si>
    <t>https://www.linkedin.com/in/himanshu-kapania/</t>
  </si>
  <si>
    <t>shankarprasadssp@gmail.com</t>
  </si>
  <si>
    <t>himanshu@grasim.com</t>
  </si>
  <si>
    <t>himanshukapania17@gmail.com</t>
  </si>
  <si>
    <t>Redington India Ltd</t>
  </si>
  <si>
    <t>Ramesh Natarajan</t>
  </si>
  <si>
    <t>https://www.linkedin.com/in/ramesh-natarajan-5533942/</t>
  </si>
  <si>
    <t>Minimalist</t>
  </si>
  <si>
    <t>Mohit Yadav</t>
  </si>
  <si>
    <t>https://www.linkedin.com/in/mohit-yadav-minimalist/</t>
  </si>
  <si>
    <t>ramesh.natarajan@redington.co.in</t>
  </si>
  <si>
    <t>V. S. Hariharan</t>
  </si>
  <si>
    <t>mohit@beminimalist.co</t>
  </si>
  <si>
    <t>MD &amp; Group CEO</t>
  </si>
  <si>
    <t>hariharan@thirdwavepower.com</t>
  </si>
  <si>
    <t>Rahul Yadav</t>
  </si>
  <si>
    <t>hp_hariharan@yahoo.com</t>
  </si>
  <si>
    <t>https://www.linkedin.com/in/rahul-yadav-minimalist/</t>
  </si>
  <si>
    <t>Hyundai Motor India Ltd</t>
  </si>
  <si>
    <t>Seon Seob Kim</t>
  </si>
  <si>
    <t>Goe Hyeon Woo</t>
  </si>
  <si>
    <t>Apollo Tyres Ltd</t>
  </si>
  <si>
    <t>Onkar Kanwar</t>
  </si>
  <si>
    <t>https://www.linkedin.com/in/onkar-kanwar-a162a5286/</t>
  </si>
  <si>
    <t>Heads Up For Tails</t>
  </si>
  <si>
    <t>Rashi Narang</t>
  </si>
  <si>
    <t>onkar.kanwar@apollotyres.com</t>
  </si>
  <si>
    <t>https://www.linkedin.com/in/rashinarang/</t>
  </si>
  <si>
    <t>Neeraj Kanwar</t>
  </si>
  <si>
    <t>Vice-Chairman and Managing Director</t>
  </si>
  <si>
    <t>https://www.linkedin.com/in/neeraj-kanwar-apollo/</t>
  </si>
  <si>
    <t>rashi@headsupfortails.com</t>
  </si>
  <si>
    <t>neeraj.kanwar@apollotyres.com</t>
  </si>
  <si>
    <t>TVS Motor Company Ltd</t>
  </si>
  <si>
    <t>Venu Srinivasan</t>
  </si>
  <si>
    <t>Samarth Narang</t>
  </si>
  <si>
    <t>https://www.linkedin.com/in/samarth-narang/</t>
  </si>
  <si>
    <t>Sudarsan Venu</t>
  </si>
  <si>
    <t>https://www.linkedin.com/in/sudarshan-venu-529434310/</t>
  </si>
  <si>
    <t>sudarshan.venu@tvsmotor.com</t>
  </si>
  <si>
    <t>MRF Ltd</t>
  </si>
  <si>
    <t>K. M. Mammen</t>
  </si>
  <si>
    <t>BluSmart</t>
  </si>
  <si>
    <t>Anmol Singh Jaggi</t>
  </si>
  <si>
    <t>https://www.linkedin.com/in/anmolsinghjaggi/</t>
  </si>
  <si>
    <t>RAHUL MAMMEN MAPPILLAI</t>
  </si>
  <si>
    <t>https://www.linkedin.com/in/rahul-mammen-49434bb8/</t>
  </si>
  <si>
    <t>ajaggi@ypo.org</t>
  </si>
  <si>
    <t>Punit K Goyal</t>
  </si>
  <si>
    <t>mr@mrftyres.com</t>
  </si>
  <si>
    <t>https://www.linkedin.com/in/punit-k-goyal/</t>
  </si>
  <si>
    <t>Tata Chemicals Ltd</t>
  </si>
  <si>
    <t>Mukundan Ramakrishnan</t>
  </si>
  <si>
    <t>https://www.linkedin.com/in/mukundan-ramakrishnan-10a652/</t>
  </si>
  <si>
    <t>Kuku FM</t>
  </si>
  <si>
    <t>Lal Chand Bisu</t>
  </si>
  <si>
    <t>https://www.linkedin.com/in/lalchandbisu/</t>
  </si>
  <si>
    <t>mukundan.ramakrishnan@gmail.com</t>
  </si>
  <si>
    <t>Asian Paints Ltd</t>
  </si>
  <si>
    <t>R Seshasayee</t>
  </si>
  <si>
    <t>Amit Syngle</t>
  </si>
  <si>
    <t>Dabur India Ltd</t>
  </si>
  <si>
    <t>P. D. Narang</t>
  </si>
  <si>
    <t>Group Director</t>
  </si>
  <si>
    <t>https://www.linkedin.com/in/p-d-narang-48739649/</t>
  </si>
  <si>
    <t>Vinod Kumar Meena</t>
  </si>
  <si>
    <t>https://www.linkedin.com/in/vinod-kumar-meena-0b3a165a/</t>
  </si>
  <si>
    <t>pdnarang@gmail.com</t>
  </si>
  <si>
    <t>Mohit Malhotra</t>
  </si>
  <si>
    <t>vinod2292@gmail.com</t>
  </si>
  <si>
    <t>https://www.linkedin.com/in/mohit-malhotra-1a8776168/</t>
  </si>
  <si>
    <t>Vikas Goyal</t>
  </si>
  <si>
    <t>https://www.linkedin.com/in/vikas-goyal-76a66627/</t>
  </si>
  <si>
    <t>mohit.malhotra@dabur.com</t>
  </si>
  <si>
    <t>Nestlé India Ltd</t>
  </si>
  <si>
    <t>P R Ramesh</t>
  </si>
  <si>
    <t>https://www.linkedin.com/in/pramesh1/</t>
  </si>
  <si>
    <t>pramesh@deloitte.com</t>
  </si>
  <si>
    <t>Cashify</t>
  </si>
  <si>
    <t>Mandeep Manocha</t>
  </si>
  <si>
    <t xml:space="preserve">Manish Tiwary </t>
  </si>
  <si>
    <t>https://www.linkedin.com/in/mandeepmanocha/</t>
  </si>
  <si>
    <t>https://www.linkedin.com/in/tiwarymanish/</t>
  </si>
  <si>
    <t>manochamandeep@gmail.com</t>
  </si>
  <si>
    <t>manish.tiwary@nestle.com</t>
  </si>
  <si>
    <t>manish.tiwary@unilever.com</t>
  </si>
  <si>
    <t>Nakul Kumar</t>
  </si>
  <si>
    <t>Co-founder &amp; CMO</t>
  </si>
  <si>
    <t>https://www.linkedin.com/in/nakulkumar/</t>
  </si>
  <si>
    <t>tiwary.manish@gmail.com</t>
  </si>
  <si>
    <t>Sun TV Network Ltd</t>
  </si>
  <si>
    <t>Kalanithi Maran</t>
  </si>
  <si>
    <t>Kavery Kalanithi</t>
  </si>
  <si>
    <t>Whole-Time Director</t>
  </si>
  <si>
    <t>Bharat Electronics Ltd</t>
  </si>
  <si>
    <t>Manoj Jain</t>
  </si>
  <si>
    <t>InsuranceDekho</t>
  </si>
  <si>
    <t>Ankit Agrawal</t>
  </si>
  <si>
    <t>https://www.linkedin.com/in/ankit-agrawal-0a95057/</t>
  </si>
  <si>
    <t>Damodar Bhattad S</t>
  </si>
  <si>
    <t>Director (Finance) &amp; CFO</t>
  </si>
  <si>
    <t>Godrej &amp; Boyce Mfg. Co. Ltd</t>
  </si>
  <si>
    <t>ankit_ag@hotmail.com</t>
  </si>
  <si>
    <t>Anil G. Verma</t>
  </si>
  <si>
    <t>https://www.linkedin.com/in/anil-g-verma-a3096220/</t>
  </si>
  <si>
    <t>Ish Babbar</t>
  </si>
  <si>
    <t>https://www.linkedin.com/in/ishbabbar/</t>
  </si>
  <si>
    <t>av@godrej.com</t>
  </si>
  <si>
    <t>Godrej Industries</t>
  </si>
  <si>
    <t>Pirojsha Godrej</t>
  </si>
  <si>
    <t>Executive Chairperson</t>
  </si>
  <si>
    <t>https://www.linkedin.com/in/pirojsha-godrej/</t>
  </si>
  <si>
    <t>pgodrej@godrejproperties.com</t>
  </si>
  <si>
    <t>Nadir Godrej</t>
  </si>
  <si>
    <t>Chairman &amp; MD, Godrej Industries</t>
  </si>
  <si>
    <t>https://www.linkedin.com/in/nadir-godrej-ba60663/</t>
  </si>
  <si>
    <t>BigHaat</t>
  </si>
  <si>
    <t>Sateesh Nukala</t>
  </si>
  <si>
    <t>https://www.linkedin.com/in/sateeshnukala/</t>
  </si>
  <si>
    <t>nb.godrej@godrejinds.com</t>
  </si>
  <si>
    <t>Adani Green Energy Ltd</t>
  </si>
  <si>
    <t>sateeshnukala@gmail.com</t>
  </si>
  <si>
    <t>Vneet S. Jaain</t>
  </si>
  <si>
    <t>https://www.linkedin.com/in/vneet-s-jaain-24959015/</t>
  </si>
  <si>
    <t>Sachin Nandwana</t>
  </si>
  <si>
    <t>https://www.linkedin.com/in/sachin-nandwana-1b3b2413/</t>
  </si>
  <si>
    <t>vineet.jain@adanipower.com</t>
  </si>
  <si>
    <t>vj3008@hotmail.com</t>
  </si>
  <si>
    <t>JSW Steel Ltd</t>
  </si>
  <si>
    <t>Sajjan Jindal</t>
  </si>
  <si>
    <t>Jayant Acharya</t>
  </si>
  <si>
    <t>Jt. Managing Director &amp; CEO</t>
  </si>
  <si>
    <t>Zepto</t>
  </si>
  <si>
    <t>https://www.linkedin.com/in/jayant-acharya-32b415121/</t>
  </si>
  <si>
    <t>Aadit Palicha</t>
  </si>
  <si>
    <t>https://www.linkedin.com/in/aadit-palicha/</t>
  </si>
  <si>
    <t>jayant.acharya@jsw.in</t>
  </si>
  <si>
    <t>JSW Energy Ltd</t>
  </si>
  <si>
    <t>Kaivalya Vohra</t>
  </si>
  <si>
    <t>https://www.linkedin.com/in/kaivalya-vohra/</t>
  </si>
  <si>
    <t>Sharad Mahendra</t>
  </si>
  <si>
    <t>https://www.linkedin.com/in/sharad-mahendra-478436b6/</t>
  </si>
  <si>
    <t>sharad.mahendra@jsw.in</t>
  </si>
  <si>
    <t>sharad.mahendra@gmail.com</t>
  </si>
  <si>
    <t>JSW Infrastructure Ltd</t>
  </si>
  <si>
    <t>Dunzo</t>
  </si>
  <si>
    <t>Kabeer Biswas</t>
  </si>
  <si>
    <t>https://www.linkedin.com/in/kabeerbiswas/</t>
  </si>
  <si>
    <t>Rinkesh Roy</t>
  </si>
  <si>
    <t>Joint Managing Director and CEO</t>
  </si>
  <si>
    <t>https://www.linkedin.com/in/rinkesh-roy-69191a68/</t>
  </si>
  <si>
    <t>kabeerbiswas@gmail.com</t>
  </si>
  <si>
    <t>Dalvir Suri</t>
  </si>
  <si>
    <t>rinkesh.roy@jsw.in</t>
  </si>
  <si>
    <t>https://www.linkedin.com/in/dalvir-suri-5b078918/</t>
  </si>
  <si>
    <t>Bharti Enterprises Ltd</t>
  </si>
  <si>
    <t>Sunil Mittal</t>
  </si>
  <si>
    <t>Founder &amp; Chairman</t>
  </si>
  <si>
    <t>Gopal Vittal</t>
  </si>
  <si>
    <t>Oberoi Group (EIH Limited)</t>
  </si>
  <si>
    <t>Arjun Singh Oberoi</t>
  </si>
  <si>
    <t>Vikramjit Singh Oberoi</t>
  </si>
  <si>
    <t>Tata Consumer Products Ltd</t>
  </si>
  <si>
    <t>BookMyShow</t>
  </si>
  <si>
    <t>Ashish Hemrajani</t>
  </si>
  <si>
    <t>Sunil D'Souza</t>
  </si>
  <si>
    <t>https://www.linkedin.com/in/ashishhemrajani/</t>
  </si>
  <si>
    <t>https://www.linkedin.com/in/sunil-d-souza-6622065/</t>
  </si>
  <si>
    <t>98202 20847</t>
  </si>
  <si>
    <t>ashish.hemrajani@bookmyshow.com</t>
  </si>
  <si>
    <t>sunil@tataconsumer.com</t>
  </si>
  <si>
    <t>Parikshit Dar</t>
  </si>
  <si>
    <t>https://www.linkedin.com/in/parikshitdar/</t>
  </si>
  <si>
    <t>sunil.a.dsouza@gmail.com</t>
  </si>
  <si>
    <t>Bajaj Holdings &amp; Investment Ltd</t>
  </si>
  <si>
    <t>Shekhar Bajaj</t>
  </si>
  <si>
    <t>https://www.linkedin.com/in/sanjiv-r-bajaj/</t>
  </si>
  <si>
    <t>Naaptol</t>
  </si>
  <si>
    <t>Manu Agarwal</t>
  </si>
  <si>
    <t>https://www.linkedin.com/in/agarwalmanu/</t>
  </si>
  <si>
    <t>sanjiv.bajaj@bajajfinserv.in</t>
  </si>
  <si>
    <t>Biocon Ltd</t>
  </si>
  <si>
    <t>Kiran Mazumdar-Shaw</t>
  </si>
  <si>
    <t>manu.agarwal@naaptol.com</t>
  </si>
  <si>
    <t>kiran.mazumdar@biocon.com</t>
  </si>
  <si>
    <t>Siddharth Mittal</t>
  </si>
  <si>
    <t>CEO &amp; Joint Managing Director</t>
  </si>
  <si>
    <t>siddharth.mittal@biocon.com</t>
  </si>
  <si>
    <t>Petrochemicals Ltd (RIL)</t>
  </si>
  <si>
    <t>Mukesh D Ambani</t>
  </si>
  <si>
    <t>Nikhil R Meswani</t>
  </si>
  <si>
    <t>Pepperfry</t>
  </si>
  <si>
    <t>Ashish Shah</t>
  </si>
  <si>
    <t>https://www.linkedin.com/in/asshah76/</t>
  </si>
  <si>
    <t>Oil India Ltd</t>
  </si>
  <si>
    <t>Ranjit Rath</t>
  </si>
  <si>
    <t>https://www.linkedin.com/in/dr-ranjit-rath-4a577814/</t>
  </si>
  <si>
    <t>ashish.s@pepperfry.com</t>
  </si>
  <si>
    <t>r.rath@eil.co.in</t>
  </si>
  <si>
    <t>dr.ranjitrath@gmail.com</t>
  </si>
  <si>
    <t>Harmait Singh</t>
  </si>
  <si>
    <t>Director (Finance)</t>
  </si>
  <si>
    <t>JioSaavn</t>
  </si>
  <si>
    <t>Sahas Malhotra</t>
  </si>
  <si>
    <t>Co-founder &amp; CEO (Saavn)</t>
  </si>
  <si>
    <t>https://www.linkedin.com/in/sahasmalhotra/</t>
  </si>
  <si>
    <t>Vedanta Resources Ltd</t>
  </si>
  <si>
    <t>https://www.linkedin.com/in/anilagarwal-ved/</t>
  </si>
  <si>
    <t>sahasm@gmail.com</t>
  </si>
  <si>
    <t>anil@vedantafoundation.org</t>
  </si>
  <si>
    <t>Sonia G. Singh</t>
  </si>
  <si>
    <t>Mahindra &amp; Mahindra Financial Services Ltd</t>
  </si>
  <si>
    <t>Anish Shah</t>
  </si>
  <si>
    <t>https://www.linkedin.com/in/anishdshah/</t>
  </si>
  <si>
    <t>Dailyhunt</t>
  </si>
  <si>
    <t>https://www.linkedin.com/in/virendra-gupta-190a44/</t>
  </si>
  <si>
    <t>shah.anish@mahindra.com</t>
  </si>
  <si>
    <t>virendrag@gmail.com</t>
  </si>
  <si>
    <t>anish.shah@me.com</t>
  </si>
  <si>
    <t>Raul B. Rai</t>
  </si>
  <si>
    <t>Vice Chairman</t>
  </si>
  <si>
    <t>https://www.linkedin.com/in/umangbedi/</t>
  </si>
  <si>
    <t>Tata Elxsi Ltd</t>
  </si>
  <si>
    <t>Manoj Raghavan</t>
  </si>
  <si>
    <t>https://www.linkedin.com/in/manoj-raghavan-a200a05/</t>
  </si>
  <si>
    <t>manoj.raghavan@gmail.com</t>
  </si>
  <si>
    <t>Aniket Deb</t>
  </si>
  <si>
    <t>https://www.linkedin.com/in/aniketdeb/</t>
  </si>
  <si>
    <t>manojr@tataelxsi.com</t>
  </si>
  <si>
    <t>Bajaj Electricals Ltd</t>
  </si>
  <si>
    <t>aniketdeb@gmail.com</t>
  </si>
  <si>
    <t>Anuj Poddar</t>
  </si>
  <si>
    <t>MD and Chief Executive Officer</t>
  </si>
  <si>
    <t>https://www.linkedin.com/in/anuj-poddar-1244412b/</t>
  </si>
  <si>
    <t>Hopscotch</t>
  </si>
  <si>
    <t>Rahul Anand</t>
  </si>
  <si>
    <t>https://www.linkedin.com/in/rahulsanand/</t>
  </si>
  <si>
    <t>anujpoddar@gmail.com</t>
  </si>
  <si>
    <t>rahulsanand@gmail.com</t>
  </si>
  <si>
    <t>anuj.poddar@carlyle.com</t>
  </si>
  <si>
    <t>Crompton Greaves Consumer Electricals Ltd</t>
  </si>
  <si>
    <t>Shantanu Khosla</t>
  </si>
  <si>
    <t>Executive Vice Chairman</t>
  </si>
  <si>
    <t>Subodh Bhargava</t>
  </si>
  <si>
    <t>https://www.linkedin.com/in/subodh-bhargava-404ab95/</t>
  </si>
  <si>
    <t>subodh.bhargava@wartsila.com</t>
  </si>
  <si>
    <t>Voltas Ltd</t>
  </si>
  <si>
    <t>Noel N. Tata</t>
  </si>
  <si>
    <t>MyGate</t>
  </si>
  <si>
    <t>Vijay Arisetty</t>
  </si>
  <si>
    <t>https://www.linkedin.com/in/vijay-arisetty-b952084/</t>
  </si>
  <si>
    <t>Mukundan Menon</t>
  </si>
  <si>
    <t xml:space="preserve">Managing Director </t>
  </si>
  <si>
    <t>https://www.linkedin.com/in/mukundan-menon-82b8447/</t>
  </si>
  <si>
    <t>Abhishek Kumar</t>
  </si>
  <si>
    <t>mm@voltas.com</t>
  </si>
  <si>
    <t>https://www.linkedin.com/in/abhishekkumariima/</t>
  </si>
  <si>
    <t>mukundanmenoncp@gmail.com</t>
  </si>
  <si>
    <t>mukundan.menon@voltasbeko.com</t>
  </si>
  <si>
    <t>abhik1999@yahoo.com</t>
  </si>
  <si>
    <t>cpmukund@hotmail.com</t>
  </si>
  <si>
    <t>Lupin Ltd</t>
  </si>
  <si>
    <t>Desh Bandhu Gupta</t>
  </si>
  <si>
    <t>Vinita Gupta</t>
  </si>
  <si>
    <t>https://www.linkedin.com/in/vinita-gupta-547409239/</t>
  </si>
  <si>
    <t>Rentomojo</t>
  </si>
  <si>
    <t>Geetansh Bamania</t>
  </si>
  <si>
    <t>https://www.linkedin.com/in/geetanshbamania/</t>
  </si>
  <si>
    <t>vgupta@lupin.com</t>
  </si>
  <si>
    <t xml:space="preserve">NTPC </t>
  </si>
  <si>
    <t>Jaiveer Singh</t>
  </si>
  <si>
    <t>geetansh@rentomojo.com</t>
  </si>
  <si>
    <t>NTPC Vidyut Vyapar Nigam Ltd</t>
  </si>
  <si>
    <t>Sudip Kumar Mukherjee</t>
  </si>
  <si>
    <t>Steel &amp; Industrial Corp Ltd (SAIL)</t>
  </si>
  <si>
    <t>Amarendu Prakash</t>
  </si>
  <si>
    <t>https://www.linkedin.com/in/amarendu-prakash-470a0/</t>
  </si>
  <si>
    <t>amarendu@gmail.com</t>
  </si>
  <si>
    <t>Ninjacart</t>
  </si>
  <si>
    <t>Thirukumaran Nagarajan</t>
  </si>
  <si>
    <t>https://www.linkedin.com/in/thirukumaran-nagarajan-51870242?originalSubdomain=in</t>
  </si>
  <si>
    <t>Arvind Kumar Singh</t>
  </si>
  <si>
    <t>Punjab National Bank</t>
  </si>
  <si>
    <t>Ashok Chandra</t>
  </si>
  <si>
    <t>https://www.linkedin.com/in/ashok-chandra-5261955b/</t>
  </si>
  <si>
    <t>thirukumarannagarajan@gmail.com</t>
  </si>
  <si>
    <t>chandra@canarabank.com</t>
  </si>
  <si>
    <t>Kalyan Kumar</t>
  </si>
  <si>
    <t>Union Bank of India</t>
  </si>
  <si>
    <t>A. Manimekhalai</t>
  </si>
  <si>
    <t>Nitesh Ranjan</t>
  </si>
  <si>
    <t>Bank of India</t>
  </si>
  <si>
    <t>Rajneesh Karnatak</t>
  </si>
  <si>
    <t>https://www.linkedin.com/in/rajneeshkarnatak/</t>
  </si>
  <si>
    <t>PayMate</t>
  </si>
  <si>
    <t>ravi vishvanathan</t>
  </si>
  <si>
    <t>https://www.linkedin.com/in/ravi-vishvanathan-09922098/</t>
  </si>
  <si>
    <t>rajneeshkarnatak@rediffmail.com</t>
  </si>
  <si>
    <t>93238 30354</t>
  </si>
  <si>
    <t>P R Rajagopal</t>
  </si>
  <si>
    <t>ravi@paymate.co.in</t>
  </si>
  <si>
    <t>https://www.linkedin.com/in/p-r-rajagopal-5981223a/</t>
  </si>
  <si>
    <t>rajagopal14feb@hotmail.com</t>
  </si>
  <si>
    <t>Indian Bank</t>
  </si>
  <si>
    <t>Shanti Lal Jain</t>
  </si>
  <si>
    <t>SHIV SINGH</t>
  </si>
  <si>
    <t>Mswipe</t>
  </si>
  <si>
    <t>Manish Patel</t>
  </si>
  <si>
    <t>https://www.linkedin.com/in/shivbsingh/</t>
  </si>
  <si>
    <t>https://www.linkedin.com/in/manish-patel-827a1124/</t>
  </si>
  <si>
    <t>shiv@indianbank.bank.in</t>
  </si>
  <si>
    <t>manish@mswipe.com</t>
  </si>
  <si>
    <t>sbsingh_boi@rediffmail.com</t>
  </si>
  <si>
    <t>Indiabulls Group</t>
  </si>
  <si>
    <t>Sameer Gehlaut</t>
  </si>
  <si>
    <t>Divyesh Shah</t>
  </si>
  <si>
    <t>Ketan Patel</t>
  </si>
  <si>
    <t>dshah@indiabulls.com</t>
  </si>
  <si>
    <t>https://www.linkedin.com/in/ketan-patel-0814b7/</t>
  </si>
  <si>
    <t>Dalmia Bharat Ltd</t>
  </si>
  <si>
    <t>Sanjay Dalmia</t>
  </si>
  <si>
    <t>Puneet Dalmia</t>
  </si>
  <si>
    <t>dalmia.puneet@dalmiabharat.com</t>
  </si>
  <si>
    <t>SRF Ltd</t>
  </si>
  <si>
    <t>Ashish Bharat Ram</t>
  </si>
  <si>
    <t>Arun Bharat Ram</t>
  </si>
  <si>
    <t>Zee Entertainment Enterprises Ltd</t>
  </si>
  <si>
    <t>Punit Goenka</t>
  </si>
  <si>
    <t>Keventers</t>
  </si>
  <si>
    <t>Agastya Dalmia</t>
  </si>
  <si>
    <t>R. Gopalan</t>
  </si>
  <si>
    <t>https://www.linkedin.com/in/agastya-dalmia-10b05139/</t>
  </si>
  <si>
    <t>Israel Makov</t>
  </si>
  <si>
    <t>agastyadalmia@gmail.com</t>
  </si>
  <si>
    <t>Aman Arora</t>
  </si>
  <si>
    <t>Torrent Pharmaceuticals Ltd</t>
  </si>
  <si>
    <t>https://www.linkedin.com/in/aman-arora-20a8b945/</t>
  </si>
  <si>
    <t>Aman Mehta</t>
  </si>
  <si>
    <t>amanmehta@torrentpharma.com</t>
  </si>
  <si>
    <t>Adani Ports &amp; SEZ Ltd</t>
  </si>
  <si>
    <t>Karan Adani</t>
  </si>
  <si>
    <t>CEO &amp; Whole-time Director</t>
  </si>
  <si>
    <t>karan.adani@adaniairports.com</t>
  </si>
  <si>
    <t>Digit Insurance</t>
  </si>
  <si>
    <t>Kamesh Goyal</t>
  </si>
  <si>
    <t>ONGC Videsh Ltd (Subsidary of ONGC)</t>
  </si>
  <si>
    <t>linkedin.com/in/kameshgoyal?originalSubdomain=in</t>
  </si>
  <si>
    <t>Arun Kumar Singh</t>
  </si>
  <si>
    <t>Chairman of the Board and CEO (ONGC)</t>
  </si>
  <si>
    <t xml:space="preserve">Gaming companies </t>
  </si>
  <si>
    <t>Nazara Technologies</t>
  </si>
  <si>
    <t>kameshgoyal@hotmail.com</t>
  </si>
  <si>
    <t>Sudhir Kamath</t>
  </si>
  <si>
    <t>https://www.linkedin.com/in/kamathsudhir/</t>
  </si>
  <si>
    <t>sudhir@nazara.com</t>
  </si>
  <si>
    <t>sk@9stacks.com</t>
  </si>
  <si>
    <t>sudhir.kamath@gmail.com</t>
  </si>
  <si>
    <t>Dream11 (Dream Sports)</t>
  </si>
  <si>
    <t>Vikrant Mudaliar</t>
  </si>
  <si>
    <t>Chief Marketing Officer @ Dream Sports | Driving Growth,Revenue &amp; Marketing Strategy.</t>
  </si>
  <si>
    <t>Acme Group</t>
  </si>
  <si>
    <t>Manoj Kumar Upadhyay</t>
  </si>
  <si>
    <t>https://www.linkedin.com/in/vikrantmudaliar/</t>
  </si>
  <si>
    <t>linkedin.com/in/manoj-upadhyay-013a5410?originalSubdomain=in</t>
  </si>
  <si>
    <t>vikrant.mudaliar@gmail.com</t>
  </si>
  <si>
    <t>vikrant@dreamsports.group</t>
  </si>
  <si>
    <t>Mobile Premier League (MPL)</t>
  </si>
  <si>
    <t>Manish Shrivastava</t>
  </si>
  <si>
    <t>manoj@acme.in</t>
  </si>
  <si>
    <t>https://www.linkedin.com/in/internetecommerce/</t>
  </si>
  <si>
    <t>manmancino@gmail.com</t>
  </si>
  <si>
    <t>Co-Founder and CEO - Games24x7</t>
  </si>
  <si>
    <t>https://www.linkedin.com/in/bkpandya/</t>
  </si>
  <si>
    <t>Goibibo</t>
  </si>
  <si>
    <t>Ashish Kashyap</t>
  </si>
  <si>
    <t>https://www.linkedin.com/in/ashishkashyap/</t>
  </si>
  <si>
    <t>bhavin.pandya@games24x7.com</t>
  </si>
  <si>
    <t>consultvin@gmail.com</t>
  </si>
  <si>
    <t>nCore Games</t>
  </si>
  <si>
    <t>Ganesh Hande</t>
  </si>
  <si>
    <t>https://www.linkedin.com/in/ganesh-hande-77a08821/</t>
  </si>
  <si>
    <t>kashyapashish@gmail.com</t>
  </si>
  <si>
    <t>ganeshhande@gmail.com</t>
  </si>
  <si>
    <t>WinZO</t>
  </si>
  <si>
    <t>Kaushik Thacker</t>
  </si>
  <si>
    <t>https://www.linkedin.com/in/kaushikthacker/</t>
  </si>
  <si>
    <t>OLX India</t>
  </si>
  <si>
    <t>CEO (OLX Group India)</t>
  </si>
  <si>
    <t>https://www.linkedin.com/in/execamit/</t>
  </si>
  <si>
    <t>kaushikthacker.kt@gmail.com</t>
  </si>
  <si>
    <t>Bring the Donuts</t>
  </si>
  <si>
    <t>Ken Norton</t>
  </si>
  <si>
    <t>Executive Coach to Product Leaders</t>
  </si>
  <si>
    <t>https://www.linkedin.com/in/kennethnorton</t>
  </si>
  <si>
    <t>execamit@gmail.com</t>
  </si>
  <si>
    <t>ken@bringthedonuts.com</t>
  </si>
  <si>
    <t>Netflix/Chegg</t>
  </si>
  <si>
    <t>Gibson Biddle</t>
  </si>
  <si>
    <t>Ex-Netflix VP of Product</t>
  </si>
  <si>
    <t>https://www.linkedin.com/in/gibsonbiddle</t>
  </si>
  <si>
    <t>gibson@gibsonbiddle.com</t>
  </si>
  <si>
    <t>Stripe / Google / Twitter (ex)</t>
  </si>
  <si>
    <t>Shreyas Doshi</t>
  </si>
  <si>
    <t>Product Leader, Angel Investor</t>
  </si>
  <si>
    <t>https://www.linkedin.com/in/shreyasdoshi/?utm_source=chatgpt.com</t>
  </si>
  <si>
    <t>shreyas@shreyasdoshi.com</t>
  </si>
  <si>
    <t>Berkeley Haas / Ex-PM</t>
  </si>
  <si>
    <t>Ken Sandy</t>
  </si>
  <si>
    <t>Product Management Lecturer &amp; Author</t>
  </si>
  <si>
    <t>https://www.linkedin.com/in/kensandy/?utm_source=chatgpt.com</t>
  </si>
  <si>
    <t>ksandy@crosscountry-consulting.com</t>
  </si>
  <si>
    <t>Zee5</t>
  </si>
  <si>
    <t>Jayesh Nema</t>
  </si>
  <si>
    <t>SVP Product Management</t>
  </si>
  <si>
    <t>https://www.linkedin.com/in/jayeshnema/?originalSubdomain=in</t>
  </si>
  <si>
    <t>Paavan Nanda</t>
  </si>
  <si>
    <t>https://www.linkedin.com/in/paavan-nanda-68b41924/</t>
  </si>
  <si>
    <t>96543 67797</t>
  </si>
  <si>
    <t>paavan@winzogames.com</t>
  </si>
  <si>
    <t>jayesh.nema@zee.com</t>
  </si>
  <si>
    <t>Affirm, Inc</t>
  </si>
  <si>
    <t>Max Levchin</t>
  </si>
  <si>
    <t>Saumya Singh Rathore</t>
  </si>
  <si>
    <t>https://www.linkedin.com/in/maxlevchin</t>
  </si>
  <si>
    <t>https://www.linkedin.com/in/saumya-singh-rathore/</t>
  </si>
  <si>
    <t>max.levchin@affirm.com</t>
  </si>
  <si>
    <t>Abhijit Khasnis</t>
  </si>
  <si>
    <t>Chief Technology Officer</t>
  </si>
  <si>
    <t>https://www.linkedin.com/in/khasnis/?originalSubdomain=in</t>
  </si>
  <si>
    <t>StockGro</t>
  </si>
  <si>
    <t>Ajay Lakhotia</t>
  </si>
  <si>
    <t>https://www.linkedin.com/in/ajaylakhotia/</t>
  </si>
  <si>
    <t>abhijit.khasnis@healthifyme.com</t>
  </si>
  <si>
    <t>https://www.linkedin.com/in/aadit-palicha/?originalSubdomain=in</t>
  </si>
  <si>
    <t>ajaylakhotiamba@gmail.com</t>
  </si>
  <si>
    <t>aadit@zeptonow.com</t>
  </si>
  <si>
    <t>DropBox</t>
  </si>
  <si>
    <t>Drew Houston</t>
  </si>
  <si>
    <t>https://www.linkedin.com/in/drewhouston</t>
  </si>
  <si>
    <t>BankBazaar</t>
  </si>
  <si>
    <t>Adhil Shetty</t>
  </si>
  <si>
    <t>https://www.linkedin.com/in/adhilshetty/</t>
  </si>
  <si>
    <t>drew@dropbox.com</t>
  </si>
  <si>
    <t>shettyadhil@yahoo.com</t>
  </si>
  <si>
    <t>Linkedin</t>
  </si>
  <si>
    <t>Reid Hoffman</t>
  </si>
  <si>
    <t>Co-Founder &amp; Chairboard</t>
  </si>
  <si>
    <t>https://www.linkedin.com/in/reidhoffman</t>
  </si>
  <si>
    <t>Arjun Shetty</t>
  </si>
  <si>
    <t>https://www.linkedin.com/in/arjun-shetty-bb/</t>
  </si>
  <si>
    <t>reid@manasai.co</t>
  </si>
  <si>
    <t>Spanx</t>
  </si>
  <si>
    <t>Sara Blakely</t>
  </si>
  <si>
    <t>https://www.linkedin.com/in/sarablakely27</t>
  </si>
  <si>
    <t>sara@sneex.com</t>
  </si>
  <si>
    <t>Pinterest</t>
  </si>
  <si>
    <t>Ben Silbermann</t>
  </si>
  <si>
    <t>https://www.linkedin.com/in/silbermann</t>
  </si>
  <si>
    <t>CarTrade</t>
  </si>
  <si>
    <t>Vinay Sanghi</t>
  </si>
  <si>
    <t>https://www.linkedin.com/in/vinay-sanghi-296a4413/</t>
  </si>
  <si>
    <t>98209 44998</t>
  </si>
  <si>
    <t>ben@pinterest.com</t>
  </si>
  <si>
    <t>varundiya@gmail.com</t>
  </si>
  <si>
    <t>23andMe</t>
  </si>
  <si>
    <t>Anne Wojcicki</t>
  </si>
  <si>
    <t>Co-Founder and CEO</t>
  </si>
  <si>
    <t>https://www.linkedin.com/in/annewojcicki</t>
  </si>
  <si>
    <t>awojcicki@23andme.com</t>
  </si>
  <si>
    <t>Neha Bansal</t>
  </si>
  <si>
    <t>neha@lenskart.com</t>
  </si>
  <si>
    <t>PhonePe</t>
  </si>
  <si>
    <t>Sameer Nigam</t>
  </si>
  <si>
    <t>sameer@phonepe.com</t>
  </si>
  <si>
    <t>Bookmyshow.com</t>
  </si>
  <si>
    <t>Khatabook</t>
  </si>
  <si>
    <t>Ravish Naresh</t>
  </si>
  <si>
    <t>linkedin.com/in/ravish-naresh-72543359?originalSubdomain=in</t>
  </si>
  <si>
    <t>Rajesh Balpande</t>
  </si>
  <si>
    <t>99207 32828</t>
  </si>
  <si>
    <t>rajesh.balpande@icloud.com</t>
  </si>
  <si>
    <t>ravish.naresh@gmail.com</t>
  </si>
  <si>
    <t>Birla Group</t>
  </si>
  <si>
    <t>Investor &amp; Entrepreneur</t>
  </si>
  <si>
    <t>nikhil.kamath@zerodha.com</t>
  </si>
  <si>
    <t>Smrithi Ravichandran</t>
  </si>
  <si>
    <t>Vice President - Head of Mobiles &amp; Travel</t>
  </si>
  <si>
    <t>smrithismrithi@gmail.com</t>
  </si>
  <si>
    <t>Kalyan Krishnamurthy</t>
  </si>
  <si>
    <t>kalyan.krishnamurthy@flipkart.com</t>
  </si>
  <si>
    <t>Clear (ClearTax)</t>
  </si>
  <si>
    <t>Archit Gupta</t>
  </si>
  <si>
    <t>https://www.linkedin.com/in/architgupta/</t>
  </si>
  <si>
    <t>Third Unicorn</t>
  </si>
  <si>
    <t>Madhuri Jain Grover</t>
  </si>
  <si>
    <t>madhuri@third-unicorn.com</t>
  </si>
  <si>
    <t>88269 89988</t>
  </si>
  <si>
    <t>archit@cleartax.in</t>
  </si>
  <si>
    <t>Emcure Pharmaceuticals Limited</t>
  </si>
  <si>
    <t>Namita Thapar</t>
  </si>
  <si>
    <t>namita.thapar@emcure.co.in</t>
  </si>
  <si>
    <t>Sarmad Mehraj</t>
  </si>
  <si>
    <t>sarmad@unacademy.com</t>
  </si>
  <si>
    <t>Sonjoy Chatterjee</t>
  </si>
  <si>
    <t>Paper Boat</t>
  </si>
  <si>
    <t>Neeraj Kakkar</t>
  </si>
  <si>
    <t>sonjoy.chatterjee@goldmansachs.com</t>
  </si>
  <si>
    <t>https://www.linkedin.com/in/neeraj-kakkar-2410839/</t>
  </si>
  <si>
    <t>rrmg7hbdbc@privaterelay.appleid.com</t>
  </si>
  <si>
    <t>neeraj@hectorbeverages.com</t>
  </si>
  <si>
    <t>Gunjan Samtani</t>
  </si>
  <si>
    <t>Co-Chairman</t>
  </si>
  <si>
    <t>gunjan.samtani@gs.com</t>
  </si>
  <si>
    <t>Harneet Kaur</t>
  </si>
  <si>
    <t>Neeraj Biyani</t>
  </si>
  <si>
    <t>https://www.linkedin.com/in/neeraj-biyani-7411234/</t>
  </si>
  <si>
    <t>Devarajan Nambakam</t>
  </si>
  <si>
    <t>Co-Head</t>
  </si>
  <si>
    <t>devarajan.nambakam@gs.com</t>
  </si>
  <si>
    <t>Nikhilesh Kasi</t>
  </si>
  <si>
    <t>nikhilesh.kasi@gs.com</t>
  </si>
  <si>
    <t>Preeti Lobana</t>
  </si>
  <si>
    <t>VP and Country Manager</t>
  </si>
  <si>
    <t>plobanain@yahoo.co.in</t>
  </si>
  <si>
    <t>Rahul Jindal</t>
  </si>
  <si>
    <t>rahuljindal@google.com</t>
  </si>
  <si>
    <t>Subash Chandar Govindarajan</t>
  </si>
  <si>
    <t>Senior Director</t>
  </si>
  <si>
    <t>gsubash@hotmail.com</t>
  </si>
  <si>
    <t>Juspay</t>
  </si>
  <si>
    <t>Vimal Kumar</t>
  </si>
  <si>
    <t>Volvo Group</t>
  </si>
  <si>
    <t>Kamal Bali</t>
  </si>
  <si>
    <t>https://www.linkedin.com/in/kumarvimal?originalSubdomain=in</t>
  </si>
  <si>
    <t>President &amp; Managing Director</t>
  </si>
  <si>
    <t>balikamal@gmail.com</t>
  </si>
  <si>
    <t>Ashok Leyland</t>
  </si>
  <si>
    <t>shenuagarwal@gmail.com</t>
  </si>
  <si>
    <t>Tata Consultancy Services</t>
  </si>
  <si>
    <t>Dr. Harrick Vin</t>
  </si>
  <si>
    <t>vimalkumar@gmail.com</t>
  </si>
  <si>
    <t>harrick.vin@tcs.com</t>
  </si>
  <si>
    <t>PiggyRide</t>
  </si>
  <si>
    <t>Manish Tewari</t>
  </si>
  <si>
    <t>support@piggyride.com</t>
  </si>
  <si>
    <t>Rohan Kaushal</t>
  </si>
  <si>
    <t>InMobi</t>
  </si>
  <si>
    <t>Mohit Saxena</t>
  </si>
  <si>
    <t>pr@inmobi.com</t>
  </si>
  <si>
    <t>Darwinbox</t>
  </si>
  <si>
    <t>Piyush Shah</t>
  </si>
  <si>
    <t>Jayant Paleti</t>
  </si>
  <si>
    <t>https://www.linkedin.com/in/jayantpaleti/</t>
  </si>
  <si>
    <t>Abhay Singhal</t>
  </si>
  <si>
    <t>Co-founder/CEO</t>
  </si>
  <si>
    <t>jayantpaleti@gmail.com</t>
  </si>
  <si>
    <t>Tracxn</t>
  </si>
  <si>
    <t>Abhishek Goyal</t>
  </si>
  <si>
    <t xml:space="preserve">abhishek.goyal@gmail.com </t>
  </si>
  <si>
    <t>wamsi9634@gmail.com</t>
  </si>
  <si>
    <t>Chaitanya Peddi</t>
  </si>
  <si>
    <t>https://www.linkedin.com/in/chaitanyapeddi/</t>
  </si>
  <si>
    <t>Nithin Kamath</t>
  </si>
  <si>
    <t>nithinkamath@yahoo.com</t>
  </si>
  <si>
    <t>Zerodha, True Beacon</t>
  </si>
  <si>
    <t>Gauravmunjal@unacademy.com</t>
  </si>
  <si>
    <t>Rohit Chennamaneni</t>
  </si>
  <si>
    <t>Co-founder/CTO</t>
  </si>
  <si>
    <t>https://www.linkedin.com/in/rohit-chennamaneni/</t>
  </si>
  <si>
    <t>Hemeshsingh@unacademy.com</t>
  </si>
  <si>
    <t>romansaini@unacademy.com</t>
  </si>
  <si>
    <t>DeHaat</t>
  </si>
  <si>
    <t>Adarsh Srivastava</t>
  </si>
  <si>
    <t>https://www.linkedin.com/in/adarsh-srivastava-902008b1/?originalSubdomain=in</t>
  </si>
  <si>
    <t>adarsh@agrevolution.in</t>
  </si>
  <si>
    <t>ixigo</t>
  </si>
  <si>
    <t>Cashfree</t>
  </si>
  <si>
    <t>Aloke Bajpai</t>
  </si>
  <si>
    <t>Aditi Olemann</t>
  </si>
  <si>
    <t>https://www.linkedin.com/in/alokebajpai/</t>
  </si>
  <si>
    <t>https://www.linkedin.com/in/olemann/?originalSubdomain=in</t>
  </si>
  <si>
    <t>abajpai@gmail.com</t>
  </si>
  <si>
    <t>aditi.olemann@cashfree.com</t>
  </si>
  <si>
    <t>Rajnish Kumar</t>
  </si>
  <si>
    <t>https://www.linkedin.com/in/rajnishkumar-ixigo/</t>
  </si>
  <si>
    <t>Inshorts</t>
  </si>
  <si>
    <t>Azhar Iqubal</t>
  </si>
  <si>
    <t>https://www.linkedin.com/in/azhariqubal/</t>
  </si>
  <si>
    <t>Aparna Mahesh</t>
  </si>
  <si>
    <t>https://www.linkedin.com/in/aparnamahesh/?originalSubdomain=in</t>
  </si>
  <si>
    <t>azhariitd@gmail.com</t>
  </si>
  <si>
    <t>Deepit Purkayastha</t>
  </si>
  <si>
    <t>https://www.linkedin.com/in/deepit-purkayastha/</t>
  </si>
  <si>
    <t>aparnamahesh@gmail.com</t>
  </si>
  <si>
    <t>Apurv Narang</t>
  </si>
  <si>
    <t>https://www.linkedin.com/in/apurv-narang-43585856/?originalSubdomain=in</t>
  </si>
  <si>
    <t>apurv@scapia.cards</t>
  </si>
  <si>
    <t>Zaggle</t>
  </si>
  <si>
    <t>Arati Parashar</t>
  </si>
  <si>
    <t>Cricbuzz</t>
  </si>
  <si>
    <t>Pankaj Chhaparwal</t>
  </si>
  <si>
    <t>https://www.linkedin.com/in/arati-parashar/?originalSubdomain=in</t>
  </si>
  <si>
    <t>linkedin.com/in/cpankaj?originalSubdomain=in</t>
  </si>
  <si>
    <t>arati.parashar@zaggle.in</t>
  </si>
  <si>
    <t>Balancehero India</t>
  </si>
  <si>
    <t>Ashish Aggarwal</t>
  </si>
  <si>
    <t>https://www.linkedin.com/in/ashishbits/?originalSubdomain=in</t>
  </si>
  <si>
    <t>cpankaj@gmail.com</t>
  </si>
  <si>
    <t>ashishbitspilani@gmail.com</t>
  </si>
  <si>
    <t>MoEngage</t>
  </si>
  <si>
    <t>Ashwin Shimoga</t>
  </si>
  <si>
    <t>https://www.linkedin.com/in/ashwinsl/?originalSubdomain=in</t>
  </si>
  <si>
    <t>Zebronics</t>
  </si>
  <si>
    <t>Rajesh Doshi</t>
  </si>
  <si>
    <t>https://www.linkedin.com/in/rajesh-doshi-aa578566/</t>
  </si>
  <si>
    <t>ashwin.shimoga@innovapptive.com</t>
  </si>
  <si>
    <t>Harita Desai</t>
  </si>
  <si>
    <t>https://www.linkedin.com/in/harita-desai-jani-0272716/?originalSubdomain=in</t>
  </si>
  <si>
    <t>98407 77905</t>
  </si>
  <si>
    <t>rajesh.doshi@zebronics.com</t>
  </si>
  <si>
    <t>harita.desai@360.one</t>
  </si>
  <si>
    <t>KreditBee</t>
  </si>
  <si>
    <t>Ishan Bose</t>
  </si>
  <si>
    <t>https://www.linkedin.com/in/ishanbose31/?originalSubdomain=in</t>
  </si>
  <si>
    <t>ishan@kreditbee.in</t>
  </si>
  <si>
    <t>Quikr</t>
  </si>
  <si>
    <t>ishanbose31@gmail.com</t>
  </si>
  <si>
    <t>Pratilipi</t>
  </si>
  <si>
    <t>https://www.linkedin.com/in/pranay-chulet-3911a7/</t>
  </si>
  <si>
    <t>Mayank Drolia</t>
  </si>
  <si>
    <t>https://www.linkedin.com/in/mayankdrolia/?originalSubdomain=in</t>
  </si>
  <si>
    <t>mayank@pratilipi.com</t>
  </si>
  <si>
    <t>pranay@tarmack.com</t>
  </si>
  <si>
    <t>Credit Saison India</t>
  </si>
  <si>
    <t>Ms. Presha Paragash</t>
  </si>
  <si>
    <t>https://www.linkedin.com/in/presha-p-a179415b/</t>
  </si>
  <si>
    <t>Mudit Singh</t>
  </si>
  <si>
    <t>https://www.linkedin.com/in/muditsingh5000/?originalSubdomain=in</t>
  </si>
  <si>
    <t>paragashp@gmail.com</t>
  </si>
  <si>
    <t>mudits@lambdatest.com</t>
  </si>
  <si>
    <t>MakeO (toothsi/skinnsi)</t>
  </si>
  <si>
    <t>Dr. Arpi Mehta</t>
  </si>
  <si>
    <t>https://www.linkedin.com/in/dr-arpi-mehta-b16871159/</t>
  </si>
  <si>
    <t>arpi@toothsi.in</t>
  </si>
  <si>
    <t>EKA Mobility</t>
  </si>
  <si>
    <t>Dr. Sudhir Mehta</t>
  </si>
  <si>
    <t>https://www.linkedin.com/in/dr-sudhir-mehta-79a2839/</t>
  </si>
  <si>
    <t>drsudhirmehta@gmail.com</t>
  </si>
  <si>
    <t>Medikabazaar</t>
  </si>
  <si>
    <t>Nimisha Bhagwat</t>
  </si>
  <si>
    <t>https://www.linkedin.com/in/nimisha-bhagwat-8465704/?originalSubdomain=in</t>
  </si>
  <si>
    <t>Truemeds</t>
  </si>
  <si>
    <t>nimisha.bhagwat@medikabazaar.com</t>
  </si>
  <si>
    <t>Mr. Akshat Nayyar</t>
  </si>
  <si>
    <t>Finova Capital</t>
  </si>
  <si>
    <t>linkedin.com/in/akshat-nayyar</t>
  </si>
  <si>
    <t>Praful Ranjan</t>
  </si>
  <si>
    <t>https://www.linkedin.com/in/praful-ranjan-83784313/?originalSubdomain=in</t>
  </si>
  <si>
    <t>akshatnayyar@gmail.com</t>
  </si>
  <si>
    <t>pranjan@finova.in</t>
  </si>
  <si>
    <t>Stanza Living</t>
  </si>
  <si>
    <t>Prajeesh Vijayan</t>
  </si>
  <si>
    <t>https://www.linkedin.com/in/prajeesh-vijayan-b68a5015/?originalSubdomain=in</t>
  </si>
  <si>
    <t>Atomberg Technologies</t>
  </si>
  <si>
    <t>Mr. Manoj Meena</t>
  </si>
  <si>
    <t>https://www.linkedin.com/in/manoj-meena-46510415/</t>
  </si>
  <si>
    <t>96191 39602</t>
  </si>
  <si>
    <t>manoj@atomberg.com</t>
  </si>
  <si>
    <t>prajime@gmail.com</t>
  </si>
  <si>
    <t>Zenwork</t>
  </si>
  <si>
    <t>Pranav Kumar</t>
  </si>
  <si>
    <t>https://www.linkedin.com/in/pranavkumar88/?originalSubdomain=in</t>
  </si>
  <si>
    <t>Lohum Cleantech</t>
  </si>
  <si>
    <t>Mr. Rajat Verma</t>
  </si>
  <si>
    <t>https://www.linkedin.com/in/rajat-verma-751773/</t>
  </si>
  <si>
    <t>pranav@zenwork.com</t>
  </si>
  <si>
    <t>Money View</t>
  </si>
  <si>
    <t>Prasanth Naidu</t>
  </si>
  <si>
    <t>99710 25817</t>
  </si>
  <si>
    <t>https://www.linkedin.com/in/prasanth-naidu-9b05a638/?originalSubdomain=in</t>
  </si>
  <si>
    <t>rajat.verma@lohum.com</t>
  </si>
  <si>
    <t>prasanth.naidu@moneyview.in</t>
  </si>
  <si>
    <t>Lendingkart</t>
  </si>
  <si>
    <t>Ram Deshpande</t>
  </si>
  <si>
    <t>https://www.linkedin.com/in/ram-deshpande-ramd316/?originalSubdomain=in</t>
  </si>
  <si>
    <t>Ripplr</t>
  </si>
  <si>
    <t>Mr. Abhishek Nehru</t>
  </si>
  <si>
    <t>https://www.linkedin.com/in/abhisheknehru/</t>
  </si>
  <si>
    <t>95608 96119</t>
  </si>
  <si>
    <t>ram.deshpande@gmail.com</t>
  </si>
  <si>
    <t>ramdeshpande@gmail.com</t>
  </si>
  <si>
    <t>GIVA</t>
  </si>
  <si>
    <t>abhisheknehru@gmail.com</t>
  </si>
  <si>
    <t>Resha jain</t>
  </si>
  <si>
    <t>https://www.linkedin.com/in/resha-jain-4864007/?originalSubdomain=in</t>
  </si>
  <si>
    <t>Mr. Pulkit Khurana</t>
  </si>
  <si>
    <t>https://www.linkedin.com/in/pulkitkhurana/</t>
  </si>
  <si>
    <t>reshajain@gmail.com</t>
  </si>
  <si>
    <t>Roopali Kagalwala</t>
  </si>
  <si>
    <t>https://www.linkedin.com/in/roopalikagalwala/?originalSubdomain=in</t>
  </si>
  <si>
    <t>pulkitkhurana1@gmail.com</t>
  </si>
  <si>
    <t>roops91277@yahoo.com</t>
  </si>
  <si>
    <t>Turtlemint</t>
  </si>
  <si>
    <t>Saunak Ghosh</t>
  </si>
  <si>
    <t>https://www.linkedin.com/in/saunakghosh/?originalSubdomain=in</t>
  </si>
  <si>
    <t>TI Clean Mobility</t>
  </si>
  <si>
    <t>Mr. Manish Arora</t>
  </si>
  <si>
    <t>https://www.linkedin.com/in/manish-arora-50499614/</t>
  </si>
  <si>
    <t>98104 95578</t>
  </si>
  <si>
    <t>arora.manish@mahindra.com</t>
  </si>
  <si>
    <t>saunakghosh@gmail.com</t>
  </si>
  <si>
    <t>Zolve</t>
  </si>
  <si>
    <t>Savijeet Singh</t>
  </si>
  <si>
    <t>https://www.linkedin.com/in/savijeetsingh/?originalSubdomain=in</t>
  </si>
  <si>
    <t>Absolute</t>
  </si>
  <si>
    <t>Mr. Prateek Rawat</t>
  </si>
  <si>
    <t>https://www.linkedin.com/in/rawatprateek/</t>
  </si>
  <si>
    <t>savijeet21@yahoo.in</t>
  </si>
  <si>
    <t>Kissht</t>
  </si>
  <si>
    <t>Shwetha Iyer</t>
  </si>
  <si>
    <t>https://www.linkedin.com/in/shwetha811/?originalSubdomain=in</t>
  </si>
  <si>
    <t>prateekrawat@gmail.com</t>
  </si>
  <si>
    <t>shwetha.iyer@kissht.com</t>
  </si>
  <si>
    <t>Simple Energy</t>
  </si>
  <si>
    <t>Smitha Rao</t>
  </si>
  <si>
    <t>https://www.linkedin.com/in/smitha-rao-461621138/?originalSubdomain=in</t>
  </si>
  <si>
    <t>Girnar Finserv</t>
  </si>
  <si>
    <t>Mr. Amit Jain</t>
  </si>
  <si>
    <t>Co-Founder &amp; CEO (GirnarSoft)</t>
  </si>
  <si>
    <t>https://www.linkedin.com/in/cardekhoamitjain/</t>
  </si>
  <si>
    <t>smitha.rao@simpleenergy.in</t>
  </si>
  <si>
    <t>amitjain01@gmail.com</t>
  </si>
  <si>
    <t>Supriya Goswami</t>
  </si>
  <si>
    <t>https://www.linkedin.com/in/supriyagoswami/</t>
  </si>
  <si>
    <t>supriya.goswami@whatfix.com</t>
  </si>
  <si>
    <t>supriyagoswami@gmail.com</t>
  </si>
  <si>
    <t>Udit Agarwal</t>
  </si>
  <si>
    <t>Bounce Infinity</t>
  </si>
  <si>
    <t>Mr. Vivekananda Hallekere</t>
  </si>
  <si>
    <t>https://www.linkedin.com/in/uditagarwal/?originalSubdomain=in</t>
  </si>
  <si>
    <t>linkedin.com/in/vivekananda-hallekere-0483bb19?originalSubdomain=in</t>
  </si>
  <si>
    <t>udit.agarwal@exotel.com</t>
  </si>
  <si>
    <t>vivekhsn@gmail.com</t>
  </si>
  <si>
    <t>Vaishali Gupta</t>
  </si>
  <si>
    <t>https://www.linkedin.com/in/ism555/?originalSubdomain=in</t>
  </si>
  <si>
    <t>vaishali@mcaffeine.com</t>
  </si>
  <si>
    <t>Table Space</t>
  </si>
  <si>
    <t>Mr. Karan Chopra</t>
  </si>
  <si>
    <t>Square Yards</t>
  </si>
  <si>
    <t>Co-Founder &amp; Co-CEO</t>
  </si>
  <si>
    <t>https://www.linkedin.com/in/amit-banerji-36533b4/</t>
  </si>
  <si>
    <t>Yashdeep Singh</t>
  </si>
  <si>
    <t>https://www.linkedin.com/in/-yashdeepsingh/?originalSubdomain=in</t>
  </si>
  <si>
    <t>amitbanerji131@gmail.com</t>
  </si>
  <si>
    <t>yashdeep.singh@hotmail.com</t>
  </si>
  <si>
    <t>boAt</t>
  </si>
  <si>
    <t>Aman Gupta</t>
  </si>
  <si>
    <t>https://www.linkedin.com/in/aman-gupta-7217a515?utm_source=share&amp;utm_campaign=share_via&amp;utm_content=profile&amp;utm_medium=android_app</t>
  </si>
  <si>
    <t>ARISE IIP</t>
  </si>
  <si>
    <t>Mr. Gagan Gupta</t>
  </si>
  <si>
    <t>https://www.linkedin.com/in/gagan-gupta-2a407215/</t>
  </si>
  <si>
    <t>241 77 85 90 99</t>
  </si>
  <si>
    <t>gagan.gupta@equitane.com</t>
  </si>
  <si>
    <t>aman.gupta@boat-lifestyle.com</t>
  </si>
  <si>
    <t>https://www.linkedin.com/in/vineetasingh?utm_source=share&amp;utm_campaign=share_via&amp;utm_content=profile&amp;utm_medium=android_app</t>
  </si>
  <si>
    <t>Serentica Renewables</t>
  </si>
  <si>
    <t>Mr. Akshay Hiranandani</t>
  </si>
  <si>
    <t>https://www.linkedin.com/in/akshay-hiranandani-82a1b7b/</t>
  </si>
  <si>
    <t>91 96199 95753</t>
  </si>
  <si>
    <t>akshay.hiranandani@serenticaglobal.com</t>
  </si>
  <si>
    <t>vineeta@sugarcosmetics.com</t>
  </si>
  <si>
    <t>Ashneer Grover</t>
  </si>
  <si>
    <t>https://www.linkedin.com/in/ashneer/?originalSubdomain=in</t>
  </si>
  <si>
    <t>ashneer@bharatpe.com</t>
  </si>
  <si>
    <t>Chingari</t>
  </si>
  <si>
    <t>Peyush Bansal</t>
  </si>
  <si>
    <t>Mr. Sumit Ghosh</t>
  </si>
  <si>
    <t>https://www.linkedin.com/in/peyushbansal/?originalSubdomain=in</t>
  </si>
  <si>
    <t>https://www.linkedin.com/in/sumit-chingari/</t>
  </si>
  <si>
    <t>sumit@chingari.io</t>
  </si>
  <si>
    <t>peyushb@lenskart.com</t>
  </si>
  <si>
    <t>co-founder and prominent investor</t>
  </si>
  <si>
    <t>https://www.linkedin.com/in/kunalbahl?utm_source=share&amp;utm_campaign=share_via&amp;utm_content=profile&amp;utm_medium=android_app</t>
  </si>
  <si>
    <t>Greaves Electric Mobility</t>
  </si>
  <si>
    <t>K. Vijaya Kumar</t>
  </si>
  <si>
    <t>https://www.linkedin.com/in/kvkumar?originalSubdomain=in</t>
  </si>
  <si>
    <t>Myntra and Cult.fit</t>
  </si>
  <si>
    <t>Mukesh Bansal</t>
  </si>
  <si>
    <t xml:space="preserve">Co-founder 
</t>
  </si>
  <si>
    <t>https://www.linkedin.com/in/mubansal?utm_source=share&amp;utm_campaign=share_via&amp;utm_content=profile&amp;utm_medium=android_app</t>
  </si>
  <si>
    <t>kvijayak@gmail.com</t>
  </si>
  <si>
    <t>mukesh@nurix.ai</t>
  </si>
  <si>
    <t>https://www.linkedin.com/in/riteshagar?utm_source=share&amp;utm_campaign=share_via&amp;utm_content=profile&amp;utm_medium=android_app</t>
  </si>
  <si>
    <t>Krishnan Vishwanathan</t>
  </si>
  <si>
    <t>https://www.linkedin.com/in/krishnan-vishwanathan-76a970/?originalSubdomain=in</t>
  </si>
  <si>
    <t>krishnan.vishwanathan@kissht.com</t>
  </si>
  <si>
    <t>Ranvir Singh</t>
  </si>
  <si>
    <t>Deepinder Goyal</t>
  </si>
  <si>
    <t>https://www.linkedin.com/in/deepigoyal?utm_source=share&amp;utm_campaign=share_via&amp;utm_content=profile&amp;utm_medium=android_app</t>
  </si>
  <si>
    <t>https://www.linkedin.com/in/ranvir-singh-23701719/</t>
  </si>
  <si>
    <t>deepinder@lat.com</t>
  </si>
  <si>
    <t>Ola</t>
  </si>
  <si>
    <t>Bhavish Aggarwal</t>
  </si>
  <si>
    <t>https://www.linkedin.com/in/bhavishaggarwal?utm_source=share&amp;utm_campaign=share_via&amp;utm_content=profile&amp;utm_medium=android_app</t>
  </si>
  <si>
    <t>ranvirs@gmail.com</t>
  </si>
  <si>
    <t>bhavish.aggarwal@olacabs.com</t>
  </si>
  <si>
    <t>BYJU’s</t>
  </si>
  <si>
    <t>https://www.linkedin.com/in/byju-raveendran-4397b3350?utm_source=share&amp;utm_campaign=share_via&amp;utm_content=profile&amp;utm_medium=android_app</t>
  </si>
  <si>
    <t>Dream11</t>
  </si>
  <si>
    <t>https://www.linkedin.com/in/harshj22?utm_source=share&amp;utm_campaign=share_via&amp;utm_content=profile&amp;utm_medium=android_app</t>
  </si>
  <si>
    <t>Tushar Aggarwal</t>
  </si>
  <si>
    <t>https://www.linkedin.com/in/tushar-aggarwal-4883421/?originalSubdomain=in</t>
  </si>
  <si>
    <t>https://www.linkedin.com/in/harshilmathur?utm_source=share&amp;utm_campaign=share_via&amp;utm_content=profile&amp;utm_medium=android_app</t>
  </si>
  <si>
    <t>tushar.aggarwal@stashfin.com</t>
  </si>
  <si>
    <t>Schema Ventures</t>
  </si>
  <si>
    <t>Aarthi Ramamurthy</t>
  </si>
  <si>
    <t>Indian-American entrepreneur, VC</t>
  </si>
  <si>
    <t>https://www.linkedin.com/in/aarthir?utm_source=share&amp;utm_campaign=share_via&amp;utm_content=profile&amp;utm_medium=android_app</t>
  </si>
  <si>
    <t>Practo</t>
  </si>
  <si>
    <t>Shashank ND</t>
  </si>
  <si>
    <t>https://www.linkedin.com/in/shashanknd/?originalSubdomain=in</t>
  </si>
  <si>
    <t>aarthi@schemavc.com</t>
  </si>
  <si>
    <t>Reddit and Seven Seven Six VC</t>
  </si>
  <si>
    <t>Alexis Ohanian</t>
  </si>
  <si>
    <t>https://www.linkedin.com/in/alexisohanian?utm_source=share&amp;utm_campaign=share_via&amp;utm_content=profile&amp;utm_medium=android_app</t>
  </si>
  <si>
    <t>naabosolutions@gmail.com</t>
  </si>
  <si>
    <t>a@sevensevensix.com</t>
  </si>
  <si>
    <t>Scale AI</t>
  </si>
  <si>
    <t>Lucy Guo</t>
  </si>
  <si>
    <t>https://www.linkedin.com/in/lucy-guo-a7804955?utm_source=share&amp;utm_campaign=share_via&amp;utm_content=profile&amp;utm_medium=android_app</t>
  </si>
  <si>
    <t>lucy@passes.com</t>
  </si>
  <si>
    <t>Divya Gokulnath</t>
  </si>
  <si>
    <t>https://www.linkedin.com/in/divya-gokulnath/?originalSubdomain=in</t>
  </si>
  <si>
    <t>Servify</t>
  </si>
  <si>
    <t>Sreevathsa Prabhakar</t>
  </si>
  <si>
    <t>https://www.linkedin.com/in/sreevathsap/</t>
  </si>
  <si>
    <t>divyagokulnath@gmail.com</t>
  </si>
  <si>
    <t>Gymshark</t>
  </si>
  <si>
    <t>Ben Francis</t>
  </si>
  <si>
    <t>https://www.linkedin.com/in/gymshark/?originalSubdomain=uk</t>
  </si>
  <si>
    <t>sreevathsap@gmail.com</t>
  </si>
  <si>
    <t>b.francis@gymshark.com</t>
  </si>
  <si>
    <t>Canva</t>
  </si>
  <si>
    <t>Melanie Perkins</t>
  </si>
  <si>
    <t>https://www.linkedin.com/in/melanieperkins/?originalSubdomain=au</t>
  </si>
  <si>
    <t>FanCraze</t>
  </si>
  <si>
    <t>Anshum Bhambri</t>
  </si>
  <si>
    <t>https://www.linkedin.com/in/anshumbhambri/</t>
  </si>
  <si>
    <t>melanie@canva.com</t>
  </si>
  <si>
    <t>Berger Paints India Ltd</t>
  </si>
  <si>
    <t>Abhijit Roy</t>
  </si>
  <si>
    <t>MD and CEO</t>
  </si>
  <si>
    <t>a@fancraze.com</t>
  </si>
  <si>
    <t>royabhijit23@rediffmail.com</t>
  </si>
  <si>
    <t>abhijitroy1@bergerindia.com</t>
  </si>
  <si>
    <t>abhijitroy@bergerindia.com</t>
  </si>
  <si>
    <t>Emami Ltd</t>
  </si>
  <si>
    <t>Harsha Vardhan Agarwal</t>
  </si>
  <si>
    <t>Vice Chairman and Managing Director, Emami Limited</t>
  </si>
  <si>
    <t>https://www.linkedin.com/in/abhijit-roy-67a26410/?originalSubdomain=in</t>
  </si>
  <si>
    <t>Isprava</t>
  </si>
  <si>
    <t>Nibhrant Shah</t>
  </si>
  <si>
    <t>https://www.linkedin.com/in/nibhrantshah/?originalSubdomain=in</t>
  </si>
  <si>
    <t>harshnarnoli@gmail.com</t>
  </si>
  <si>
    <t>https://www.linkedin.com/in/harsha-vardhan-agarwal-46676a55/?originalSubdomain=in</t>
  </si>
  <si>
    <t>nibhrant.shah@themisaccounting.com</t>
  </si>
  <si>
    <t>harshv7@yahoo.com</t>
  </si>
  <si>
    <t>RPSG (FMCG)</t>
  </si>
  <si>
    <t>Sudhir Langer</t>
  </si>
  <si>
    <t>langersudhir@gmail.com</t>
  </si>
  <si>
    <t>sudhir.langer@rpsg.in</t>
  </si>
  <si>
    <t>Wow Momo Foods Pvt Ltd</t>
  </si>
  <si>
    <t>Co-Founder (COO)</t>
  </si>
  <si>
    <t>Rohan Nayak</t>
  </si>
  <si>
    <t>https://www.linkedin.com/in/rohan-nayak/?originalSubdomain=in</t>
  </si>
  <si>
    <t>bkhomagai@yahoo.co.In</t>
  </si>
  <si>
    <t>SAJ Food Products (P) Ltd</t>
  </si>
  <si>
    <t>Arpan Paul</t>
  </si>
  <si>
    <t>ap_saj@biskfarm.com</t>
  </si>
  <si>
    <t>Knight Riders Group</t>
  </si>
  <si>
    <t>Venky Mysore</t>
  </si>
  <si>
    <t>venky.mysore@kkr.com</t>
  </si>
  <si>
    <t>Aikium Inc.</t>
  </si>
  <si>
    <t>Venkatesh Mysore</t>
  </si>
  <si>
    <t>Co-founder and CTO</t>
  </si>
  <si>
    <t>rohannayak0622@gmail.com</t>
  </si>
  <si>
    <t>80 2643 8638</t>
  </si>
  <si>
    <t>vmysore@metlife.com</t>
  </si>
  <si>
    <t>m.p.venkatesh@gmail.com</t>
  </si>
  <si>
    <t>ITC Limited</t>
  </si>
  <si>
    <t>Sumant Bhargavan</t>
  </si>
  <si>
    <t>80 2298 8082</t>
  </si>
  <si>
    <t>bsumant@hotmail.com</t>
  </si>
  <si>
    <t>33 2288 0181</t>
  </si>
  <si>
    <t>b.sumant@itc.in</t>
  </si>
  <si>
    <t>80 2546 9963</t>
  </si>
  <si>
    <t>Eveready Industries India Ltd</t>
  </si>
  <si>
    <t>Anirban Banerjee</t>
  </si>
  <si>
    <t>CityMall</t>
  </si>
  <si>
    <t>Angad Kikla</t>
  </si>
  <si>
    <t>98202 34351</t>
  </si>
  <si>
    <t>anirban.banerjee@eveready.co.in</t>
  </si>
  <si>
    <t>https://www.linkedin.com/in/angad-k-68478312/?originalSubdomain=in</t>
  </si>
  <si>
    <t>93202 34351</t>
  </si>
  <si>
    <t>anirban05@hotmail.com</t>
  </si>
  <si>
    <t>22 2518 5351</t>
  </si>
  <si>
    <t>anirban.banerjee@electrolux.com</t>
  </si>
  <si>
    <t>22 2519 4813</t>
  </si>
  <si>
    <t>angad@citymall.live</t>
  </si>
  <si>
    <t>RUPA &amp; CO. LTD.</t>
  </si>
  <si>
    <t>RAJNISH AGARWAL</t>
  </si>
  <si>
    <t>PRESIDENT</t>
  </si>
  <si>
    <t>rajnish@rupa.co.in</t>
  </si>
  <si>
    <t>Lux Industries Limited</t>
  </si>
  <si>
    <t>Ashok Kumar Todi</t>
  </si>
  <si>
    <t>ashok.todi@luxinnerwear.com</t>
  </si>
  <si>
    <t>luxinfokol@gmail.com</t>
  </si>
  <si>
    <t>Exide Industries Limited</t>
  </si>
  <si>
    <t>Avik Roy</t>
  </si>
  <si>
    <t>avik.roy@exide.co.in</t>
  </si>
  <si>
    <t>Mintifi</t>
  </si>
  <si>
    <t>Anup Agarwal</t>
  </si>
  <si>
    <t>https://www.linkedin.com/in/anup-agarwal-2033222/?originalSubdomain=in</t>
  </si>
  <si>
    <t>aveeque@yahoo.com</t>
  </si>
  <si>
    <t>Dot &amp; Key Skincare</t>
  </si>
  <si>
    <t>Anisha Agarwal Saraf</t>
  </si>
  <si>
    <t>anisha@dotandkey.com</t>
  </si>
  <si>
    <t>anup@mintifi.com</t>
  </si>
  <si>
    <t>McNROE Consumer Products Pvt Ltd</t>
  </si>
  <si>
    <t>Ankit Daga</t>
  </si>
  <si>
    <t>Head - Business Development</t>
  </si>
  <si>
    <t>ankit@mcnroe.com</t>
  </si>
  <si>
    <t xml:space="preserve">ITC Limited </t>
  </si>
  <si>
    <t>Sanjiv Puri</t>
  </si>
  <si>
    <t>Chairman &amp; MD</t>
  </si>
  <si>
    <t>https://www.linkedin.com/in/sanjiv-puri/</t>
  </si>
  <si>
    <t>Polygon</t>
  </si>
  <si>
    <t>Sandeep Nailwal</t>
  </si>
  <si>
    <t>https://www.linkedin.com/in/sandeep-nailwal-60709a33/</t>
  </si>
  <si>
    <t>sanjiv.puri@itc.in</t>
  </si>
  <si>
    <t>sandeep@polygon.technology</t>
  </si>
  <si>
    <t>TCS</t>
  </si>
  <si>
    <t>K Krithivasan</t>
  </si>
  <si>
    <t>CEO &amp; MD</t>
  </si>
  <si>
    <t>k.krithivasan@tcs.com</t>
  </si>
  <si>
    <t>krithivasank@gmail.com</t>
  </si>
  <si>
    <t>Infosys</t>
  </si>
  <si>
    <t>Salil Parekh</t>
  </si>
  <si>
    <t>https://www.linkedin.com/in/salilparekh/</t>
  </si>
  <si>
    <t>Pixis</t>
  </si>
  <si>
    <t>salil_parekh@infosys.com</t>
  </si>
  <si>
    <t>Shubham A. Mishra</t>
  </si>
  <si>
    <t>salilsparekh@hotmail.com</t>
  </si>
  <si>
    <t>https://www.linkedin.com/in/shubham015/</t>
  </si>
  <si>
    <t>N. R. Narayana Murthy</t>
  </si>
  <si>
    <t>https://www.linkedin.com/in/n-r-narayana-murthy-b2553410a/</t>
  </si>
  <si>
    <t>shubhammishra015@gmail.com</t>
  </si>
  <si>
    <t>Kris Gopalakrishnan</t>
  </si>
  <si>
    <t>Ex CEO &amp; MD</t>
  </si>
  <si>
    <t>https://www.linkedin.com/in/kris-gopalakrishnan-10b49950/</t>
  </si>
  <si>
    <t>krisgopalakrishnan@gmail.com</t>
  </si>
  <si>
    <t>kris.gopalakrishnan@outlook.com</t>
  </si>
  <si>
    <t>kris@axilor.com</t>
  </si>
  <si>
    <t>HCL Technologies</t>
  </si>
  <si>
    <t>Zupee</t>
  </si>
  <si>
    <t>Dilsher Singh Malhi</t>
  </si>
  <si>
    <t>https://www.linkedin.com/in/dilsher-malhi-983ab5121/?originalSubdomain=in</t>
  </si>
  <si>
    <t>dilsher4486@gmail.com</t>
  </si>
  <si>
    <t>Curefoods</t>
  </si>
  <si>
    <t>Ankit Nagori</t>
  </si>
  <si>
    <t>https://www.linkedin.com/in/ankitnagori/?originalSubdomain=in</t>
  </si>
  <si>
    <t>ankit@curefoods.in</t>
  </si>
  <si>
    <t>TSLC</t>
  </si>
  <si>
    <t>Deepak H Saluja</t>
  </si>
  <si>
    <t>linkedin.com/in/deepak-h-saluja?originalSubdomain=ae</t>
  </si>
  <si>
    <t>GirnarSoft (CarDekho)</t>
  </si>
  <si>
    <t>https://www.linkedin.com/in/cardekhoamitjain/?originalSubdomain=in</t>
  </si>
  <si>
    <t>Raghunandan G</t>
  </si>
  <si>
    <t>https://www.linkedin.com/in/graghunandan/?originalSubdomain=in</t>
  </si>
  <si>
    <t>raghu@zolve.com</t>
  </si>
  <si>
    <t>AgroStar</t>
  </si>
  <si>
    <t>Shardul Sheth</t>
  </si>
  <si>
    <t>https://www.linkedin.com/in/shardul-sheth-aa1aa659/?originalSubdomain=in</t>
  </si>
  <si>
    <t>shardulsheth@gmail.com</t>
  </si>
  <si>
    <t>Raviteja Dodda</t>
  </si>
  <si>
    <t>https://www.linkedin.com/in/rteja/</t>
  </si>
  <si>
    <t>raviteja2007@gmail.com</t>
  </si>
  <si>
    <t>myTVS</t>
  </si>
  <si>
    <t xml:space="preserve">Sunil Dhingra </t>
  </si>
  <si>
    <t>https://www.linkedin.com/in/sunildhingra/?originalSubdomain=in</t>
  </si>
  <si>
    <t>sunildhingra@gmail.com</t>
  </si>
  <si>
    <t>Madhusudan Ekambaram</t>
  </si>
  <si>
    <t>https://www.linkedin.com/in/madhusudane/?originalSubdomain=in</t>
  </si>
  <si>
    <t>gkndus@gmail.com</t>
  </si>
  <si>
    <t>Observe.AI</t>
  </si>
  <si>
    <t>Swapnil Jain</t>
  </si>
  <si>
    <t>https://www.linkedin.com/in/voiceaiagent/</t>
  </si>
  <si>
    <t>swapniljain849@gmail.com</t>
  </si>
  <si>
    <t>WayCool</t>
  </si>
  <si>
    <t>Karthik Jayaraman</t>
  </si>
  <si>
    <t>Co-Founder &amp; MD</t>
  </si>
  <si>
    <t>https://www.linkedin.com/in/karthik-jayaraman-87924a1/?originalSubdomain=in</t>
  </si>
  <si>
    <t>karthik.jayaraman@waycool.in</t>
  </si>
  <si>
    <t>PharmEasy</t>
  </si>
  <si>
    <t>Dharmil Sheth</t>
  </si>
  <si>
    <t>https://www.linkedin.com/in/dharmilsheth/?originalSubdomain=in</t>
  </si>
  <si>
    <t>dharmilsheth88@gmail.com</t>
  </si>
  <si>
    <t>CleverTap</t>
  </si>
  <si>
    <t>Sidharth Malik</t>
  </si>
  <si>
    <t>Sunil Thomas</t>
  </si>
  <si>
    <t>https://www.linkedin.com/in/sunil-tom/</t>
  </si>
  <si>
    <t>sunil@clevertap.com</t>
  </si>
  <si>
    <t>Bright Lifecare</t>
  </si>
  <si>
    <t>Sameer Maheshwari</t>
  </si>
  <si>
    <t>https://www.linkedin.com/in/sameer-maheshwari-7a8a78/?originalSubdomain=in</t>
  </si>
  <si>
    <t>sameer@healthkart.com</t>
  </si>
  <si>
    <t>EatSure (Rebel Foods)</t>
  </si>
  <si>
    <t>Jaydeep Barman</t>
  </si>
  <si>
    <t>https://www.linkedin.com/in/jaydeepbarman/?originalSubdomain=in</t>
  </si>
  <si>
    <t>jaydeepbarman@gmail.com</t>
  </si>
  <si>
    <t>DMI Finance</t>
  </si>
  <si>
    <t>Shivashish Chatterjee</t>
  </si>
  <si>
    <t>Co-Founder &amp; Jt. MD</t>
  </si>
  <si>
    <t>http://linkedin.com/in/shivashish-chatterjee-51a6a57/?originalSubdomain=in</t>
  </si>
  <si>
    <t>shiv@dmifinance.in</t>
  </si>
  <si>
    <t>Harshvardhan Lunia</t>
  </si>
  <si>
    <t>https://www.linkedin.com/in/harshvardhan-lunia-1189887/?originalSubdomain=in</t>
  </si>
  <si>
    <t>luniaharsh@gmail.com</t>
  </si>
  <si>
    <t>Avaada Group</t>
  </si>
  <si>
    <t>Vineet Mittal</t>
  </si>
  <si>
    <t>Chairman &amp; Founder</t>
  </si>
  <si>
    <t>https://www.linkedin.com/in/thevineetmittal/?originalSubdomain=in</t>
  </si>
  <si>
    <t>vineet@avaada.com</t>
  </si>
  <si>
    <t>Shubham Housing</t>
  </si>
  <si>
    <t>Sanjay Chaturvedi</t>
  </si>
  <si>
    <t>https://www.linkedin.com/in/sachaturvedi/</t>
  </si>
  <si>
    <t>sanjay.chaturvedi@hotmail.com</t>
  </si>
  <si>
    <t>NeoGrowth</t>
  </si>
  <si>
    <t xml:space="preserve">Piyush Khaitan </t>
  </si>
  <si>
    <t>https://www.linkedin.com/in/pkkhaitan/?originalSubdomain=in</t>
  </si>
  <si>
    <t>pk@neogrowth.in</t>
  </si>
  <si>
    <t>Fincare</t>
  </si>
  <si>
    <t>Rajeev Yadav</t>
  </si>
  <si>
    <t>https://www.linkedin.com/in/yadavrajeev/?originalSubdomain=in</t>
  </si>
  <si>
    <t>yadav_rajeev@yahoo.com</t>
  </si>
  <si>
    <t>rajeev.yadav@aubank.in</t>
  </si>
  <si>
    <t>Cloudnine</t>
  </si>
  <si>
    <t>Dr. R. Kishore Kumar</t>
  </si>
  <si>
    <t>https://www.linkedin.com/in/drkishorekumar/?originalSubdomain=in</t>
  </si>
  <si>
    <t>kishkum@gmail.com</t>
  </si>
  <si>
    <t>AceVector (Snapdeal)</t>
  </si>
  <si>
    <t>https://www.linkedin.com/in/kunalbahl?originalSubdomain=in</t>
  </si>
  <si>
    <t>kunalbahl@gmail.com</t>
  </si>
  <si>
    <t>Accumax Lab</t>
  </si>
  <si>
    <t>Chirag Shah</t>
  </si>
  <si>
    <t>https://www.linkedin.com/in/chirag-shah-41303024?originalSubdomain=in</t>
  </si>
  <si>
    <t>chirag@accumaximum.com</t>
  </si>
  <si>
    <t>ACHF</t>
  </si>
  <si>
    <t>Ravi Subramanian</t>
  </si>
  <si>
    <t>https://www.linkedin.com/in/ravisubramanian1/?originalSubdomain=in</t>
  </si>
  <si>
    <t>ravi@truhomefinance.in</t>
  </si>
  <si>
    <t>AgniKul Cosmos</t>
  </si>
  <si>
    <t>Srinath Ravichandran</t>
  </si>
  <si>
    <t>https://www.linkedin.com/in/srinath-ravichandran-09679a7/?originalSubdomain=in</t>
  </si>
  <si>
    <t>srinath@agnikul.in</t>
  </si>
  <si>
    <t>Ansr</t>
  </si>
  <si>
    <t>Lalit Ahuja</t>
  </si>
  <si>
    <t>https://www.linkedin.com/in/lalit-ahuja-298139171/?originalSubdomain=in</t>
  </si>
  <si>
    <t>Apnaklub</t>
  </si>
  <si>
    <t>Shruti Shruti</t>
  </si>
  <si>
    <t>https://www.linkedin.com/in/shrutipy/?originalSubdomain=in</t>
  </si>
  <si>
    <t>shruti@apnaklub.com</t>
  </si>
  <si>
    <t>Appnomic</t>
  </si>
  <si>
    <t>Paddy Padmanabhan</t>
  </si>
  <si>
    <t>https://www.linkedin.com/in/paddy-padmanabhan-4619103/?originalSubdomain=in</t>
  </si>
  <si>
    <t>dpaddy@appnomic.com</t>
  </si>
  <si>
    <t>Appsmith</t>
  </si>
  <si>
    <t>Abhishek Nayak</t>
  </si>
  <si>
    <t>https://www.linkedin.com/in/abhisheknayak</t>
  </si>
  <si>
    <t>nayakabhishek@gmail.com</t>
  </si>
  <si>
    <t>Arya.ag</t>
  </si>
  <si>
    <t>Prasanna Rao</t>
  </si>
  <si>
    <t>https://in.linkedin.com/in/prasanna-rao-a402ab44</t>
  </si>
  <si>
    <t>Arzooo</t>
  </si>
  <si>
    <t>Khushnud Khan</t>
  </si>
  <si>
    <t>https://www.crunchbase.com/person/khushnud-khan</t>
  </si>
  <si>
    <t>khushnud@arzooo.com</t>
  </si>
  <si>
    <t>Avanti Finance</t>
  </si>
  <si>
    <t>Rahul Gupta</t>
  </si>
  <si>
    <t>https://in.linkedin.com/in/gupta-rahul</t>
  </si>
  <si>
    <t>rahul@avantifinance.in</t>
  </si>
  <si>
    <t>Avataar AI</t>
  </si>
  <si>
    <t>Sravanth Aluru</t>
  </si>
  <si>
    <t>https://www.linkedin.com/in/sravanth/</t>
  </si>
  <si>
    <t>sravanthaluru@gmail.com</t>
  </si>
  <si>
    <t>Avesthagen</t>
  </si>
  <si>
    <t>Villoo Morawala-Patell</t>
  </si>
  <si>
    <t>Founder &amp; CMD</t>
  </si>
  <si>
    <t>https://in.linkedin.com/in/villoo-morawala-patell-101720</t>
  </si>
  <si>
    <t>villoopatell@mac.com</t>
  </si>
  <si>
    <t>Bandhan Bank</t>
  </si>
  <si>
    <t>Chandra Shekhar Ghosh</t>
  </si>
  <si>
    <t>https://www.linkedin.com/posts/bandhanbank_shri-chandra-shekhar-ghosh-md-ceo-bandhan-activity-6981133832699699200-PxIn</t>
  </si>
  <si>
    <t>md.ceo@bandhanbank.com</t>
  </si>
  <si>
    <t>BeatO</t>
  </si>
  <si>
    <t>Gautam Chopra</t>
  </si>
  <si>
    <t>https://in.linkedin.com/in/gautam-c-3009a710</t>
  </si>
  <si>
    <t>gautamchopra@gmail.com</t>
  </si>
  <si>
    <t>BELLAVITA</t>
  </si>
  <si>
    <t>Aakash Anand</t>
  </si>
  <si>
    <t>https://in.linkedin.com/in/aakashanand</t>
  </si>
  <si>
    <t>anbcap@gmail.com</t>
  </si>
  <si>
    <t>Bhilwara Energy</t>
  </si>
  <si>
    <t>Hiren Shah</t>
  </si>
  <si>
    <t>https://in.linkedin.com/in/hirenshah3</t>
  </si>
  <si>
    <t>hshah@replusengitech.com</t>
  </si>
  <si>
    <t>BIBA Apparels</t>
  </si>
  <si>
    <t>Meena Bindra</t>
  </si>
  <si>
    <t>https://in.linkedin.com/in/meena-bindra-521ab69b</t>
  </si>
  <si>
    <t>meena.bindra@bibaindia.com</t>
  </si>
  <si>
    <t>Bigspoon</t>
  </si>
  <si>
    <t>Kapil Mathrani</t>
  </si>
  <si>
    <t>https://www.linkedin.com/in/kapilmathrani/</t>
  </si>
  <si>
    <t>Unicorn</t>
  </si>
  <si>
    <t>mathranik@gmail.com</t>
  </si>
  <si>
    <t>Bijnis</t>
  </si>
  <si>
    <t>Siddharth Vij</t>
  </si>
  <si>
    <t>https://in.linkedin.com/in/siddharth-vij-ab4abb7a</t>
  </si>
  <si>
    <t>siddharth@bijnis.com</t>
  </si>
  <si>
    <t>Shiprocket</t>
  </si>
  <si>
    <t>Praful Poddar</t>
  </si>
  <si>
    <t>https://www.linkedin.com/in/prafulpoddar/</t>
  </si>
  <si>
    <t>Biorad Medisys</t>
  </si>
  <si>
    <t>Jitendra Hegde</t>
  </si>
  <si>
    <t>MD and founder</t>
  </si>
  <si>
    <t>https://in.linkedin.com/in/jitendra-hegde-731246172</t>
  </si>
  <si>
    <t>jmhegde@bioradmedisys.com</t>
  </si>
  <si>
    <t>98105 66133</t>
  </si>
  <si>
    <t>praful.poddar@shiprocket.com</t>
  </si>
  <si>
    <t>prafulpoddar@gmail.com</t>
  </si>
  <si>
    <t>Bira 91</t>
  </si>
  <si>
    <t>Ankur Jain</t>
  </si>
  <si>
    <t>https://in.linkedin.com/in/ajain6</t>
  </si>
  <si>
    <t>ankur@bira91.com</t>
  </si>
  <si>
    <t>Nikhil Menon</t>
  </si>
  <si>
    <t>Blue Tokai Coffee</t>
  </si>
  <si>
    <t>Matt Chitharanjan</t>
  </si>
  <si>
    <t>https://www.linkedin.com/in/nikhil-menon-8a025816/</t>
  </si>
  <si>
    <t>https://in.linkedin.com/in/mchitharanjan</t>
  </si>
  <si>
    <t>mjc279@gmail.com</t>
  </si>
  <si>
    <t>nikhil.menon@aakashlife.in</t>
  </si>
  <si>
    <t>nikhilmenon.mib2010@gmail.com</t>
  </si>
  <si>
    <t>menon.nikhil.08@gmail.com</t>
  </si>
  <si>
    <t>Deepak Malik</t>
  </si>
  <si>
    <t>Borzo (WeFast)</t>
  </si>
  <si>
    <t>Alina Kisina</t>
  </si>
  <si>
    <t>https://www.linkedin.com/in/deepak-malik-7744031ab/</t>
  </si>
  <si>
    <t>https://www.linkedin.com/in/alina-kisina-74b0478/</t>
  </si>
  <si>
    <t>alyusya75@mail.ru</t>
  </si>
  <si>
    <t>deepak.malik@shiprocket.in</t>
  </si>
  <si>
    <t>deepakmalikghn@gmail.com</t>
  </si>
  <si>
    <t>Box8 (EatClub)</t>
  </si>
  <si>
    <t>Amit Raj</t>
  </si>
  <si>
    <t>https://in.linkedin.com/in/amit-raj-06981213</t>
  </si>
  <si>
    <t>PhysicsWallah</t>
  </si>
  <si>
    <t>Manish Kumar</t>
  </si>
  <si>
    <t>https://www.linkedin.com/in/manish-kumar-781614104/</t>
  </si>
  <si>
    <t>getamitraj@gmail.com</t>
  </si>
  <si>
    <t>97825 87768, +91 77424 59143</t>
  </si>
  <si>
    <t>manish.kumar@pw.live</t>
  </si>
  <si>
    <t>BPL Medical</t>
  </si>
  <si>
    <t>manish@altisvortex.com</t>
  </si>
  <si>
    <t>Sunil Khurana</t>
  </si>
  <si>
    <t>manish.vite@gmail.com</t>
  </si>
  <si>
    <t>https://in.linkedin.com/in/sunil-khurana-230787121</t>
  </si>
  <si>
    <t>khuranasunil1961@gmail.com</t>
  </si>
  <si>
    <t>Branch International</t>
  </si>
  <si>
    <t>Matt Flannery</t>
  </si>
  <si>
    <t>https://www.linkedin.com/in/matthew-flannery-4b6895111</t>
  </si>
  <si>
    <t>mattflannery@gmail.com</t>
  </si>
  <si>
    <t>SHASHIKANT SINGH</t>
  </si>
  <si>
    <t>https://www.linkedin.com/in/shashikant-singh-545972b2/</t>
  </si>
  <si>
    <t>C5i (Course5)</t>
  </si>
  <si>
    <t>Ashwin Mittal</t>
  </si>
  <si>
    <t>Chairman &amp; CEO</t>
  </si>
  <si>
    <t>https://in.linkedin.com/in/ashwin-mittal-a99b09</t>
  </si>
  <si>
    <t>shashikant.singh@pw.live</t>
  </si>
  <si>
    <t>ashwin.mittal@course5i.com</t>
  </si>
  <si>
    <t>shashikant2143@gmail.com</t>
  </si>
  <si>
    <t>CallHealth</t>
  </si>
  <si>
    <t>Hari Thalapalli</t>
  </si>
  <si>
    <t>https://in.linkedin.com/in/hari-thalapalli-1bb45112</t>
  </si>
  <si>
    <t>Meesho</t>
  </si>
  <si>
    <t>Prasanna Arunachalam</t>
  </si>
  <si>
    <t>https://www.linkedin.com/in/prasanna-arunachalam-a344a314/</t>
  </si>
  <si>
    <t>hari@callhealth.com</t>
  </si>
  <si>
    <t>81975 23932</t>
  </si>
  <si>
    <t>prasanna.arunachalam@meesho.com</t>
  </si>
  <si>
    <t>Captain Fresh</t>
  </si>
  <si>
    <t>prasan19@gmail.com</t>
  </si>
  <si>
    <t>Utham Gowda</t>
  </si>
  <si>
    <t>https://nl.linkedin.com/in/uthamks</t>
  </si>
  <si>
    <t>utham@captainfresh.in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</si>
  <si>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Mohit Rajani</t>
    </r>
  </si>
  <si>
    <t>Cashfree Payments</t>
  </si>
  <si>
    <t>Akash Sinha</t>
  </si>
  <si>
    <t>https://in.linkedin.com/in/sinhaakash</t>
  </si>
  <si>
    <t>akashindya@gmail.com</t>
  </si>
  <si>
    <t>https://www.linkedin.com/in/mohitrajani/</t>
  </si>
  <si>
    <t>CBREX</t>
  </si>
  <si>
    <t>Gautam Sinha</t>
  </si>
  <si>
    <t>linkedin.com/in/gautamsinha</t>
  </si>
  <si>
    <t>mohit.rajani@meesho.com</t>
  </si>
  <si>
    <t>i.mohit@gmail.com</t>
  </si>
  <si>
    <t>Centre for Sight</t>
  </si>
  <si>
    <t>Dr. Mahipal Sachdev</t>
  </si>
  <si>
    <t>linkedin.com/in/drmahipalsachdev</t>
  </si>
  <si>
    <t>Gaurav Madan</t>
  </si>
  <si>
    <t>Chalo</t>
  </si>
  <si>
    <t>Mohit Dubey</t>
  </si>
  <si>
    <t>Supply Chain and Product Development Head</t>
  </si>
  <si>
    <t>linkedin.com/in/mohit-dubey</t>
  </si>
  <si>
    <t>https://www.linkedin.com/in/madangaurav/</t>
  </si>
  <si>
    <t>95604 59210, +91 95388 74842</t>
  </si>
  <si>
    <t>gaurav.m@purplle.com</t>
  </si>
  <si>
    <t>gmcool86@yahoo.co.in</t>
  </si>
  <si>
    <t>Change.org India</t>
  </si>
  <si>
    <t>Nida Hasan</t>
  </si>
  <si>
    <t>Country Director</t>
  </si>
  <si>
    <t>linkedin.com/in/nida-hasan</t>
  </si>
  <si>
    <t>Charge Zone</t>
  </si>
  <si>
    <t>Kartikey Hariyani</t>
  </si>
  <si>
    <t>linkedin.com/in/kartikey-hariyani</t>
  </si>
  <si>
    <t>Kaustubh Agnihotri</t>
  </si>
  <si>
    <t>https://www.linkedin.com/in/kaustubhagnihotri/</t>
  </si>
  <si>
    <t>Clix Capital</t>
  </si>
  <si>
    <t>Rakesh Kaul</t>
  </si>
  <si>
    <t>96204 75353</t>
  </si>
  <si>
    <t>linkedin.com/in/rakesh-kaul</t>
  </si>
  <si>
    <t>kaustubh.agnihotri@acko.tech</t>
  </si>
  <si>
    <t>Cogoport</t>
  </si>
  <si>
    <t>Amitabh Kumar</t>
  </si>
  <si>
    <t>linkedin.com/in/amitabh-kumar</t>
  </si>
  <si>
    <t>CredAble</t>
  </si>
  <si>
    <t>Nirav Choksi</t>
  </si>
  <si>
    <t>linkedin.com/in/nirav-choksi</t>
  </si>
  <si>
    <t>Credgenics</t>
  </si>
  <si>
    <t>Rishabh Goel</t>
  </si>
  <si>
    <t>linkedin.com/in/rishabh-goel</t>
  </si>
  <si>
    <t>Crofarm (Otipy)</t>
  </si>
  <si>
    <t>Varun Khurana</t>
  </si>
  <si>
    <t>linkedin.com/in/varunkhurana</t>
  </si>
  <si>
    <t>CrowdAnalytix</t>
  </si>
  <si>
    <t>Divyabh Mishra</t>
  </si>
  <si>
    <t>linkedin.com/in/divyabhmishra</t>
  </si>
  <si>
    <t>CtrlS</t>
  </si>
  <si>
    <t>Sridhar Pinnapureddy</t>
  </si>
  <si>
    <t>linkedin.com/in/sridharpinnapureddy</t>
  </si>
  <si>
    <t>bharatpe</t>
  </si>
  <si>
    <t>Rohan Khara</t>
  </si>
  <si>
    <t>https://www.linkedin.com/in/rohankhara/</t>
  </si>
  <si>
    <t>linkedin.com/in/shashank-kumar-dehaat</t>
  </si>
  <si>
    <t>rohan@bharatpe.com</t>
  </si>
  <si>
    <t>Disprz</t>
  </si>
  <si>
    <t>Subramanian Viswanathan</t>
  </si>
  <si>
    <t>linkedin.com/in/subramanianviswanathan</t>
  </si>
  <si>
    <t>CARS24</t>
  </si>
  <si>
    <t>Doceree</t>
  </si>
  <si>
    <t>Priyanka Arora</t>
  </si>
  <si>
    <t>Harshit Jain</t>
  </si>
  <si>
    <t>Founder &amp; Global CEO</t>
  </si>
  <si>
    <t>linkedin.com/in/harshitjainmd</t>
  </si>
  <si>
    <t>https://www.linkedin.com/in/priyanka-arora-a532711a2/</t>
  </si>
  <si>
    <t>DotPe</t>
  </si>
  <si>
    <t>Shailaz Nag</t>
  </si>
  <si>
    <t>linkedin.com/in/shailaz-nag</t>
  </si>
  <si>
    <t xml:space="preserve">er.priyankakochhar@gmail.com </t>
  </si>
  <si>
    <t>priyanka.arora@docquity.com</t>
  </si>
  <si>
    <t>Dvara KGFS</t>
  </si>
  <si>
    <t>LVLN Murty</t>
  </si>
  <si>
    <t>linkedin.com/in/lvlnmurty</t>
  </si>
  <si>
    <t>Epigamia</t>
  </si>
  <si>
    <t>Rohan Mirchandani</t>
  </si>
  <si>
    <t>Co-Founder (Late)</t>
  </si>
  <si>
    <t>(Memorial Profile)</t>
  </si>
  <si>
    <t>Euler Motors</t>
  </si>
  <si>
    <t>Saurav Kumar</t>
  </si>
  <si>
    <t>linkedin.com/in/sauravkumar</t>
  </si>
  <si>
    <t>Rekha Singh</t>
  </si>
  <si>
    <t>https://www.linkedin.com/in/rekha-singh-46743910b/</t>
  </si>
  <si>
    <t>Everest Fleet</t>
  </si>
  <si>
    <t>Siddharth Ladsariya</t>
  </si>
  <si>
    <t>linkedin.com/in/siddharth-ladsariya</t>
  </si>
  <si>
    <t>rekha.singh@moglix.com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</si>
  <si>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Karan Kumar</t>
    </r>
  </si>
  <si>
    <t>Fashinza</t>
  </si>
  <si>
    <t>Pawan Gupta</t>
  </si>
  <si>
    <t>https://www.linkedin.com/in/karan-kumar-68084211/</t>
  </si>
  <si>
    <t>linkedin.com/in/pawan-gupta</t>
  </si>
  <si>
    <t>80101.00900, 919873003850</t>
  </si>
  <si>
    <t>karan.kumar@spinny.com</t>
  </si>
  <si>
    <t>Swapnil Shah</t>
  </si>
  <si>
    <t>linkedin.com/in/swapnil-shah</t>
  </si>
  <si>
    <t>FSS</t>
  </si>
  <si>
    <t>Nagaraj Mylandla</t>
  </si>
  <si>
    <t>linkedin.com/in/nagarajmylandla</t>
  </si>
  <si>
    <t>Furlenco</t>
  </si>
  <si>
    <t>Ajith Mohan Karimpana</t>
  </si>
  <si>
    <t>linkedin.com/in/ajithkarimpana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</si>
  <si>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Ajit Narayanan</t>
    </r>
  </si>
  <si>
    <t>CPTO</t>
  </si>
  <si>
    <t>https://www.linkedin.com/in/ajitnarayanan/</t>
  </si>
  <si>
    <t>Gemini Edibles</t>
  </si>
  <si>
    <t>Pradeep Chowdhry</t>
  </si>
  <si>
    <t>linkedin.com/in/pradeep-chowdhry</t>
  </si>
  <si>
    <t>919986017952, +91.1800.419.0786</t>
  </si>
  <si>
    <t>ajit.narayanan@gmail.com</t>
  </si>
  <si>
    <t>GOAT Brand Labs</t>
  </si>
  <si>
    <t>Rishi Vasudev</t>
  </si>
  <si>
    <t>linkedin.com/in/rishivasudev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</si>
  <si>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Ankit Agarwal</t>
    </r>
  </si>
  <si>
    <t>GoKwik</t>
  </si>
  <si>
    <t>Chirag Taneja</t>
  </si>
  <si>
    <t>linkedin.com/in/chiragtaneja</t>
  </si>
  <si>
    <t>https://www.linkedin.com/in/ankitagarwal703/</t>
  </si>
  <si>
    <t>919582995496, +91.22.4893.0234, 919582995496</t>
  </si>
  <si>
    <t>ankit.agarwal@zeptonow.com</t>
  </si>
  <si>
    <t>ankit.zhcet@gmail.com</t>
  </si>
  <si>
    <t>Goomo</t>
  </si>
  <si>
    <t>Varun Gupta</t>
  </si>
  <si>
    <t>linkedin.com/in/varun-gupta</t>
  </si>
  <si>
    <t>Malav Shah</t>
  </si>
  <si>
    <t>https://www.linkedin.com/in/malav42/</t>
  </si>
  <si>
    <t>707.660.7677, +91.89519.80702</t>
  </si>
  <si>
    <t>malav.shah@juspay.in</t>
  </si>
  <si>
    <t>malav42@gmail.com</t>
  </si>
  <si>
    <t>Yunus Feroze</t>
  </si>
  <si>
    <t>Product Marketing Manager</t>
  </si>
  <si>
    <t>https://www.linkedin.com/in/yunus-feroze-a5b84392/</t>
  </si>
  <si>
    <t>yunus.feroze@juspay.io</t>
  </si>
  <si>
    <t>yunusferoze@gmail.com</t>
  </si>
  <si>
    <t>HackerRank</t>
  </si>
  <si>
    <t>Vivek Ravisankar</t>
  </si>
  <si>
    <t>linkedin.com/in/vivek-ravisankar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</si>
  <si>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Ashwin Sekar</t>
    </r>
  </si>
  <si>
    <t>https://www.linkedin.com/in/ashwin-sekar-5bb3186/</t>
  </si>
  <si>
    <t>Happilo</t>
  </si>
  <si>
    <t>Vikas Nahar</t>
  </si>
  <si>
    <t>linkedin.com/in/vikas-nahar</t>
  </si>
  <si>
    <t>919962434196, +91.1860.500.2192</t>
  </si>
  <si>
    <t>ashwin.sekar@incred.com</t>
  </si>
  <si>
    <t>acewinsekar@gmail.com</t>
  </si>
  <si>
    <t>HappyEasyGo</t>
  </si>
  <si>
    <t>Boris Zha</t>
  </si>
  <si>
    <t>linkedin.com/in/boris-zha</t>
  </si>
  <si>
    <t>Nikita Devrukhakar</t>
  </si>
  <si>
    <t>https://www.linkedin.com/in/nikita-devrukhakar-8a053b204/</t>
  </si>
  <si>
    <t>HCAH</t>
  </si>
  <si>
    <t>Vivek Srivastava</t>
  </si>
  <si>
    <t>linkedin.com/in/viveksrivastava</t>
  </si>
  <si>
    <t>nikita.devrukhakar@bit.ly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</si>
  <si>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Swati Vishnoi</t>
    </r>
  </si>
  <si>
    <t>Product</t>
  </si>
  <si>
    <t>Head Digital Works</t>
  </si>
  <si>
    <t>https://www.linkedin.com/in/swati-vishnoi-aa00664b/</t>
  </si>
  <si>
    <t>Deepak Gullapalli</t>
  </si>
  <si>
    <t>linkedin.com/in/deepak-gullapalli</t>
  </si>
  <si>
    <t>swati@onescore.app</t>
  </si>
  <si>
    <t>vishnoi.swati1510@gmail.com</t>
  </si>
  <si>
    <t>Hero Electric</t>
  </si>
  <si>
    <t>Naveen Munjal</t>
  </si>
  <si>
    <t>linkedin.com/in/naveenmunjal</t>
  </si>
  <si>
    <t>Hero Fincorp</t>
  </si>
  <si>
    <t>Abhimanyu Munjal</t>
  </si>
  <si>
    <t>Jt. MD &amp; CEO</t>
  </si>
  <si>
    <t>linkedin.com/in/abhimanyumunjal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</si>
  <si>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Rahul Mirchandani</t>
    </r>
  </si>
  <si>
    <t>https://www.linkedin.com/in/rahulmirchandani/</t>
  </si>
  <si>
    <t>Hevo Data</t>
  </si>
  <si>
    <t>Mohit Garg</t>
  </si>
  <si>
    <t>linkedin.com/in/mohitgarg</t>
  </si>
  <si>
    <t>rahul@dream11.com</t>
  </si>
  <si>
    <t>r.mirchandani@gmail.com</t>
  </si>
  <si>
    <t>Dhruv Khaitan</t>
  </si>
  <si>
    <t>https://www.linkedin.com/in/dhruv-khaitan-14673712b/</t>
  </si>
  <si>
    <t>Hindustan Power</t>
  </si>
  <si>
    <t>Ratul Puri</t>
  </si>
  <si>
    <t>linkedin.com/in/ratulpuri</t>
  </si>
  <si>
    <t>dhruv.khaitan@dream11.com</t>
  </si>
  <si>
    <t>dhruvkhaitan91@gmail.com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</si>
  <si>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Praneeth Bakki</t>
    </r>
  </si>
  <si>
    <t>Housing.com</t>
  </si>
  <si>
    <t>Customer Products</t>
  </si>
  <si>
    <t>https://www.linkedin.com/in/praneethbakki/</t>
  </si>
  <si>
    <t>Dhruv Agarwala</t>
  </si>
  <si>
    <t>Group CEO</t>
  </si>
  <si>
    <t>linkedin.com/in/dhruv-agarwala</t>
  </si>
  <si>
    <t>Husk Power</t>
  </si>
  <si>
    <t>Manoj Sinha</t>
  </si>
  <si>
    <t>linkedin.com/in/manojsinha</t>
  </si>
  <si>
    <t>Kaushik Joshi</t>
  </si>
  <si>
    <t>Strategy &amp; New Initiatives</t>
  </si>
  <si>
    <t>IBS Software</t>
  </si>
  <si>
    <t>V K Mathews</t>
  </si>
  <si>
    <t>linkedin.com/in/vkmathews</t>
  </si>
  <si>
    <t>https://www.linkedin.com/in/kaushik-joshi/</t>
  </si>
  <si>
    <t>kaushik.joshi@rapido.bike</t>
  </si>
  <si>
    <t>ID Fresh Food</t>
  </si>
  <si>
    <t>PC Musthafa</t>
  </si>
  <si>
    <t>linkedin.com/in/pcmusthafa</t>
  </si>
  <si>
    <t>MPL</t>
  </si>
  <si>
    <t>Vaibhav Kejriwal</t>
  </si>
  <si>
    <t>Product Manager</t>
  </si>
  <si>
    <t>https://www.linkedin.com/in/vaibhav98/</t>
  </si>
  <si>
    <t>IDfy</t>
  </si>
  <si>
    <t>Ashok Hariharan</t>
  </si>
  <si>
    <t>linkedin.com/in/ashokhariharan</t>
  </si>
  <si>
    <t>vaibhavkejriwal98@gmail.com</t>
  </si>
  <si>
    <t>Increff</t>
  </si>
  <si>
    <t>Rajul Jain</t>
  </si>
  <si>
    <t>linkedin.com/in/rajul-jain</t>
  </si>
  <si>
    <t>Abhay Prasad</t>
  </si>
  <si>
    <t>Chief Product Officer</t>
  </si>
  <si>
    <t>https://www.linkedin.com/in/abhaybprasad/</t>
  </si>
  <si>
    <t>Innoviti</t>
  </si>
  <si>
    <t>Rajeev Agrawal</t>
  </si>
  <si>
    <t>linkedin.com/in/rajeevagrawal</t>
  </si>
  <si>
    <t>abhay.prasad@innovaccer.com</t>
  </si>
  <si>
    <t>abhay5ue@gmail.com</t>
  </si>
  <si>
    <t>ITQ Technologies</t>
  </si>
  <si>
    <t>Dr. L.B. Singhal</t>
  </si>
  <si>
    <t>-</t>
  </si>
  <si>
    <t>Rakshay Jain</t>
  </si>
  <si>
    <t>VP of Product Management at Innovaccer</t>
  </si>
  <si>
    <t>https://www.linkedin.com/in/rakshay-jain-19a7a32/</t>
  </si>
  <si>
    <t>Jai Kisan</t>
  </si>
  <si>
    <t>Arjun Ahluwalia</t>
  </si>
  <si>
    <t>linkedin.com/in/arjunahluwalia</t>
  </si>
  <si>
    <t>rakshay.jain@innovaccer.com</t>
  </si>
  <si>
    <t>John Energy</t>
  </si>
  <si>
    <t>Mahesh Vyas</t>
  </si>
  <si>
    <t>CMD</t>
  </si>
  <si>
    <t>Rebel Foods</t>
  </si>
  <si>
    <t>linkedin.com/in/mahesh-vyas</t>
  </si>
  <si>
    <t>Parag Bhattacharyya</t>
  </si>
  <si>
    <t>VP &amp; Head Of Procurement</t>
  </si>
  <si>
    <t>https://www.linkedin.com/in/paragb555a578914/</t>
  </si>
  <si>
    <t>parag.bhattacharyya@rebelfoods.com</t>
  </si>
  <si>
    <t>parag.bhattacharyya@vodafone.com</t>
  </si>
  <si>
    <t>paragb55@gmail.com</t>
  </si>
  <si>
    <t>JoulesToWatts</t>
  </si>
  <si>
    <t>Priti Sawant</t>
  </si>
  <si>
    <t>linkedin.com/in/priti-sawant</t>
  </si>
  <si>
    <t>Just Buy Live</t>
  </si>
  <si>
    <t>Sahil Sani</t>
  </si>
  <si>
    <t>linkedin.com/in/sahilsani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</si>
  <si>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Puneet Maheshwari</t>
    </r>
  </si>
  <si>
    <t>Kabira Mobility</t>
  </si>
  <si>
    <t>Jaibir Siwach</t>
  </si>
  <si>
    <t>linkedin.com/in/jaibirsiwach</t>
  </si>
  <si>
    <t>Director &amp; VP of Products</t>
  </si>
  <si>
    <t>https://www.linkedin.com/in/puneet-maheshwari-41201925/</t>
  </si>
  <si>
    <t>puneet.maheshwari@upstox.com</t>
  </si>
  <si>
    <t>Kale Logistics</t>
  </si>
  <si>
    <t>Amar More</t>
  </si>
  <si>
    <t>linkedin.com/in/amarmore</t>
  </si>
  <si>
    <t>Mike Akeroyd</t>
  </si>
  <si>
    <t>VP of AI &amp; Product Management</t>
  </si>
  <si>
    <t>https://www.linkedin.com/in/akeroyd/</t>
  </si>
  <si>
    <t>Kiwi</t>
  </si>
  <si>
    <t>Siddharth Mehta</t>
  </si>
  <si>
    <t>linkedin.com/in/siddharth-mehta</t>
  </si>
  <si>
    <t>mike.akeroyd@rksv.in</t>
  </si>
  <si>
    <t>CRED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</si>
  <si>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Rahul Harkisanka</t>
    </r>
  </si>
  <si>
    <t>LeadsConnect</t>
  </si>
  <si>
    <t>Navneet Ravikar</t>
  </si>
  <si>
    <t>Leena AI</t>
  </si>
  <si>
    <t>Product and Business Head</t>
  </si>
  <si>
    <t>https://www.linkedin.com/in/rahulharkisanka/</t>
  </si>
  <si>
    <t>Adit Jain</t>
  </si>
  <si>
    <t>Livepure</t>
  </si>
  <si>
    <t>Rakesh Malhotra</t>
  </si>
  <si>
    <t>rakesh@sar-group.com</t>
  </si>
  <si>
    <t>LoadShare</t>
  </si>
  <si>
    <t>Raghuram Talluri</t>
  </si>
  <si>
    <t>raghuram@loadshare.net, talluriraghuram@gmail.com</t>
  </si>
  <si>
    <t>LocoNav</t>
  </si>
  <si>
    <t>Shridhar Gupta</t>
  </si>
  <si>
    <t>shridhar@loconav.com</t>
  </si>
  <si>
    <t>Arvind Kumar</t>
  </si>
  <si>
    <t>Senior Director - Product Management</t>
  </si>
  <si>
    <t>https://www.linkedin.com/in/andyaru/</t>
  </si>
  <si>
    <t>Log9 Materials</t>
  </si>
  <si>
    <t>Akshay Singhal</t>
  </si>
  <si>
    <t>akshay@slateup.co, akss.singhal@gmail.com</t>
  </si>
  <si>
    <t>917021139335, +91.92126.92126</t>
  </si>
  <si>
    <t>arvind.kumar@snapdeal.com</t>
  </si>
  <si>
    <t>arvindgreatarvind@yahoo.co.in</t>
  </si>
  <si>
    <t>andy@snapdeal.com</t>
  </si>
  <si>
    <t>Loop Health</t>
  </si>
  <si>
    <t>Mayank Kale</t>
  </si>
  <si>
    <t>kalemayank29@gmail.com</t>
  </si>
  <si>
    <t>M2P Fintech</t>
  </si>
  <si>
    <t>Madhusudanan R</t>
  </si>
  <si>
    <t>Sushant Pandey</t>
  </si>
  <si>
    <t>onlymadhu@gmail.com, onlymadhu@gmail.com</t>
  </si>
  <si>
    <t>https://www.linkedin.com/in/sushantp/</t>
  </si>
  <si>
    <t>Magenta</t>
  </si>
  <si>
    <t>Maxson Lewis</t>
  </si>
  <si>
    <t>maxson.lewis@magentamobility.com, maxsonlewis@gmail.com</t>
  </si>
  <si>
    <t>sushant.pandey@snapdeal.com</t>
  </si>
  <si>
    <t>Mahindra First Choice</t>
  </si>
  <si>
    <t>Ashutosh Pandey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</si>
  <si>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Chandrashekhar Vattikuti</t>
    </r>
  </si>
  <si>
    <t>ceo.mfcwl@mahindra.com, ashutosh.pandey9315@gmail.com</t>
  </si>
  <si>
    <t>Manthan</t>
  </si>
  <si>
    <t>Atul Jalan</t>
  </si>
  <si>
    <t>atul.jalan@algonomy.com, atul.jalan@manthansystems.com</t>
  </si>
  <si>
    <t>MarketsandMarkets</t>
  </si>
  <si>
    <t>Sandeep Sugla</t>
  </si>
  <si>
    <t>sandeep@marketsandmarkets.com</t>
  </si>
  <si>
    <t>MathCo</t>
  </si>
  <si>
    <t>Sayandeb Banerjee</t>
  </si>
  <si>
    <t>sayandeb@mathco.com, sayandeb@themathcompany.com, sayan1508@gmail.com</t>
  </si>
  <si>
    <t>Ankit Grover</t>
  </si>
  <si>
    <t>VP and Business Head - APAC</t>
  </si>
  <si>
    <t>https://www.linkedin.com/in/ankit-grover-754b4b32/</t>
  </si>
  <si>
    <t>Matrix Cellular</t>
  </si>
  <si>
    <t>Gagan Dugal</t>
  </si>
  <si>
    <t>ankit.grover@inmobi.com</t>
  </si>
  <si>
    <t>MATTER</t>
  </si>
  <si>
    <t>Mohal Lalbhai</t>
  </si>
  <si>
    <t>mohal@matter.in, mrlalbhai@gmail.com</t>
  </si>
  <si>
    <t>Yubi</t>
  </si>
  <si>
    <t>Krishnendu Majumdar</t>
  </si>
  <si>
    <t>MedGenome</t>
  </si>
  <si>
    <t>Mahesh Pratapneni</t>
  </si>
  <si>
    <t>https://www.linkedin.com/in/krishnendum/</t>
  </si>
  <si>
    <t>mahesh.pratapneni@medgenome.com, mahesh@genomeasia100k.com</t>
  </si>
  <si>
    <t>919845172945, +91.80.6953.7777</t>
  </si>
  <si>
    <t>krishnendu.majumdar@go-yubi.com</t>
  </si>
  <si>
    <t>krishnendum@gmail.com</t>
  </si>
  <si>
    <t>Vivek Tiwari</t>
  </si>
  <si>
    <t>vivek.tiwari@medikabazaar.com, vivek.tiwari@medikabazaar.com</t>
  </si>
  <si>
    <t>Mfine</t>
  </si>
  <si>
    <t>Prasad Kompalli</t>
  </si>
  <si>
    <t>pkompalli@gmail.com</t>
  </si>
  <si>
    <t>Abhishek Mehrotra</t>
  </si>
  <si>
    <t>https://www.linkedin.com/in/abhishek77/</t>
  </si>
  <si>
    <t>Miko</t>
  </si>
  <si>
    <t>Sneh Vaswani</t>
  </si>
  <si>
    <t>sneh@miko.ai, sneh2889@gmail.com</t>
  </si>
  <si>
    <t>abhishek.mehrotra@credavenue.com</t>
  </si>
  <si>
    <t>abhiadam@yahoo.com</t>
  </si>
  <si>
    <t>Monedo</t>
  </si>
  <si>
    <t>Ashish Kohli</t>
  </si>
  <si>
    <t>https://www.linkedin.com/in/ashishkohli77/?lipi=urn%3Ali%3Apage%3Ad_flagship3_profile_view_base%3Bfnhsv1f3TPS6ALdJWq7J7Q%3D%3D#</t>
  </si>
  <si>
    <t>Raise</t>
  </si>
  <si>
    <t>Anirudha Basak</t>
  </si>
  <si>
    <t>PM</t>
  </si>
  <si>
    <t>https://www.linkedin.com/in/anirudhabasak/</t>
  </si>
  <si>
    <t>ashish.kohli@monedo.in</t>
  </si>
  <si>
    <t>join@raiseholding.co</t>
  </si>
  <si>
    <t>anirudha@bankonbasak.com, anirudha@substack.com</t>
  </si>
  <si>
    <t>Mosaic Wellness</t>
  </si>
  <si>
    <t>Revant Bhate</t>
  </si>
  <si>
    <t>https://www.linkedin.com/in/revant/?lipi=urn%3Ali%3Apage%3Ad_flagship3_profile_view_base_contact_details%3BxnQfTvNFSnmc3UZ6%2BtO91g%3D%3D</t>
  </si>
  <si>
    <t>revant@mosaicwellness.in, revant.bhate@gmail.com</t>
  </si>
  <si>
    <t>Motherhood</t>
  </si>
  <si>
    <t>Vijayaraghava Reddy</t>
  </si>
  <si>
    <t>https://www.linkedin.com/in/vijayarathna-venkatraman-83b82656/?lipi=urn%3Ali%3Apage%3Ad_flagship3_profile_view_base%3BaNdD6uCnQtiS%2BeSa8iAf3Q%3D%3D#</t>
  </si>
  <si>
    <t>Glance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</si>
  <si>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Vishal D.</t>
    </r>
  </si>
  <si>
    <t>Director of Product</t>
  </si>
  <si>
    <t>https://www.linkedin.com/in/vishaldalal/</t>
  </si>
  <si>
    <t>vishal.dalal@glance.com</t>
  </si>
  <si>
    <t>visdalal@gmail.com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</si>
  <si>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Prashant Narang</t>
    </r>
  </si>
  <si>
    <t>https://www.linkedin.com/in/prashaaant/</t>
  </si>
  <si>
    <t>22.3014.7239</t>
  </si>
  <si>
    <t>prashant.narang@imaginemarketingindia.com</t>
  </si>
  <si>
    <t>prshntnrng06@gmail.com</t>
  </si>
  <si>
    <t>vijayarathna.v@gmail.com</t>
  </si>
  <si>
    <t>Ronil Jain</t>
  </si>
  <si>
    <t>https://www.linkedin.com/in/roniljain/</t>
  </si>
  <si>
    <t>NetAmbit</t>
  </si>
  <si>
    <t>Girish Batra</t>
  </si>
  <si>
    <t>https://www.linkedin.com/in/girishbatranetambit/?lipi=urn%3Ali%3Apage%3Ad_flagship3_profile_view_base%3BwaogsZL5Qk%2BZN%2B%2BYj3lgNA%3D%3D#</t>
  </si>
  <si>
    <t>roniljain92@gmail.com</t>
  </si>
  <si>
    <t>girishbatra@netambit.com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</si>
  <si>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Kisan Patro</t>
    </r>
  </si>
  <si>
    <t>NewsDog</t>
  </si>
  <si>
    <t>Forrest Chen</t>
  </si>
  <si>
    <t>https://www.linkedin.com/in/chenyukun/?lipi=urn%3Ali%3Apage%3Ad_flagship3_profile_view_base%3BnCcMACdvTpmBuLnxFEYWTA%3D%3D#</t>
  </si>
  <si>
    <t>https://www.linkedin.com/in/kisanpatro/</t>
  </si>
  <si>
    <t>919049269025, +91.85858.58585</t>
  </si>
  <si>
    <t>chenyukun03@gmail.com</t>
  </si>
  <si>
    <t>kisan.patro@unacademy.com</t>
  </si>
  <si>
    <t>kisanp@zeta.tech</t>
  </si>
  <si>
    <t>kisan_patro786@yahoo.com</t>
  </si>
  <si>
    <t>Newspace Research</t>
  </si>
  <si>
    <t>Sameer Joshi</t>
  </si>
  <si>
    <t>https://www.linkedin.com/in/sameerjoshi73/?lipi=urn%3Ali%3Apage%3Ad_flagship3_profile_view_base%3BIPPVKspqTfy5QJIJiAYcyw%3D%3D#</t>
  </si>
  <si>
    <t>captsameerjoshi@gmail.com</t>
  </si>
  <si>
    <t>OkCredit</t>
  </si>
  <si>
    <t>Harsh Pokharna</t>
  </si>
  <si>
    <t>https://www.linkedin.com/in/harsh-pokharna/?lipi=urn%3Ali%3Apage%3Ad_flagship3_profile_view_base%3BH1En%2FlfsSaOTmbGkANxsFw%3D%3D#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</si>
  <si>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Himanshu Nautiyal</t>
    </r>
  </si>
  <si>
    <t>harsh@okcredit.in, harsh.81291@gmail.com</t>
  </si>
  <si>
    <t>OneAssist</t>
  </si>
  <si>
    <t>Gagan Maini</t>
  </si>
  <si>
    <t>https://www.linkedin.com/in/gagan-maini-5038542/?lipi=urn%3Ali%3Apage%3Ad_flagship3_profile_view_base%3BCnP83fbzQqW54ekyAIemGA%3D%3D#</t>
  </si>
  <si>
    <t>gagan.maini@oneassist.in</t>
  </si>
  <si>
    <t>Perfint Healthcare</t>
  </si>
  <si>
    <t>S. Nandakumar</t>
  </si>
  <si>
    <t>nandu@perfinthealthcare.com</t>
  </si>
  <si>
    <t>Pi DATACENTERS</t>
  </si>
  <si>
    <t>Kalyan Muppaneni</t>
  </si>
  <si>
    <t>https://www.linkedin.com/in/kalyan-muppaneni-591378b7/?lipi=urn%3Ali%3Apage%3Ad_flagship3_profile_view_base%3BDfngw6IiSGGfqrku17wsbA%3D%3D#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</si>
  <si>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Radhika Binani</t>
    </r>
  </si>
  <si>
    <t>https://www.linkedin.com/in/radhika-binani/</t>
  </si>
  <si>
    <t>kalyan@pidatacenters.com, muppaneni@hotmail.com</t>
  </si>
  <si>
    <t>radhika@policybazaar.com</t>
  </si>
  <si>
    <t>Pixxel</t>
  </si>
  <si>
    <t>radhikabinani@gmail.com</t>
  </si>
  <si>
    <t>Awais Ahmed</t>
  </si>
  <si>
    <t>https://www.linkedin.com/in/awaisahmedna/?locale=%3B%7B%7D&amp;lipi=urn%3Ali%3Apage%3Ad_flagship3_profile_view_base%3BUmjKwF5hSWWnDGMPQIbmYg%3D%3D#</t>
  </si>
  <si>
    <t>awais@pixxel.co.in</t>
  </si>
  <si>
    <t>Power2SME</t>
  </si>
  <si>
    <t>R Narayan</t>
  </si>
  <si>
    <t>rnarayan@power2sme.com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</si>
  <si>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Gauravjit Singh Gill</t>
    </r>
  </si>
  <si>
    <t>Ranjeet Pratap Singh</t>
  </si>
  <si>
    <t>https://www.linkedin.com/in/ranjeetpsingh/?lipi=urn%3Ali%3Apage%3Ad_flagship3_profile_view_base_contact_details%3BVXqZfFzNRxOpJWeFfXg0Vg%3D%3D</t>
  </si>
  <si>
    <t>https://www.linkedin.com/in/gauravgill/</t>
  </si>
  <si>
    <t>ranjeet@pratilipi.com, brainmasterrohit@gmail.com</t>
  </si>
  <si>
    <t>gaurav.gill@emeritus.org</t>
  </si>
  <si>
    <t>Pride Hotels</t>
  </si>
  <si>
    <t xml:space="preserve">Satyen Jain </t>
  </si>
  <si>
    <t>https://www.linkedin.com/in/satyenjain/</t>
  </si>
  <si>
    <t>gopalesdp@gmail.com</t>
  </si>
  <si>
    <t>Progcap</t>
  </si>
  <si>
    <t>Pallavi Shrivastava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</si>
  <si>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Ashir Madaan</t>
    </r>
  </si>
  <si>
    <t>https://www.linkedin.com/in/pallavishrivastava/?originalSubdomain=in</t>
  </si>
  <si>
    <t>pallavishrivastava@gmail.com</t>
  </si>
  <si>
    <t>Product Lead</t>
  </si>
  <si>
    <t>https://www.linkedin.com/in/ashir-madaan-b271a213/</t>
  </si>
  <si>
    <t>PropertyShare</t>
  </si>
  <si>
    <t>Hashim Khan</t>
  </si>
  <si>
    <t>linkedin.com/in/hashimkhan?originalSubdomain=in</t>
  </si>
  <si>
    <t>617.433.8855</t>
  </si>
  <si>
    <t>amadaan@skillz.com</t>
  </si>
  <si>
    <t>hashimkhan@gmail.com</t>
  </si>
  <si>
    <t>PURE EV</t>
  </si>
  <si>
    <t>Nishanth Dongari</t>
  </si>
  <si>
    <t>Moneyview</t>
  </si>
  <si>
    <t>https://www.linkedin.com/in/nishanthdongari/?originalSubdomain=in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</si>
  <si>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Prathamesh R.</t>
    </r>
  </si>
  <si>
    <t>nishanth@purenergy.co.in</t>
  </si>
  <si>
    <t>http://linkedin.com/in/prathamesh-r/</t>
  </si>
  <si>
    <t>Purple Style Labs</t>
  </si>
  <si>
    <t>Abhishek Agarwal</t>
  </si>
  <si>
    <t>https://www.linkedin.com/in/abhishek-monty-agarwal-52b17215/?originalSubdomain=in</t>
  </si>
  <si>
    <t>80.4569.2002</t>
  </si>
  <si>
    <t>prathamesh.r@moneyview.in</t>
  </si>
  <si>
    <t>montyabhishekag@gmail.com</t>
  </si>
  <si>
    <t>Qtrove</t>
  </si>
  <si>
    <t>Vinamra Pandiya</t>
  </si>
  <si>
    <t>https://www.linkedin.com/in/vinamrapandiya/</t>
  </si>
  <si>
    <t>Vivriti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</si>
  <si>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Dipen Ruparelia</t>
    </r>
  </si>
  <si>
    <t>vinamra007@gmail.com</t>
  </si>
  <si>
    <t>Quizizz</t>
  </si>
  <si>
    <t>Ankit Gupta</t>
  </si>
  <si>
    <t>linkedin.com/in/ankit042</t>
  </si>
  <si>
    <t>https://www.linkedin.com/in/dipen-ruparelia-ca-cfa-58a5724b/</t>
  </si>
  <si>
    <t>ankitatbits@gmail.com</t>
  </si>
  <si>
    <t>919819921196, +91.91670.35214</t>
  </si>
  <si>
    <t>dipen.ruparelia@vivritiamc.com</t>
  </si>
  <si>
    <t>dipenruparelia@gmail.com</t>
  </si>
  <si>
    <t>Rays Power Infra</t>
  </si>
  <si>
    <t>Ketan Mehta</t>
  </si>
  <si>
    <t>linkedin.com/in/ketanmehta</t>
  </si>
  <si>
    <t>ketaniitr@gmail.com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</si>
  <si>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Rahul Shetty</t>
    </r>
  </si>
  <si>
    <t>RenewBuy</t>
  </si>
  <si>
    <t>Balachander Sekhar</t>
  </si>
  <si>
    <t>linkedin.com/in/balachandersekhar</t>
  </si>
  <si>
    <t>bala@renewbuy.com</t>
  </si>
  <si>
    <t>https://www.linkedin.com/in/rahulshetty/</t>
  </si>
  <si>
    <t>Reshamandi</t>
  </si>
  <si>
    <t>Mayank Tiwari</t>
  </si>
  <si>
    <t>919900790590, +91.1800.200.3000</t>
  </si>
  <si>
    <t>https://www.linkedin.com/in/mayanktiwari1/?originalSubdomain=in</t>
  </si>
  <si>
    <t>rahul.shetty@girnarsoft.com</t>
  </si>
  <si>
    <t>mayank@reshamandi.com</t>
  </si>
  <si>
    <t>River</t>
  </si>
  <si>
    <t>Aravind Mani</t>
  </si>
  <si>
    <t>linkedin.com/in/aravindmani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</si>
  <si>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Amitabh Gautam</t>
    </r>
  </si>
  <si>
    <t>mraravindm@gmail.com</t>
  </si>
  <si>
    <t>https://www.linkedin.com/in/amitabhgautam/</t>
  </si>
  <si>
    <t>Rooter</t>
  </si>
  <si>
    <t>Piyush Kumar</t>
  </si>
  <si>
    <t>linkedin.com/in/writetopiyush?originalSubdomain=in</t>
  </si>
  <si>
    <t>918826924210, +91.22.4232.3450</t>
  </si>
  <si>
    <t>amitabh.gautam@games24x7.com</t>
  </si>
  <si>
    <t>writetopiyush@gmail.com</t>
  </si>
  <si>
    <t>Saltside</t>
  </si>
  <si>
    <t>Nils Hammar</t>
  </si>
  <si>
    <t>linkedin.com/in/nilshammar</t>
  </si>
  <si>
    <t>nhammar@gmail.com</t>
  </si>
  <si>
    <t>apna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</si>
  <si>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Tanmay Desai</t>
    </r>
  </si>
  <si>
    <t>Samunnati</t>
  </si>
  <si>
    <t>Anil Kumar SG</t>
  </si>
  <si>
    <t>https://www.linkedin.com/in/anilkumar-sg/?originalSubdomain=in</t>
  </si>
  <si>
    <t>Head of AI Products</t>
  </si>
  <si>
    <t>https://www.linkedin.com/in/tanmaydesai89/</t>
  </si>
  <si>
    <t>sganilkumar@gmail.com</t>
  </si>
  <si>
    <t>909.926.3957, +91.91760.16715</t>
  </si>
  <si>
    <t>tanmay@apna.co</t>
  </si>
  <si>
    <t>thinktanmay@gmail.com</t>
  </si>
  <si>
    <t>Sarvam AI</t>
  </si>
  <si>
    <t>Vivek Raghavan</t>
  </si>
  <si>
    <t>https://www.linkedin.com/in/vivek-raghavan-16005424/?originalSubdomain=in</t>
  </si>
  <si>
    <t>vivek@sarvam.ai</t>
  </si>
  <si>
    <t>Atul Shinghal</t>
  </si>
  <si>
    <t>linkedin.com/in/atulshinghal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</si>
  <si>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Sangeeth Aloysius</t>
    </r>
  </si>
  <si>
    <t>atul.shinghal@scripbox.com</t>
  </si>
  <si>
    <t>Seclore</t>
  </si>
  <si>
    <t xml:space="preserve">Vishal Gauri </t>
  </si>
  <si>
    <t>https://www.linkedin.com/in/vishalgauri/</t>
  </si>
  <si>
    <t>v.gauri@seclore.com</t>
  </si>
  <si>
    <t>Sense</t>
  </si>
  <si>
    <t>Anil Dharni</t>
  </si>
  <si>
    <t>linkedin.com/in/anildharni</t>
  </si>
  <si>
    <t>adharni@gmail.com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</si>
  <si>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Pallak Bareja</t>
    </r>
  </si>
  <si>
    <t>ShopX</t>
  </si>
  <si>
    <t>Amit Sharma</t>
  </si>
  <si>
    <t>linkedin.com/in/amitucla</t>
  </si>
  <si>
    <t>amitdce@gmail.com</t>
  </si>
  <si>
    <t>https://www.linkedin.com/in/pallak-bareja-628a551b3/</t>
  </si>
  <si>
    <t>SigTuple</t>
  </si>
  <si>
    <t>Tathagato Rai Dastidar</t>
  </si>
  <si>
    <t>96432.42126, 919628159976</t>
  </si>
  <si>
    <t>pallak@nirogstreet.com</t>
  </si>
  <si>
    <t>linkedin.com/in/trdastidar?originalSubdomain=in</t>
  </si>
  <si>
    <t>pallak@webs.com, pallak@opoyi.com</t>
  </si>
  <si>
    <t>pallak@opoyi.com</t>
  </si>
  <si>
    <t>trdastidar@gmail.com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</si>
  <si>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Alan Francis</t>
    </r>
  </si>
  <si>
    <t>Suhas Rajkumar</t>
  </si>
  <si>
    <t>https://www.linkedin.com/in/suhas-rajkumar-277824150/?originalSubdomain=in</t>
  </si>
  <si>
    <t>suhasrajkumar@simpleenergy.in</t>
  </si>
  <si>
    <t>Skyroot Aerospace</t>
  </si>
  <si>
    <t>Pawan Kumar Chandana</t>
  </si>
  <si>
    <t>https://www.linkedin.com/in/pawan-kumar-chandana-a90b6514/?originalSubdomain=in</t>
  </si>
  <si>
    <t>writetopawanmj@gmail.com</t>
  </si>
  <si>
    <t>SMT (Sahajanand)</t>
  </si>
  <si>
    <t>Bhargav Kotadia</t>
  </si>
  <si>
    <t>Ceo</t>
  </si>
  <si>
    <t>https://www.linkedin.com/in/bhargav-kotadia-35a0951b/?originalSubdomain=in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</si>
  <si>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Bhanu Prakash</t>
    </r>
  </si>
  <si>
    <t>bhargav@smt.in</t>
  </si>
  <si>
    <t>Director of Product Management</t>
  </si>
  <si>
    <t>https://www.linkedin.com/in/bhanu-prakash-44649521/</t>
  </si>
  <si>
    <t>Soothe Healthcare</t>
  </si>
  <si>
    <t>Sahil Dharia</t>
  </si>
  <si>
    <t>https://www.linkedin.com/in/sahil-dharia-810278b/?originalSubdomain=in</t>
  </si>
  <si>
    <t>653.157.3767</t>
  </si>
  <si>
    <t>bhanu.p@darwinbox.com</t>
  </si>
  <si>
    <t>sahildharia@gmail.com</t>
  </si>
  <si>
    <t>Tanuj Shori</t>
  </si>
  <si>
    <t>https://www.linkedin.com/in/tanuj-shori-420b402/?originalSubdomain=ae</t>
  </si>
  <si>
    <t>tanuj.shori@squareyards.com</t>
  </si>
  <si>
    <t>DealShare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</si>
  <si>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Rajat Shikhar</t>
    </r>
  </si>
  <si>
    <t>StarAgri</t>
  </si>
  <si>
    <t>Amit Goyal</t>
  </si>
  <si>
    <t>https://www.linkedin.com/in/amit-mundawala/?originalSubdomain=in</t>
  </si>
  <si>
    <t>Co-Founder and CPTO</t>
  </si>
  <si>
    <t>https://www.linkedin.com/in/rajatshikhar/</t>
  </si>
  <si>
    <t>amit.mundawala@staragri.com</t>
  </si>
  <si>
    <t>919910107911, +91.72200.03030</t>
  </si>
  <si>
    <t>rajat@dealshare.in</t>
  </si>
  <si>
    <t>rajatshikhar@gmail.com</t>
  </si>
  <si>
    <t>StrideOne</t>
  </si>
  <si>
    <t>Ishpreet Singh Gandhi</t>
  </si>
  <si>
    <t>https://www.linkedin.com/in/ishpreet-singh-gandhi-539893b/?originalSubdomain=in</t>
  </si>
  <si>
    <t>ishpreetgandhi@gmail.com</t>
  </si>
  <si>
    <t>Ola electric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</si>
  <si>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Anirban Das</t>
    </r>
  </si>
  <si>
    <t>Sulekha</t>
  </si>
  <si>
    <t>Satya Prabhakar</t>
  </si>
  <si>
    <t>linkedin.com/in/satyaprabhakar</t>
  </si>
  <si>
    <t xml:space="preserve">Senior Director PM </t>
  </si>
  <si>
    <t>https://www.linkedin.com/in/anirbandas5/</t>
  </si>
  <si>
    <t>satyaprabhakar@promanagelive.biz</t>
  </si>
  <si>
    <t>919650038032, +91.80.3311.3311</t>
  </si>
  <si>
    <t>anirban.das@olaelectric.com</t>
  </si>
  <si>
    <t>SUN Mobility</t>
  </si>
  <si>
    <t>Chetan Maini</t>
  </si>
  <si>
    <t>Co-Founder &amp; Chairman</t>
  </si>
  <si>
    <t>https://www.linkedin.com/in/mainichetan/?originalSubdomain=in</t>
  </si>
  <si>
    <t>chetanmaini@ymail.com</t>
  </si>
  <si>
    <t>Sunstone</t>
  </si>
  <si>
    <t>Ashish Munjal</t>
  </si>
  <si>
    <t>linkedin.com/in/ashishmunjal</t>
  </si>
  <si>
    <t>eightfold.ai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</si>
  <si>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Sachit Kamat</t>
    </r>
  </si>
  <si>
    <t>ashishmunjal@gmail.com</t>
  </si>
  <si>
    <t>Times OOH</t>
  </si>
  <si>
    <t>Shekhar Narayanaswami</t>
  </si>
  <si>
    <t>https://www.linkedin.com/in/narayanaswami-shekhar-29b4947/?originalSubdomain=in</t>
  </si>
  <si>
    <t>https://www.linkedin.com/in/sachit/</t>
  </si>
  <si>
    <t>888.325.8222, 408.505.3846</t>
  </si>
  <si>
    <t>sachit@eightfold.ai</t>
  </si>
  <si>
    <t>sachit.kamat@gmail.com</t>
  </si>
  <si>
    <t>nshekhar30@hotmail.com</t>
  </si>
  <si>
    <t>Travel Triangle</t>
  </si>
  <si>
    <t>Sankalp Agarwal</t>
  </si>
  <si>
    <t>https://www.linkedin.com/in/sankalpagarwal/?originalSubdomain=in</t>
  </si>
  <si>
    <t>98991 20408</t>
  </si>
  <si>
    <t>Druva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</si>
  <si>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Ranga Rajagopalan</t>
    </r>
  </si>
  <si>
    <t>Treebo</t>
  </si>
  <si>
    <t>Sidharth Gupta</t>
  </si>
  <si>
    <t>https://www.linkedin.com/in/guptasidharth/?originalSubdomain=in</t>
  </si>
  <si>
    <t>CPO &amp; CMO</t>
  </si>
  <si>
    <t>https://www.linkedin.com/in/rangaraajrajagopalan/</t>
  </si>
  <si>
    <t>mailsidharth@gmail.com</t>
  </si>
  <si>
    <t>888.248.4976, 925.989.6142</t>
  </si>
  <si>
    <t>ranga@druva.com</t>
  </si>
  <si>
    <t>Trivitron</t>
  </si>
  <si>
    <t>Dr. GSK Velu</t>
  </si>
  <si>
    <t>https://www.linkedin.com/in/gskvelu/?originalSubdomain=in</t>
  </si>
  <si>
    <t>gvelu@trivitron.com</t>
  </si>
  <si>
    <t>True Balance</t>
  </si>
  <si>
    <t>Cheolwon Lee</t>
  </si>
  <si>
    <t>https://www.linkedin.com/in/cheolwon-lee-5b110b2/?originalSubdomain=in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</si>
  <si>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Khilan Haria</t>
    </r>
  </si>
  <si>
    <t>cheolwon.lee@truecredits.in</t>
  </si>
  <si>
    <t>Ummeed Housing</t>
  </si>
  <si>
    <t>Ashutosh Sharma</t>
  </si>
  <si>
    <t>https://www.linkedin.com/in/khilanharia/</t>
  </si>
  <si>
    <t>https://www.linkedin.com/in/ashutosh-sharma-6ba006103/?originalSubdomain=in</t>
  </si>
  <si>
    <t>918105874500, 650.843.0988</t>
  </si>
  <si>
    <t>khilan.haria@razorpay.com</t>
  </si>
  <si>
    <t>ashutosh.sharma@ummeedhfc.com</t>
  </si>
  <si>
    <t>khilanharia@gmail.com</t>
  </si>
  <si>
    <t>Univo Education</t>
  </si>
  <si>
    <t>Siddharth Banerjee</t>
  </si>
  <si>
    <t>https://www.linkedin.com/in/siddharth-banerjee-25a3351/?originalSubdomain=in</t>
  </si>
  <si>
    <t>sbanerjee@univoedtech.com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</si>
  <si>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Snehal Thakkar</t>
    </r>
  </si>
  <si>
    <t>UpScalio</t>
  </si>
  <si>
    <t>Gautam Kshatriya</t>
  </si>
  <si>
    <t>linkedin.com/in/gautamkshatriya</t>
  </si>
  <si>
    <t>Senior Director PM, Ex- Nykaa</t>
  </si>
  <si>
    <t>https://www.linkedin.com/in/snehalpatel2786/</t>
  </si>
  <si>
    <t>gautam@upscal.io</t>
  </si>
  <si>
    <t>snehal@browserstack.com</t>
  </si>
  <si>
    <t>snehal.vp1986@gmail.com</t>
  </si>
  <si>
    <t>Varthana</t>
  </si>
  <si>
    <t>Steve Hardgrave</t>
  </si>
  <si>
    <t>linkedin.com/in/shardgrave?originalSubdomain=in</t>
  </si>
  <si>
    <t>steevha@gmail.com</t>
  </si>
  <si>
    <t>Vayana</t>
  </si>
  <si>
    <t>Ramaswamy Iyer</t>
  </si>
  <si>
    <t>linkedin.com/in/ramaswamy-iyer-b40aa96?originalSubdomain=in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</si>
  <si>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Vineet Das</t>
    </r>
  </si>
  <si>
    <t>rniyer@vayana.com</t>
  </si>
  <si>
    <t>https://www.linkedin.com/in/vineetdas/</t>
  </si>
  <si>
    <t>Veeba</t>
  </si>
  <si>
    <t>Viraj Bahl</t>
  </si>
  <si>
    <t>732.385.3546</t>
  </si>
  <si>
    <t>linkedin.com/in/virajbahl</t>
  </si>
  <si>
    <t>vineet.das@leadsquared.com</t>
  </si>
  <si>
    <t>viraj.bahl@veeba.in</t>
  </si>
  <si>
    <t>Vegrow</t>
  </si>
  <si>
    <t>Shobhit Jain</t>
  </si>
  <si>
    <t>https://www.linkedin.com/in/shoubhit-jain-88a35315/?originalSubdomain=in</t>
  </si>
  <si>
    <t>shoubhit@vegrow.in</t>
  </si>
  <si>
    <t>Vivifi India</t>
  </si>
  <si>
    <t>Anil Pinapala</t>
  </si>
  <si>
    <t>https://www.linkedin.com/in/anil-k-pinapala-57aaa5/</t>
  </si>
  <si>
    <t>Zenoti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</si>
  <si>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Santosh Auti</t>
    </r>
  </si>
  <si>
    <t>ap@tekfriday.com</t>
  </si>
  <si>
    <t>Wingreens World</t>
  </si>
  <si>
    <t>Anju Srivastava</t>
  </si>
  <si>
    <t>https://in.linkedin.com/in/anju-srivastava-28843527</t>
  </si>
  <si>
    <t>Fintech Products</t>
  </si>
  <si>
    <t>https://www.linkedin.com/in/santosh-auti-84b982b1/</t>
  </si>
  <si>
    <t>anju@wingreens.in</t>
  </si>
  <si>
    <t>919960071340, 877.481.7634</t>
  </si>
  <si>
    <t>santosha@zenoti.com</t>
  </si>
  <si>
    <t>santoshauti12@yahoo.com</t>
  </si>
  <si>
    <t>Wiz Freight</t>
  </si>
  <si>
    <t>Ramkumar Govindarajan</t>
  </si>
  <si>
    <t>https://www.linkedin.com/in/connectram91/?originalSubdomain=in</t>
  </si>
  <si>
    <t>connectram91@gmail.com</t>
  </si>
  <si>
    <t>Wonderchef</t>
  </si>
  <si>
    <t>Ravi Saxena</t>
  </si>
  <si>
    <t>https://www.linkedin.com/in/ravi-saxena-59802ba/?originalSubdomain=in</t>
  </si>
  <si>
    <t>OXYZO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</si>
  <si>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Ankush Jain</t>
    </r>
  </si>
  <si>
    <t>ravi@wonderchef.in</t>
  </si>
  <si>
    <t>Chief Business Officer</t>
  </si>
  <si>
    <t>https://www.linkedin.com/in/ankush-jain-68746014/</t>
  </si>
  <si>
    <t>Wrogn</t>
  </si>
  <si>
    <t>Anjana Reddy</t>
  </si>
  <si>
    <t>Founder (USPL)</t>
  </si>
  <si>
    <t>http://linkedin.com/in/anjana-reddy-48135825/?originalSubdomain=in</t>
  </si>
  <si>
    <t>ankush.jain@oxyzo.in</t>
  </si>
  <si>
    <t>anjana153@gmail.com</t>
  </si>
  <si>
    <t>XYXX</t>
  </si>
  <si>
    <t>Yogesh Kabra</t>
  </si>
  <si>
    <t>linkedin.com/in/yogeshkabra</t>
  </si>
  <si>
    <t>yogesh@xyxxcrew.com</t>
  </si>
  <si>
    <t>Coinswitch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</si>
  <si>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Achintya Sharma</t>
    </r>
  </si>
  <si>
    <t>Yellow.ai</t>
  </si>
  <si>
    <t>Raghu Ravinutala</t>
  </si>
  <si>
    <t>linkedin.com/in/raghuravinutala</t>
  </si>
  <si>
    <t>Procurement</t>
  </si>
  <si>
    <t>https://www.linkedin.com/in/achsh9/</t>
  </si>
  <si>
    <t>raghuravinutala@gmail.com</t>
  </si>
  <si>
    <t>achintya.s@coinswitch.co</t>
  </si>
  <si>
    <t>ZipGo</t>
  </si>
  <si>
    <t>Pritesh Gupta</t>
  </si>
  <si>
    <t>https://www.linkedin.com/in/pritesh123iit/?originalSubdomain=uk</t>
  </si>
  <si>
    <t>priteshgupta@gmail.com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</si>
  <si>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Ravish Kumar Agarwal</t>
    </r>
  </si>
  <si>
    <t>Zolo</t>
  </si>
  <si>
    <t>Nikhil Sikri</t>
  </si>
  <si>
    <t>https://www.linkedin.com/in/dr-nikhil-sikri/?originalSubdomain=in</t>
  </si>
  <si>
    <t>CPO, Product Leader</t>
  </si>
  <si>
    <t>https://www.linkedin.com/in/ravishagarwal/?originalSubdomain=ae</t>
  </si>
  <si>
    <t>nikhilsikri@gmail.com</t>
  </si>
  <si>
    <t>ravish@wizcommerce.com</t>
  </si>
  <si>
    <t>ShareChat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</si>
  <si>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Amit Z</t>
    </r>
  </si>
  <si>
    <t>https://www.linkedin.com/in/amitgz/</t>
  </si>
  <si>
    <t>amit@sharechat.com</t>
  </si>
  <si>
    <t>amit.zunjarwad@gmail.com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</si>
  <si>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Ramkishore Vegi</t>
    </r>
  </si>
  <si>
    <t>Product Director</t>
  </si>
  <si>
    <t>https://www.linkedin.com/in/ramkishorevegi/</t>
  </si>
  <si>
    <t>ramkishore.vegi@elastic.run</t>
  </si>
  <si>
    <t>ramkishore4u@gmail.com</t>
  </si>
  <si>
    <t>LeadSchool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</si>
  <si>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Ajay Kashyap</t>
    </r>
  </si>
  <si>
    <t>https://www.linkedin.com/in/ajaykash/</t>
  </si>
  <si>
    <t>ajay.kashyap@leadschool.in</t>
  </si>
  <si>
    <t>ajaykash@gmail.com</t>
  </si>
  <si>
    <t>Udaan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</si>
  <si>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Hindole Dutta</t>
    </r>
  </si>
  <si>
    <t>Director, Product</t>
  </si>
  <si>
    <t>https://www.linkedin.com/in/hindole-dutta-57883716/</t>
  </si>
  <si>
    <t>hindole.dutta@udaan.com</t>
  </si>
  <si>
    <t>hindoledutta90@gmail.com</t>
  </si>
  <si>
    <t>API Holdings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</si>
  <si>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Pankaj Caiser</t>
    </r>
  </si>
  <si>
    <t>Product Manager &amp; Strategy Leader</t>
  </si>
  <si>
    <t>https://www.linkedin.com/in/pankajjoycaiser/</t>
  </si>
  <si>
    <t>pankaj.caiser@pharmeasy.in</t>
  </si>
  <si>
    <t>pankajjoycaiser@gmail.com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</si>
  <si>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Shruti Duge</t>
    </r>
  </si>
  <si>
    <t>Product and Growth</t>
  </si>
  <si>
    <t>https://www.linkedin.com/in/shrutiduge/</t>
  </si>
  <si>
    <t>646.536.5038</t>
  </si>
  <si>
    <t>dugeshruti@gmail.com</t>
  </si>
  <si>
    <t>JSW One Platforms Limited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</si>
  <si>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Kunal Jain</t>
    </r>
  </si>
  <si>
    <t>https://www.linkedin.com/in/jainkunal/</t>
  </si>
  <si>
    <t>919820541255, +91.72080.55523</t>
  </si>
  <si>
    <t>kunal.jain@jsw.in</t>
  </si>
  <si>
    <t>Zerodha Fund House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</si>
  <si>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Ashish Mundra</t>
    </r>
  </si>
  <si>
    <t>https://www.linkedin.com/in/ashish-mundra/</t>
  </si>
  <si>
    <t>ashish.mundra@zerodhafundhouse.com</t>
  </si>
  <si>
    <t>ashishmundra575@gmail.com</t>
  </si>
  <si>
    <t>Xpressbees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</si>
  <si>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Harshal Bhoi</t>
    </r>
  </si>
  <si>
    <t>https://www.linkedin.com/in/harshal-bhoi-2ba0a84b/</t>
  </si>
  <si>
    <t>harshal.bhoi@xpressbees.com</t>
  </si>
  <si>
    <t>OfBusiness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</si>
  <si>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Shiv Pratap</t>
    </r>
  </si>
  <si>
    <t>Head of Product Marketing</t>
  </si>
  <si>
    <t>https://www.linkedin.com/in/shiv-pratap-8a3675158/</t>
  </si>
  <si>
    <t>800.791.7781</t>
  </si>
  <si>
    <t>shiv.pratap@ofbusiness.in</t>
  </si>
  <si>
    <t>Ola Krutrim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</si>
  <si>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Sabareesh Chittuluru</t>
    </r>
  </si>
  <si>
    <t>Lead Product Manager</t>
  </si>
  <si>
    <t>https://www.linkedin.com/in/sabareesh-chittuluru/</t>
  </si>
  <si>
    <t>sabareesh.chittuluru@olakrutrim.com</t>
  </si>
  <si>
    <t>sabareesh25@gmail.com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</si>
  <si>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Shweta Doshi</t>
    </r>
  </si>
  <si>
    <t>https://www.linkedin.com/in/shweta-doshi1/</t>
  </si>
  <si>
    <t>973.400.1717</t>
  </si>
  <si>
    <t>shweta.doshi@mindtickle.com</t>
  </si>
  <si>
    <t>shweta.doshi@bit.ly, shweta@nextleap.app</t>
  </si>
  <si>
    <t>shwetadoshireads@gmail.com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</si>
  <si>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Krishna Chaitanya B</t>
    </r>
  </si>
  <si>
    <t>Icertis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</si>
  <si>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Mohit Bhonde</t>
    </r>
  </si>
  <si>
    <t>Product Leader</t>
  </si>
  <si>
    <t>https://www.linkedin.com/in/mohitbhonde/</t>
  </si>
  <si>
    <t>mohit.bhonde@icertis.com</t>
  </si>
  <si>
    <t>mohit.bhonde@gmail.com</t>
  </si>
  <si>
    <t>BillDesk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</si>
  <si>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Nishant Agarwal</t>
    </r>
  </si>
  <si>
    <t>https://www.linkedin.com/in/nishant-agarwal-b9080240/</t>
  </si>
  <si>
    <t>nishant.agarwal@billdesk.com</t>
  </si>
  <si>
    <t>nishant.agarwal@hotmail.com</t>
  </si>
  <si>
    <t>nishubms@gmail.com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</si>
  <si>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Vadlamuri Rathna Kishore</t>
    </r>
  </si>
  <si>
    <t>https://www.linkedin.com/in/vr-kishore/</t>
  </si>
  <si>
    <t>kishore@giva.co</t>
  </si>
  <si>
    <t>rathnakishore.v2000@gmail.com</t>
  </si>
  <si>
    <t>Housing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</si>
  <si>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Amitaditya Karmakar</t>
    </r>
  </si>
  <si>
    <t>https://www.linkedin.com/in/amitadityakarmakar/</t>
  </si>
  <si>
    <t>amitaditya@housing.com</t>
  </si>
  <si>
    <t>Mygate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</si>
  <si>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Nitesh Tripathi</t>
    </r>
  </si>
  <si>
    <t>https://www.linkedin.com/in/niteshtripathi/</t>
  </si>
  <si>
    <t>nitesh.tripathi@mygate.in</t>
  </si>
  <si>
    <t>Porter</t>
  </si>
  <si>
    <t>Krishna Mohan Gadi</t>
  </si>
  <si>
    <t>Head of product, ex-CPO at Vedantu</t>
  </si>
  <si>
    <t>https://www.linkedin.com/in/krishna-mohan-gadi/</t>
  </si>
  <si>
    <t>90522 63523</t>
  </si>
  <si>
    <t>krishna.gadi@porter.in</t>
  </si>
  <si>
    <t>krishnamohan.gadi@gmail.com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</si>
  <si>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Maneesha Negi</t>
    </r>
  </si>
  <si>
    <t>Principal Product Manager</t>
  </si>
  <si>
    <t>https://www.linkedin.com/in/maneeshanegi/</t>
  </si>
  <si>
    <t>919815049488, +91.99110.31310</t>
  </si>
  <si>
    <t>maneesha.negi@zupee.in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</si>
  <si>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Angad Sehdev</t>
    </r>
  </si>
  <si>
    <t>https://www.linkedin.com/in/angadss/</t>
  </si>
  <si>
    <t>917044151055, +91.91303.04295</t>
  </si>
  <si>
    <t>angad@winzogames.com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</si>
  <si>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Sarthak Patnaik</t>
    </r>
  </si>
  <si>
    <t>https://www.linkedin.com/in/sarthak-patnaik-56bbb424/</t>
  </si>
  <si>
    <t>919740833777, +91.80675.00106</t>
  </si>
  <si>
    <t>sarthak.patnaik@shadowfax.in</t>
  </si>
  <si>
    <t>sarthak123@gmail.com</t>
  </si>
  <si>
    <t>smallcase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</si>
  <si>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Jatin Bhatia</t>
    </r>
  </si>
  <si>
    <t>https://www.linkedin.com/in/jatin-bhatia-45609353/</t>
  </si>
  <si>
    <t>917276419361, +91.78993.78699</t>
  </si>
  <si>
    <t>jatin@smallcase.com</t>
  </si>
  <si>
    <t>briskyteam@gmail.com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</si>
  <si>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John Egan</t>
    </r>
  </si>
  <si>
    <t>https://www.linkedin.com/in/john3gan/</t>
  </si>
  <si>
    <t>jegan@polygon.technology</t>
  </si>
  <si>
    <t>dclanders2@gmail.com</t>
  </si>
  <si>
    <t>Anuj Garg</t>
  </si>
  <si>
    <t>SPM</t>
  </si>
  <si>
    <t>https://www.linkedin.com/in/anujmgarg/</t>
  </si>
  <si>
    <t>anuj@appsforbharat.com</t>
  </si>
  <si>
    <t>anujgarg1991@gmail.com</t>
  </si>
  <si>
    <t>Aahir Giri</t>
  </si>
  <si>
    <t>https://www.linkedin.com/in/aahir/</t>
  </si>
  <si>
    <t>zaahir.giri@bit.ly</t>
  </si>
  <si>
    <t>aahir@furlenco.com</t>
  </si>
  <si>
    <t>aahirgiri@gmail.com</t>
  </si>
  <si>
    <t>Dexcom</t>
  </si>
  <si>
    <t>Raj Narasimhan</t>
  </si>
  <si>
    <t>https://www.linkedin.com/in/raj-narasimhan-06732719/</t>
  </si>
  <si>
    <t xml:space="preserve"> 262-314-6129, +86 150 0033 1450</t>
  </si>
  <si>
    <t>raj.narasimhan@dexcom.com</t>
  </si>
  <si>
    <t>varshasai@gmail.com</t>
  </si>
  <si>
    <r>
      <rPr>
        <color rgb="FF000000"/>
        <sz val="11.0"/>
      </rPr>
      <t>Eclypse</t>
    </r>
  </si>
  <si>
    <r>
      <rPr>
        <color rgb="FF000000"/>
        <sz val="11.0"/>
      </rPr>
      <t>Leucine</t>
    </r>
  </si>
  <si>
    <r>
      <rPr>
        <color rgb="FF000000"/>
        <sz val="10.0"/>
      </rPr>
      <t>Mustaq Singh Bijral</t>
    </r>
  </si>
  <si>
    <t>Co-founder, CPO</t>
  </si>
  <si>
    <t>https://www.linkedin.com/in/mbijral/</t>
  </si>
  <si>
    <t>97400 61498, +91 78897 76300</t>
  </si>
  <si>
    <t>mustaq@leucinetech.com</t>
  </si>
  <si>
    <t>shabegiit@live.in</t>
  </si>
  <si>
    <t>shabegiit@gmail.com</t>
  </si>
  <si>
    <t>Mudrex</t>
  </si>
  <si>
    <r>
      <rPr>
        <color rgb="FF000000"/>
        <sz val="10.0"/>
      </rPr>
      <t>Alankar Saxena</t>
    </r>
  </si>
  <si>
    <t>Founder, CPO and CTO</t>
  </si>
  <si>
    <t>https://www.linkedin.com/in/saxenaalankar/</t>
  </si>
  <si>
    <t>92529 00527, +91 99209 40517</t>
  </si>
  <si>
    <t>alankar@mudrex.com</t>
  </si>
  <si>
    <t>alankar111@gmail.com</t>
  </si>
  <si>
    <t>alankar423@gmail.com</t>
  </si>
  <si>
    <r>
      <rPr>
        <color rgb="FF000000"/>
        <sz val="11.0"/>
      </rPr>
      <t>Reverse.in</t>
    </r>
  </si>
  <si>
    <r>
      <rPr>
        <color rgb="FF000000"/>
        <sz val="10.0"/>
      </rPr>
      <t>Akshit Middha</t>
    </r>
  </si>
  <si>
    <t>Co-Founder and CPO</t>
  </si>
  <si>
    <t>https://www.linkedin.com/in/akshit-middha-511876225/</t>
  </si>
  <si>
    <t>akshit830middha1502@gmail.com</t>
  </si>
  <si>
    <t>Stimuler</t>
  </si>
  <si>
    <r>
      <rPr>
        <color rgb="FF000000"/>
        <sz val="10.0"/>
      </rPr>
      <t>Anesh Srivastav</t>
    </r>
  </si>
  <si>
    <t>https://www.linkedin.com/in/a-niche/</t>
  </si>
  <si>
    <t>anesh@stimuler.tech</t>
  </si>
  <si>
    <t>aneshsriv29@gmail.com</t>
  </si>
  <si>
    <r>
      <rPr>
        <color rgb="FF000000"/>
        <sz val="11.0"/>
      </rPr>
      <t>ProductChamps</t>
    </r>
  </si>
  <si>
    <r>
      <rPr>
        <color rgb="FF000000"/>
        <sz val="10.0"/>
      </rPr>
      <t>Prashant Rao</t>
    </r>
  </si>
  <si>
    <t>https://www.linkedin.com/in/rpsy/</t>
  </si>
  <si>
    <t>prashant@productchamps.com</t>
  </si>
  <si>
    <t>rao@productchamps.com</t>
  </si>
  <si>
    <t>prashantrao008@gmail.com</t>
  </si>
  <si>
    <t>Upwardly + Scripbox</t>
  </si>
  <si>
    <r>
      <rPr>
        <color rgb="FF000000"/>
        <sz val="10.0"/>
      </rPr>
      <t>Prithvi Raj Tejavath</t>
    </r>
  </si>
  <si>
    <t>CPO &amp; Co-founder</t>
  </si>
  <si>
    <t>https://www.linkedin.com/in/prithvi-raj-tejavath-70586b/</t>
  </si>
  <si>
    <t>98207 54293, +91 99991 78822</t>
  </si>
  <si>
    <t>prithvi@upwardly.in</t>
  </si>
  <si>
    <t>prithvi.tejavath@jupiter.money</t>
  </si>
  <si>
    <t>prithvi.raj@gmail.com, fokiprt@gmail.com</t>
  </si>
  <si>
    <t>Jocata</t>
  </si>
  <si>
    <r>
      <rPr>
        <color rgb="FF000000"/>
        <sz val="10.0"/>
      </rPr>
      <t>Karthigeyan S</t>
    </r>
  </si>
  <si>
    <t>Senior Director of Product Management</t>
  </si>
  <si>
    <t>https://www.linkedin.com/in/karty/</t>
  </si>
  <si>
    <t>99401 72982</t>
  </si>
  <si>
    <t>karthigeyan.s@icai.org</t>
  </si>
  <si>
    <t>kartyiyer@gmail.com</t>
  </si>
  <si>
    <t>karty.iyer@gmail.com</t>
  </si>
  <si>
    <t>Assessli</t>
  </si>
  <si>
    <r>
      <rPr>
        <color rgb="FF000000"/>
        <sz val="10.0"/>
      </rPr>
      <t>Aruna Dey</t>
    </r>
  </si>
  <si>
    <t>https://www.linkedin.com/in/aruna-dey/</t>
  </si>
  <si>
    <t>aruna@nasscom.in</t>
  </si>
  <si>
    <t>aruna.dey@assessli.com</t>
  </si>
  <si>
    <t>arunadey.oneoath@gmail.com</t>
  </si>
  <si>
    <t>Snipe</t>
  </si>
  <si>
    <t>Mantraraj Naik</t>
  </si>
  <si>
    <t>https://www.linkedin.com/in/mantrarajnaik/</t>
  </si>
  <si>
    <t>98794 49343</t>
  </si>
  <si>
    <t>SHERO HOME FOOD</t>
  </si>
  <si>
    <t>Jayashree A</t>
  </si>
  <si>
    <t>https://www.linkedin.com/in/jayashree-a-18825148/</t>
  </si>
  <si>
    <t>jayashreethilak@gmail.com</t>
  </si>
  <si>
    <t>Aspire</t>
  </si>
  <si>
    <t>Damien Passavent</t>
  </si>
  <si>
    <t>https://www.linkedin.com/in/damien-passavent-a885a971/</t>
  </si>
  <si>
    <t>damien@aspireapp.com</t>
  </si>
  <si>
    <t>damien.passavent@polytechnique.edu</t>
  </si>
  <si>
    <t>Keka</t>
  </si>
  <si>
    <t>Manish Mittal</t>
  </si>
  <si>
    <t>https://www.linkedin.com/in/manishsmittal/</t>
  </si>
  <si>
    <t>93120 36860, +91 95992 61219</t>
  </si>
  <si>
    <t>manish.m@keka.com</t>
  </si>
  <si>
    <t>manishsm@gmail.com</t>
  </si>
  <si>
    <t>suchit@insaid.co</t>
  </si>
  <si>
    <t>axio</t>
  </si>
  <si>
    <t>Jatin Bhasin</t>
  </si>
  <si>
    <t>https://www.linkedin.com/in/bhasinjatin/</t>
  </si>
  <si>
    <t>99162 67475</t>
  </si>
  <si>
    <t>jatin.bhasin@axio.co.in</t>
  </si>
  <si>
    <t>jatin.bhasin07@gmail.com</t>
  </si>
  <si>
    <t>jatin@axio.co.in</t>
  </si>
  <si>
    <t>Petpooja</t>
  </si>
  <si>
    <t>Pratik Vohera</t>
  </si>
  <si>
    <t>Chief Product Technology Officer</t>
  </si>
  <si>
    <t>https://www.linkedin.com/in/pratik-vohera/</t>
  </si>
  <si>
    <t>99792 59610</t>
  </si>
  <si>
    <t>pratik.vohera@petpooja.com</t>
  </si>
  <si>
    <t>pratikvohera@gmail.com</t>
  </si>
  <si>
    <t>FITTR</t>
  </si>
  <si>
    <t>Darsshan Sheth</t>
  </si>
  <si>
    <t>https://www.linkedin.com/in/dbsheth/</t>
  </si>
  <si>
    <t>81056 27751</t>
  </si>
  <si>
    <t>darshan.sheth@fittr.com</t>
  </si>
  <si>
    <t>darsh.sheth@yahoo.co.in</t>
  </si>
  <si>
    <t>darshan.sheth99@gmail.com</t>
  </si>
  <si>
    <t>Sandilya Konduri</t>
  </si>
  <si>
    <t>Ex Head of Product</t>
  </si>
  <si>
    <t>https://www.linkedin.com/in/sandilyakonduri/</t>
  </si>
  <si>
    <t>sandilya.konduri@yulu.bike</t>
  </si>
  <si>
    <t>hawks_sandy@yahoo.co.in</t>
  </si>
  <si>
    <t>karsandilya@gmail.com</t>
  </si>
  <si>
    <t>Umakrishna Kolli</t>
  </si>
  <si>
    <t>https://www.linkedin.com/in/kumakrishna/</t>
  </si>
  <si>
    <t>umakrishna@countrydelight.in</t>
  </si>
  <si>
    <t>vmakittu.umakrishna8@gmail.com</t>
  </si>
  <si>
    <t>Bombay Shaving Company</t>
  </si>
  <si>
    <t>Category Head (Trimmers) &amp; CGO</t>
  </si>
  <si>
    <t>https://www.linkedin.com/in/vkg7/</t>
  </si>
  <si>
    <t>varun@bombayshavingcompany.com</t>
  </si>
  <si>
    <t>rv2nitjsr@gmail.com</t>
  </si>
  <si>
    <t>https://www.linkedin.com/in/ankeetgupta/</t>
  </si>
  <si>
    <t>ankit.gupt@gmail.com</t>
  </si>
  <si>
    <t>iaankitg@gmail.com</t>
  </si>
  <si>
    <t>INDmoney</t>
  </si>
  <si>
    <t>Kartikay Aggarwal</t>
  </si>
  <si>
    <t>https://www.linkedin.com/in/kartikay-aggarwal-3ab035124/</t>
  </si>
  <si>
    <t>kartikay@indwealth.in</t>
  </si>
  <si>
    <t>kartikay7777@gmail.com</t>
  </si>
  <si>
    <t>Sarang Sharma</t>
  </si>
  <si>
    <t>Product Head</t>
  </si>
  <si>
    <t>https://www.linkedin.com/in/sarang-sharma-91791111/</t>
  </si>
  <si>
    <t>sarang.sharma@practo.com</t>
  </si>
  <si>
    <t>mr.sarangsharma@gmail.com</t>
  </si>
  <si>
    <t>Gaurav Gupta</t>
  </si>
  <si>
    <t>Head of Product Development</t>
  </si>
  <si>
    <t>https://www.linkedin.com/in/gaurav-gupta-6097564/</t>
  </si>
  <si>
    <t>gupta.gaurav@atomberg.com</t>
  </si>
  <si>
    <t>ggaurav83@gmail.com</t>
  </si>
  <si>
    <t>ggaurav_2003@yahoo.co.in</t>
  </si>
  <si>
    <t>Aman Prakash</t>
  </si>
  <si>
    <t>Chief Product &amp; Marketing Officer</t>
  </si>
  <si>
    <t>https://www.linkedin.com/in/aman-prakash-40b39942/</t>
  </si>
  <si>
    <t>aman.prakash@oneassist.in</t>
  </si>
  <si>
    <t>amanprakash.nayak@gmail.com</t>
  </si>
  <si>
    <t>Shouvik Ghosh Roy</t>
  </si>
  <si>
    <t>Chief Technology &amp; Product Officer</t>
  </si>
  <si>
    <t>https://www.linkedin.com/in/shouvikgr/</t>
  </si>
  <si>
    <t>shouvik@mosaicwellness.in</t>
  </si>
  <si>
    <t>shouvik.gr@gmail.com</t>
  </si>
  <si>
    <t>Sanket Bhatt</t>
  </si>
  <si>
    <t>AVP Product</t>
  </si>
  <si>
    <t>https://www.linkedin.com/in/sankbhatt/</t>
  </si>
  <si>
    <t>sanket@chalo.com</t>
  </si>
  <si>
    <t>sankbhatt@gmail.com</t>
  </si>
  <si>
    <t>Abhishek Choudhari</t>
  </si>
  <si>
    <t>https://www.linkedin.com/in/abhishekchoudhari/?trk=pub-pbmap</t>
  </si>
  <si>
    <t>abhishek.choudhari@jupiter.money</t>
  </si>
  <si>
    <t>choudhari_abhishek@hotmail.com</t>
  </si>
  <si>
    <t>choudhari.abhishek26@gmail.com</t>
  </si>
  <si>
    <t>LoadShare Networks Pvt Ltd</t>
  </si>
  <si>
    <t>Pramod Nair</t>
  </si>
  <si>
    <t>Co-founder/CTPO</t>
  </si>
  <si>
    <t>https://www.linkedin.com/in/pramodpnair/</t>
  </si>
  <si>
    <t>pramod@loadshare.net</t>
  </si>
  <si>
    <t>p.pramod.nair@gmail.com</t>
  </si>
  <si>
    <t>Kapil Ashok Jaiswal</t>
  </si>
  <si>
    <t>https://www.linkedin.com/in/kapilajaiswal/</t>
  </si>
  <si>
    <t>kapil.jaiswal@whatfix.com</t>
  </si>
  <si>
    <t>kapilashok@huawei.com</t>
  </si>
  <si>
    <t>hello.simono@gmail.com</t>
  </si>
  <si>
    <t>seeerajesh@gmail.com</t>
  </si>
  <si>
    <t>mithilsrivastav@gmail.com</t>
  </si>
  <si>
    <t>Shikhar Jain</t>
  </si>
  <si>
    <t>Senior Product Manager</t>
  </si>
  <si>
    <t>https://www.linkedin.com/in/shikharjain10/</t>
  </si>
  <si>
    <t>shikhar.jain@seclore.com</t>
  </si>
  <si>
    <t>shikharjain10@gmail.com</t>
  </si>
  <si>
    <t>Adda Education</t>
  </si>
  <si>
    <t>Pankaj K.</t>
  </si>
  <si>
    <t>Head of Product, Design, Analytics and AI</t>
  </si>
  <si>
    <t>https://www.linkedin.com/in/pkumarie11/</t>
  </si>
  <si>
    <t>pankaj@adda247.com</t>
  </si>
  <si>
    <t>dream.lancy4u@gmail.com</t>
  </si>
  <si>
    <t>pkumar.ie2011@gmail.com</t>
  </si>
  <si>
    <t>The Sleep Company</t>
  </si>
  <si>
    <t>Nirav Lalan</t>
  </si>
  <si>
    <t>CGO</t>
  </si>
  <si>
    <t>https://www.linkedin.com/in/nirav-lalan-2152a226/</t>
  </si>
  <si>
    <t>niravjlalan@gmail.com</t>
  </si>
  <si>
    <t>lalannirav@yahoo.co.in</t>
  </si>
  <si>
    <t>Amit Gupta</t>
  </si>
  <si>
    <t>https://www.linkedin.com/in/amitguptaz/</t>
  </si>
  <si>
    <t>amit.gupta@beatoapp.com</t>
  </si>
  <si>
    <t>amit@amitguptaz.com</t>
  </si>
  <si>
    <t>RedcliffeLabs Scale</t>
  </si>
  <si>
    <t>Ish Kapoor</t>
  </si>
  <si>
    <t>https://www.linkedin.com/in/ishkapoor2000/</t>
  </si>
  <si>
    <t>ish.kapoor@redcliffelabs.com</t>
  </si>
  <si>
    <t>ishkapoor2000@gmail.com</t>
  </si>
  <si>
    <t>Ultraviolette Automotive</t>
  </si>
  <si>
    <t>Vinayak Bhat</t>
  </si>
  <si>
    <t>https://www.linkedin.com/in/vinayak-bhat-70a40a24/</t>
  </si>
  <si>
    <t>vinayak@ultraviolette.com</t>
  </si>
  <si>
    <t>wakefit</t>
  </si>
  <si>
    <t>Vasantha kumar S.</t>
  </si>
  <si>
    <t>Head of Product, Design &amp; User Research</t>
  </si>
  <si>
    <t>https://www.linkedin.com/in/vasanthakumars1/</t>
  </si>
  <si>
    <t>vasanthpandi@gmail.com</t>
  </si>
  <si>
    <t>Rohith Salim</t>
  </si>
  <si>
    <t>Co-founder &amp; Chief Product Officer</t>
  </si>
  <si>
    <t>https://www.linkedin.com/in/rohith-salim/</t>
  </si>
  <si>
    <t>rohith.salim@spotdraft.com</t>
  </si>
  <si>
    <t>rohitsalim@gmail.com</t>
  </si>
  <si>
    <t>vaibhav.chemistry@gmail.com</t>
  </si>
  <si>
    <t>Observe.ai</t>
  </si>
  <si>
    <t>Kolin Koehl</t>
  </si>
  <si>
    <t>https://www.linkedin.com/in/kolinkoehl/</t>
  </si>
  <si>
    <t>kolin.koehl@observe.ai</t>
  </si>
  <si>
    <t>kolinkoehl@gmail.com</t>
  </si>
  <si>
    <t>Siddharth Singh</t>
  </si>
  <si>
    <t>SVP &amp; CMO</t>
  </si>
  <si>
    <t>https://www.linkedin.com/in/onlysid/</t>
  </si>
  <si>
    <t>onlysiddharth@hotmail.com</t>
  </si>
  <si>
    <t>Himanshu Doshi</t>
  </si>
  <si>
    <t>https://www.linkedin.com/in/himdoshi/</t>
  </si>
  <si>
    <t>himanshudoshi@yahoo.com</t>
  </si>
  <si>
    <t>https://www.linkedin.com/in/pulkit-jain-9797999/</t>
  </si>
  <si>
    <t>pulkitjain@citymall.live</t>
  </si>
  <si>
    <t>pulkit@unilever.com</t>
  </si>
  <si>
    <t>pulkjain@gmail.com</t>
  </si>
  <si>
    <t>Saurabh Mishra</t>
  </si>
  <si>
    <t>https://www.linkedin.com/in/saurabhmishra280492/</t>
  </si>
  <si>
    <t>saurabhmishra280492@gmail.com</t>
  </si>
  <si>
    <t xml:space="preserve">Cadent </t>
  </si>
  <si>
    <t>Eoin Townsend</t>
  </si>
  <si>
    <t>https://www.linkedin.com/in/etownsend/</t>
  </si>
  <si>
    <t>etownsend@cadent.tv</t>
  </si>
  <si>
    <t>eoin@cde2.com</t>
  </si>
  <si>
    <t>Darpan Pathar</t>
  </si>
  <si>
    <t>Associate Director - Product</t>
  </si>
  <si>
    <t>https://www.linkedin.com/in/darpan-pathar-30bb77a0/</t>
  </si>
  <si>
    <t>darpan.pathar@agrostar.in</t>
  </si>
  <si>
    <t>BankBazaar.com</t>
  </si>
  <si>
    <t>Rati Shetty</t>
  </si>
  <si>
    <t>https://www.linkedin.com/in/ratirajkumar/</t>
  </si>
  <si>
    <t>rati.shetty@bankbazaar.com</t>
  </si>
  <si>
    <t>ratirajkumar@gmail.com</t>
  </si>
  <si>
    <t>Wayground (formerly Quizizz)</t>
  </si>
  <si>
    <t>Ravitheja Tetali</t>
  </si>
  <si>
    <t>https://www.linkedin.com/in/ravitheja-tetali/?originalSubdomain=in</t>
  </si>
  <si>
    <t>ravithejatetali@gmail.com</t>
  </si>
  <si>
    <t>FarMart</t>
  </si>
  <si>
    <t>Sukhpreet Sekhon</t>
  </si>
  <si>
    <t>https://www.linkedin.com/in/sukhpreetsekhon/</t>
  </si>
  <si>
    <t>sukhpreet.sekhon@farmart.co</t>
  </si>
  <si>
    <t>sekhon_5@hotmail.com</t>
  </si>
  <si>
    <t>sukhpreetssekhon@gmail.com</t>
  </si>
  <si>
    <t>Satish Kumar</t>
  </si>
  <si>
    <t>https://www.linkedin.com/in/satish-kumar-b04491b6/</t>
  </si>
  <si>
    <t>satish.kumar@agrevolution.in</t>
  </si>
  <si>
    <t>satish.kumar.cer13@itbhu.ac.in</t>
  </si>
  <si>
    <t>kumar.satish@athancare.com</t>
  </si>
  <si>
    <t>Paryushan Jain</t>
  </si>
  <si>
    <t>Senior Director and Head of Product</t>
  </si>
  <si>
    <t>https://www.linkedin.com/in/paryushan/</t>
  </si>
  <si>
    <t>paryushan@uni.cards</t>
  </si>
  <si>
    <t>paryushanjain@gmail.com</t>
  </si>
  <si>
    <t>absolute</t>
  </si>
  <si>
    <t>AEQUS</t>
  </si>
  <si>
    <t>Ananda Das</t>
  </si>
  <si>
    <t>https://www.linkedin.com/in/ananda-das-179631222/</t>
  </si>
  <si>
    <t>ananda.das@aequs.com</t>
  </si>
  <si>
    <t>arya.ag</t>
  </si>
  <si>
    <t>Anupam Goswami</t>
  </si>
  <si>
    <t>Head - Product, Policy and Credit</t>
  </si>
  <si>
    <t>https://www.linkedin.com/in/anupam-goswami-b4552a50/</t>
  </si>
  <si>
    <t>anupamgabs@gmail.com</t>
  </si>
  <si>
    <t>Atlan</t>
  </si>
  <si>
    <t>Sharif Karmally</t>
  </si>
  <si>
    <t>VP, Product &amp; Corporate Marketing at Atlan</t>
  </si>
  <si>
    <t>https://docs.google.com/spreadsheets/d/1K0r-iS3ENApVSoc8czAbupc0wyEwIO2_tmU18WB2mNk/edit?gid=1720762204#gid=1720762204</t>
  </si>
  <si>
    <t>skarmally.hba2009@ivey.ca</t>
  </si>
  <si>
    <t>sharif.karmally@atlan.com</t>
  </si>
  <si>
    <t>awfis</t>
  </si>
  <si>
    <t>Rohit Manghnani</t>
  </si>
  <si>
    <t>Chief Product Officer + New Revenue Streams</t>
  </si>
  <si>
    <t>https://www.linkedin.com/in/rohitmanghnani/?originalSubdomain=in</t>
  </si>
  <si>
    <t>rohit.manghnani@gmail.com</t>
  </si>
  <si>
    <t>rohit_manghnani@yahoo.com</t>
  </si>
  <si>
    <t>rohit.manghnani@awfis.com</t>
  </si>
  <si>
    <t>AYE [Aye Finance]</t>
  </si>
  <si>
    <t>Sovan Satyaprakash</t>
  </si>
  <si>
    <t>Head - Product &amp; Strategy at Aye Finance Ltd.</t>
  </si>
  <si>
    <t>https://www.linkedin.com/in/sovan-satyaprakash-73040818/</t>
  </si>
  <si>
    <t>sovansatyaprakash@gmail.com</t>
  </si>
  <si>
    <t>sovan.satyaprakash@ayefin.com</t>
  </si>
  <si>
    <t>BLUESTONE</t>
  </si>
  <si>
    <t>Mikhil Raj</t>
  </si>
  <si>
    <t>https://www.linkedin.com/in/mikhilraj/</t>
  </si>
  <si>
    <t>mikhil.raj@frontrow.co.in</t>
  </si>
  <si>
    <t>mikhil.raj@bluestone.com</t>
  </si>
  <si>
    <t>Debopam Basu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</si>
  <si>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1.0"/>
      </rPr>
      <t>VP &amp; Head, Product Manage</t>
    </r>
  </si>
  <si>
    <t>https://www.linkedin.com/in/debopambasu/</t>
  </si>
  <si>
    <t>debopam.basu@gmail.com</t>
  </si>
  <si>
    <t>debopam.basu@bookmyshow.com</t>
  </si>
  <si>
    <t>BrightCHAMPS</t>
  </si>
  <si>
    <t>Souradeep Paul</t>
  </si>
  <si>
    <t xml:space="preserve">Director </t>
  </si>
  <si>
    <t>https://www.linkedin.com/in/souradeeppaul/</t>
  </si>
  <si>
    <t>souradeep.paul@gmail.com</t>
  </si>
  <si>
    <t>s.paul@brightchamps.com</t>
  </si>
  <si>
    <t>paul@anthillcreations.org</t>
  </si>
  <si>
    <t>Abhineet Kumar</t>
  </si>
  <si>
    <t>https://www.linkedin.com/in/abhineet-kumar-6444b455/</t>
  </si>
  <si>
    <t>abhineetk540@gmail.com</t>
  </si>
  <si>
    <t>abhineet@captainfresh.in</t>
  </si>
  <si>
    <t>Nitin Pulyani</t>
  </si>
  <si>
    <t>SVP and Head of Product</t>
  </si>
  <si>
    <t>https://www.linkedin.com/in/nitinpulyani/</t>
  </si>
  <si>
    <t>nitin.pulyani@gmail.com</t>
  </si>
  <si>
    <t>nitin.pulyani@cashfree.com</t>
  </si>
  <si>
    <t>CASHIFY.in</t>
  </si>
  <si>
    <t>Ashish Hooda</t>
  </si>
  <si>
    <t>AVP, Product</t>
  </si>
  <si>
    <t>https://www.linkedin.com/in/ashishhooda/</t>
  </si>
  <si>
    <t>ashishhooda22@yahoo.in</t>
  </si>
  <si>
    <t>ashish@cashify.in</t>
  </si>
  <si>
    <t>cuemath</t>
  </si>
  <si>
    <t>Vaibhav Sawhney</t>
  </si>
  <si>
    <t>https://www.linkedin.com/in/vaibhavsawhney/</t>
  </si>
  <si>
    <t>vaibhav.sawhney@cuemath.com</t>
  </si>
  <si>
    <t>Accel</t>
  </si>
  <si>
    <t>Rahul Nath</t>
  </si>
  <si>
    <t>https://www.linkedin.com/in/rahulnath18/</t>
  </si>
  <si>
    <t>rahul.nath@gmail.com</t>
  </si>
  <si>
    <t>rahul@thenudge.org</t>
  </si>
  <si>
    <t>rahul.nath@accel.com</t>
  </si>
  <si>
    <t>PushOwl</t>
  </si>
  <si>
    <t>puru@pushowl.com</t>
  </si>
  <si>
    <t>gaurav@roboticwares.com</t>
  </si>
  <si>
    <t>Fi</t>
  </si>
  <si>
    <t>Darrell Stone</t>
  </si>
  <si>
    <t>VP of PRoduct</t>
  </si>
  <si>
    <t>https://www.linkedin.com/in/darrellstone3/</t>
  </si>
  <si>
    <t>darrellstone3@gmail.com</t>
  </si>
  <si>
    <t>Fibe</t>
  </si>
  <si>
    <t>Balakrishnan Narayanan</t>
  </si>
  <si>
    <t>https://www.linkedin.com/in/balakrishnan-narayanan-271879150/</t>
  </si>
  <si>
    <t>balakrishnarayan@outlook.com</t>
  </si>
  <si>
    <t>Fino</t>
  </si>
  <si>
    <t>Rohit Sharrma</t>
  </si>
  <si>
    <t>Product Head- Digital Payments</t>
  </si>
  <si>
    <t>https://www.linkedin.com/in/rohit-sharrma-pmp®-psm-i-54b23a25/</t>
  </si>
  <si>
    <t>reach.rohit87@gmail.com</t>
  </si>
  <si>
    <t>s.rohit@finobank.com</t>
  </si>
  <si>
    <r>
      <rPr>
        <rFont val="&quot;Google Sans&quot;, Roboto, Arial, sans-serif"/>
        <color rgb="FF000000"/>
        <sz val="10.0"/>
      </rPr>
      <t>Ankur Mishra</t>
    </r>
  </si>
  <si>
    <t>Head of PM</t>
  </si>
  <si>
    <t>https://www.linkedin.com/in/ankurmshra/</t>
  </si>
  <si>
    <t>ankur_mishra92b@yahoo.co.in</t>
  </si>
  <si>
    <t>ankurmshra@gmail.com</t>
  </si>
  <si>
    <t>Darshan Suresh</t>
  </si>
  <si>
    <t>https://www.linkedin.com/in/darshan-suresh-99a60642/</t>
  </si>
  <si>
    <t>darshanps1987@gmail.com</t>
  </si>
  <si>
    <t>darshan@hackerrank.com</t>
  </si>
  <si>
    <t>One Guardian Brands</t>
  </si>
  <si>
    <t>Manish Goyal</t>
  </si>
  <si>
    <t>https://www.linkedin.com/in/goyalmanish/</t>
  </si>
  <si>
    <t>goyalmanish@gmail.com</t>
  </si>
  <si>
    <t>manish.goyal@mylofamily.com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</si>
  <si>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1.0"/>
      </rPr>
      <t>VP / Head of Product &amp; Technology</t>
    </r>
  </si>
  <si>
    <t>abhishek.gupta@headstrong.com</t>
  </si>
  <si>
    <t>n_ezhilan@yahoo.com</t>
  </si>
  <si>
    <t>Infibeam Avenues</t>
  </si>
  <si>
    <r>
      <rPr>
        <color rgb="FF000000"/>
        <sz val="10.0"/>
      </rPr>
      <t>Manu Vikram Singh</t>
    </r>
  </si>
  <si>
    <t>https://www.linkedin.com/in/mvs12/</t>
  </si>
  <si>
    <t>manu@ia.ooo</t>
  </si>
  <si>
    <t>mayankbhola@gmail.com</t>
  </si>
  <si>
    <t>LOGINEXT</t>
  </si>
  <si>
    <t>Naveen K.</t>
  </si>
  <si>
    <t>AVP - Product Management</t>
  </si>
  <si>
    <t>https://www.linkedin.com/in/naveen-k-3b269778/</t>
  </si>
  <si>
    <t>M2P</t>
  </si>
  <si>
    <t>Bharat Srinivasarangan</t>
  </si>
  <si>
    <t>Senior VP- Product</t>
  </si>
  <si>
    <t>https://www.linkedin.com/in/7bharats/</t>
  </si>
  <si>
    <t>bharat.sriniv@gmail.com</t>
  </si>
  <si>
    <t>7bharats@iimahd.ernet.in</t>
  </si>
  <si>
    <t>TechBurner</t>
  </si>
  <si>
    <t>Shlok Srivastava</t>
  </si>
  <si>
    <t>Trakin Tech</t>
  </si>
  <si>
    <t>Arun Prabhudesai</t>
  </si>
  <si>
    <t>TechBar</t>
  </si>
  <si>
    <t>Manish Sharma</t>
  </si>
  <si>
    <t>TechWise</t>
  </si>
  <si>
    <t>Pratik Gandhi</t>
  </si>
  <si>
    <t>Aman Dhattarwal</t>
  </si>
  <si>
    <t>CodeWithHarry</t>
  </si>
  <si>
    <t>Haris Ali Khan</t>
  </si>
  <si>
    <t>PhysicsWalla</t>
  </si>
  <si>
    <t>Alakh Pandey</t>
  </si>
  <si>
    <t>Neuron7.ai</t>
  </si>
  <si>
    <t>Vinay Saini</t>
  </si>
  <si>
    <t>Head, Customer &amp; Product</t>
  </si>
  <si>
    <t>https://www.linkedin.com/in/sainivinay/</t>
  </si>
  <si>
    <t>vinaysaini@gmail.com</t>
  </si>
  <si>
    <t>vinaysaini@hotmail.com</t>
  </si>
  <si>
    <t>vinay.saini@neuron7.ai</t>
  </si>
  <si>
    <t>Priyank Barthwal</t>
  </si>
  <si>
    <t>https://www.linkedin.com/in/priyankbarthwal/</t>
  </si>
  <si>
    <t>priyankbarthwal@gmail.com</t>
  </si>
  <si>
    <t>priyank_barthwal@yahoo.com</t>
  </si>
  <si>
    <t>priyankbarthwal@goniyo.com</t>
  </si>
  <si>
    <r>
      <rPr>
        <color rgb="FF000000"/>
        <sz val="10.0"/>
      </rPr>
      <t>Ashutosh Verma</t>
    </r>
  </si>
  <si>
    <t>IBM</t>
  </si>
  <si>
    <t>Arvind Krishna</t>
  </si>
  <si>
    <t>Former CTO, now CEO (tech)</t>
  </si>
  <si>
    <t>arvindk@us.ibm.com</t>
  </si>
  <si>
    <t>Daniel Thomas</t>
  </si>
  <si>
    <t>dwthomas@us.ibm.com</t>
  </si>
  <si>
    <t>Walmart</t>
  </si>
  <si>
    <t>Suresh Kumar</t>
  </si>
  <si>
    <t>Global CTO</t>
  </si>
  <si>
    <t xml:space="preserve">dhanisk@gmail.com ||  skumarscmsap@gmail.com
</t>
  </si>
  <si>
    <t xml:space="preserve">Megan Schussler </t>
  </si>
  <si>
    <t>megan.schussler@wal-mart.com</t>
  </si>
  <si>
    <t>Cisco / Motorola</t>
  </si>
  <si>
    <t>Padmasree Warrior</t>
  </si>
  <si>
    <t>Former CTO</t>
  </si>
  <si>
    <t>pwarrior2007@gmail.com</t>
  </si>
  <si>
    <t>Khushboo Agarwal</t>
  </si>
  <si>
    <t>agarwalkhushu@gmail.com</t>
  </si>
  <si>
    <t>VMware</t>
  </si>
  <si>
    <t>Raghu Raghuram</t>
  </si>
  <si>
    <t>rraghuram@vmware.com</t>
  </si>
  <si>
    <t>Simanti Chatterjee</t>
  </si>
  <si>
    <t>simanti.chatterjee@broadcom.com</t>
  </si>
  <si>
    <t>Zoom (Operations + Tech)</t>
  </si>
  <si>
    <t>Aparna Bawa</t>
  </si>
  <si>
    <t>CTO (ex)</t>
  </si>
  <si>
    <t>aparna.bawa@zoom.us</t>
  </si>
  <si>
    <t>ServiceNow</t>
  </si>
  <si>
    <t>Amit Zavery</t>
  </si>
  <si>
    <t>ex-SVP</t>
  </si>
  <si>
    <t>President</t>
  </si>
  <si>
    <t>amit.zavery@servicenow.com</t>
  </si>
  <si>
    <t>https://www.linkedin.com/in/aashutoshverma/</t>
  </si>
  <si>
    <t>Grammarly</t>
  </si>
  <si>
    <t>Rahul Roy-Chowdhury</t>
  </si>
  <si>
    <t>rahul.roychowdhury@grammarly.com</t>
  </si>
  <si>
    <t>Birla Opus</t>
  </si>
  <si>
    <t>Rajiv Gupta</t>
  </si>
  <si>
    <t>rajeev.g@adityabirla.com</t>
  </si>
  <si>
    <t>aashutosh.verma@gmail.com</t>
  </si>
  <si>
    <t>Google Deepmind</t>
  </si>
  <si>
    <t>Manish Gupta</t>
  </si>
  <si>
    <t>VP &amp; Head of AI Research</t>
  </si>
  <si>
    <t>manishgupta@google.com</t>
  </si>
  <si>
    <t>EY</t>
  </si>
  <si>
    <t>Gaurav Bhalotia</t>
  </si>
  <si>
    <t>gauravbhalotia@gmail.com</t>
  </si>
  <si>
    <t>Infinite Locus</t>
  </si>
  <si>
    <t>Deepak Sharma</t>
  </si>
  <si>
    <t>OpenAI</t>
  </si>
  <si>
    <t>https://www.linkedin.com/in/deepunk/</t>
  </si>
  <si>
    <t>Srinivas Narayanan</t>
  </si>
  <si>
    <t>srinivasnarayanan@gmail.com</t>
  </si>
  <si>
    <t>neeraj.singh@groww.in</t>
  </si>
  <si>
    <t xml:space="preserve">Sonam Gupta </t>
  </si>
  <si>
    <t>Senior Executive Assistant</t>
  </si>
  <si>
    <t>deepak@infinitelocus.com</t>
  </si>
  <si>
    <t>sonam.gupta@groww.in</t>
  </si>
  <si>
    <t>deepak.s@pepperfry.com</t>
  </si>
  <si>
    <t>me@deepak-sharma.in</t>
  </si>
  <si>
    <t>Sachin Vijayvargia</t>
  </si>
  <si>
    <t>sachin@upstox.com</t>
  </si>
  <si>
    <t>vivekbrijgupta@gmail.com</t>
  </si>
  <si>
    <t>Saurabh Dwivedi</t>
  </si>
  <si>
    <t>saurabh.dwivedi@mobikwik.com</t>
  </si>
  <si>
    <t>Karthikeyan K</t>
  </si>
  <si>
    <t>kk@kreditbee.in</t>
  </si>
  <si>
    <t>Saurabh Tiwari</t>
  </si>
  <si>
    <t>saurabh@policybazaar.com</t>
  </si>
  <si>
    <t>Deependra Rathore</t>
  </si>
  <si>
    <t>deependra.rathore@paytm.com</t>
  </si>
  <si>
    <t>Ankit Sobti</t>
  </si>
  <si>
    <t>ankit@postman-ks.com</t>
  </si>
  <si>
    <t>Mr. Shruti Ranjan Satapathy</t>
  </si>
  <si>
    <t>shrutiranjans@gmail.com</t>
  </si>
  <si>
    <t>Perplexity AI</t>
  </si>
  <si>
    <t>Mr. Denis Yarats</t>
  </si>
  <si>
    <t>denis@perplexity.ai</t>
  </si>
  <si>
    <t>Mr. Murali Swaminathan</t>
  </si>
  <si>
    <t>CTO (co-founder)</t>
  </si>
  <si>
    <t>murali.swaminathan@freshworks.com</t>
  </si>
  <si>
    <r>
      <rPr>
        <color rgb="FF000000"/>
        <sz val="10.0"/>
      </rPr>
      <t>Harish Kurudi</t>
    </r>
  </si>
  <si>
    <t xml:space="preserve">Mr. Vara Kumar Namburu </t>
  </si>
  <si>
    <t>varakumar@whatfix.com</t>
  </si>
  <si>
    <t>Notion</t>
  </si>
  <si>
    <t xml:space="preserve"> Mr. Fuzzy Khosrowshahi</t>
  </si>
  <si>
    <t>fuzzyk@gmail.com</t>
  </si>
  <si>
    <t>PubMatic</t>
  </si>
  <si>
    <t>Mr. John Sabella</t>
  </si>
  <si>
    <t>john.sabella@pubmatic.com</t>
  </si>
  <si>
    <t xml:space="preserve">Raghav Chandra </t>
  </si>
  <si>
    <t>raghavchandra@urbancompany.com</t>
  </si>
  <si>
    <t>Deepak Gupta</t>
  </si>
  <si>
    <t>deepakgupta79@gmail.com</t>
  </si>
  <si>
    <t>Ather Energy</t>
  </si>
  <si>
    <t>Mr. Swapnil Jain</t>
  </si>
  <si>
    <t>swapnil.jain@atherenergy.com</t>
  </si>
  <si>
    <t>GTM Buddy</t>
  </si>
  <si>
    <t>Mr. Chandramani Tiwary</t>
  </si>
  <si>
    <t>chandramani@gtmbuddy.ai</t>
  </si>
  <si>
    <t>Srivatsa Katta</t>
  </si>
  <si>
    <t>katta@rapido.bike</t>
  </si>
  <si>
    <t xml:space="preserve">Mr. Gaurav mathur </t>
  </si>
  <si>
    <t>gaurav@licious.in</t>
  </si>
  <si>
    <t>Mr. Geet Garg</t>
  </si>
  <si>
    <t>VP- Products</t>
  </si>
  <si>
    <t>geet@locus.sh</t>
  </si>
  <si>
    <t>https://www.linkedin.com/in/harishkurudi/</t>
  </si>
  <si>
    <t>DecisionX.ai</t>
  </si>
  <si>
    <t xml:space="preserve">Ranjan Kumar </t>
  </si>
  <si>
    <t>ranjan@decisionx.ai</t>
  </si>
  <si>
    <t>Navi</t>
  </si>
  <si>
    <t>Ankit Agarwal</t>
  </si>
  <si>
    <t>91 98202 56194</t>
  </si>
  <si>
    <t>ankit.agarwal@navi.com, agar.ankit@gmail.com</t>
  </si>
  <si>
    <t>hkurudi@gmail.com</t>
  </si>
  <si>
    <t>Nasscom</t>
  </si>
  <si>
    <t>Jeyandran Venugopal</t>
  </si>
  <si>
    <t>Chairperson Deeptech</t>
  </si>
  <si>
    <t>jeyandran@gmail.com</t>
  </si>
  <si>
    <t>Gunjan Patidar</t>
  </si>
  <si>
    <t>gunjan@foodiebay.com</t>
  </si>
  <si>
    <t>Pratap Kumar Singh</t>
  </si>
  <si>
    <t>Head - Global Technology Support, IT</t>
  </si>
  <si>
    <t>pratapkrsingh@gmail.com</t>
  </si>
  <si>
    <t>Suvonil Chatterjee</t>
  </si>
  <si>
    <t>suvonil@olacabs.com</t>
  </si>
  <si>
    <t>Madhusudhan Rao</t>
  </si>
  <si>
    <t>madhusudhan.rao@swiggy.in</t>
  </si>
  <si>
    <t>Rahul Chari</t>
  </si>
  <si>
    <t>Murali Brahmadesam</t>
  </si>
  <si>
    <t>murali.brahmadesam@razorpay.com</t>
  </si>
  <si>
    <t>Amod Malviya</t>
  </si>
  <si>
    <t>amod@pre6.ai</t>
  </si>
  <si>
    <t>Delhivery</t>
  </si>
  <si>
    <t>Kapil Bharati</t>
  </si>
  <si>
    <t>kapil.bharati@delhivery.com</t>
  </si>
  <si>
    <t xml:space="preserve">Ganesh Subramanian </t>
  </si>
  <si>
    <t>Heading Technology</t>
  </si>
  <si>
    <t>ganesh.subramanian@cred.club</t>
  </si>
  <si>
    <t>sanjeev@meesho.com</t>
  </si>
  <si>
    <t>amit.sharma@dreamsports.group</t>
  </si>
  <si>
    <t>Satyajit Roy</t>
  </si>
  <si>
    <t>natraj.choudhury@lenskart.com</t>
  </si>
  <si>
    <t>Kailash Nadh</t>
  </si>
  <si>
    <t>kailash@zerodha.com</t>
  </si>
  <si>
    <t xml:space="preserve">Mohit Saxena </t>
  </si>
  <si>
    <t>Co-Founder &amp; CTO</t>
  </si>
  <si>
    <t>mohit.saxena@inmobi.com</t>
  </si>
  <si>
    <t>Amitava Sanyal</t>
  </si>
  <si>
    <t>nitinjain@sharechat.com</t>
  </si>
  <si>
    <t>Ajay Jangir</t>
  </si>
  <si>
    <t>Tech Head</t>
  </si>
  <si>
    <t>ajay@girnarsoft.com</t>
  </si>
  <si>
    <t>Company</t>
  </si>
  <si>
    <t>gaurava@1mg.com</t>
  </si>
  <si>
    <t>LinkedIn Id</t>
  </si>
  <si>
    <t>Dipankar De</t>
  </si>
  <si>
    <t>rajesh@nykaa.com</t>
  </si>
  <si>
    <t>Nakul Aggarwal</t>
  </si>
  <si>
    <t>routemobile</t>
  </si>
  <si>
    <t>9819921521 || 9820021521 ||  9920557995</t>
  </si>
  <si>
    <t>Shailendra Sharma</t>
  </si>
  <si>
    <t>Milind Pathak</t>
  </si>
  <si>
    <t>EVP of Product</t>
  </si>
  <si>
    <t>bhuvan@ofbusiness.com</t>
  </si>
  <si>
    <t>https://www.linkedin.com/in/milindpathak/</t>
  </si>
  <si>
    <t>govind@peepal.co</t>
  </si>
  <si>
    <t>patindian@gmail.com</t>
  </si>
  <si>
    <t>Ramakrishna Gaddipati</t>
  </si>
  <si>
    <t>ramki@zeta.tech</t>
  </si>
  <si>
    <t xml:space="preserve">Yukti Arya </t>
  </si>
  <si>
    <t>ramki.gaddipati@zeta.com</t>
  </si>
  <si>
    <t>Mamaearth (Honasa Consumer Ltd.)</t>
  </si>
  <si>
    <t>ramanshu.mahaur@spinny.com</t>
  </si>
  <si>
    <t>Ghazaal Alagh</t>
  </si>
  <si>
    <t>Co-founder &amp; CIO</t>
  </si>
  <si>
    <t>Satya Kaliki</t>
  </si>
  <si>
    <t>ghazal@honasa.in</t>
  </si>
  <si>
    <t>satya.kaliki@infra.market</t>
  </si>
  <si>
    <t>Five Star Business Finance</t>
  </si>
  <si>
    <t>Vanamali R Sridharan</t>
  </si>
  <si>
    <t>rsvanamali@hotmail.com</t>
  </si>
  <si>
    <t>Akhil Raja</t>
  </si>
  <si>
    <t>Ms. Namratha B Swamy</t>
  </si>
  <si>
    <t>CTO/COO</t>
  </si>
  <si>
    <t>Shivang Jain</t>
  </si>
  <si>
    <t>1989born@gmail.com</t>
  </si>
  <si>
    <t xml:space="preserve">Chief of Staff and VP, Corp Strategy </t>
  </si>
  <si>
    <t>Urban Ladder</t>
  </si>
  <si>
    <t>linkedin.com/in/shivang-jain-52755764</t>
  </si>
  <si>
    <t>Lalit Chandnani</t>
  </si>
  <si>
    <t>lalit.chandnani@urbanladder.com</t>
  </si>
  <si>
    <r>
      <rPr>
        <color rgb="FF000000"/>
        <sz val="10.0"/>
      </rPr>
      <t>Japan Doshi</t>
    </r>
  </si>
  <si>
    <t xml:space="preserve">Amit Kumar Gupta </t>
  </si>
  <si>
    <t>amit.gupta@rebelfoods.com</t>
  </si>
  <si>
    <t>Praveen Kumar</t>
  </si>
  <si>
    <t>praveen@livspace.com</t>
  </si>
  <si>
    <t>Chargebee</t>
  </si>
  <si>
    <t>Saravanan KP</t>
  </si>
  <si>
    <t>9523410329  ||  +919557156648  ||   +919970611759   ||   +919975096595</t>
  </si>
  <si>
    <t>shivangvnit@gmail.com</t>
  </si>
  <si>
    <t>kps@chargebee.com</t>
  </si>
  <si>
    <t>BlackBuck</t>
  </si>
  <si>
    <t>Thejasvi Bhat</t>
  </si>
  <si>
    <t>thejasvi.bhat@blackbuck.com</t>
  </si>
  <si>
    <t>Nitin Basant</t>
  </si>
  <si>
    <t>nitin.basant@sliceit.com</t>
  </si>
  <si>
    <t>pawan@skyroot.in</t>
  </si>
  <si>
    <t>bbkats@gmail.com</t>
  </si>
  <si>
    <t>Capgemini</t>
  </si>
  <si>
    <t>Mukesh Jain</t>
  </si>
  <si>
    <t>Nirav Jagad</t>
  </si>
  <si>
    <t>CTO/Executive Vice President</t>
  </si>
  <si>
    <t>Chief people officer</t>
  </si>
  <si>
    <t>mukesh.jain@capgemini.com</t>
  </si>
  <si>
    <r>
      <rPr>
        <color rgb="FF1155CC"/>
        <u/>
      </rPr>
      <t>linkedin.com/in/jagadnirav</t>
    </r>
  </si>
  <si>
    <t>Anand Prakash</t>
  </si>
  <si>
    <t>91 175 501 2030, +91 80 4956 6189,+919243343344</t>
  </si>
  <si>
    <t>anand.prakash@vedantu.com,anand_p19@hotmail.com</t>
  </si>
  <si>
    <t>CTO &amp; Co-Founder</t>
  </si>
  <si>
    <t>nirav.jagad@sugarcosmetics.com</t>
  </si>
  <si>
    <t>vineeet88@gmail.com</t>
  </si>
  <si>
    <t>9971713461 || 9239089912</t>
  </si>
  <si>
    <t>upasana@mobikwik.com</t>
  </si>
  <si>
    <t>upasana@zaakpay.com</t>
  </si>
  <si>
    <t>japan.doshi@capitalone.com</t>
  </si>
  <si>
    <t xml:space="preserve">Gaurav Bagga </t>
  </si>
  <si>
    <t>CTPO</t>
  </si>
  <si>
    <t>linkedin.com/in/baggagaurav</t>
  </si>
  <si>
    <t>Good Glamm Group</t>
  </si>
  <si>
    <t>Naiyya Saggi</t>
  </si>
  <si>
    <t>naiyya@gmail.com</t>
  </si>
  <si>
    <t>gaurav.bagga@pristyncare.com</t>
  </si>
  <si>
    <t>GlobalBees</t>
  </si>
  <si>
    <t>Rahul Chaudhary</t>
  </si>
  <si>
    <t>Head of Technology</t>
  </si>
  <si>
    <t>linkedin.com/in/rahulkc</t>
  </si>
  <si>
    <t>rahul@globalbees.com</t>
  </si>
  <si>
    <t>Mensa Brands</t>
  </si>
  <si>
    <t>LogiNext</t>
  </si>
  <si>
    <t xml:space="preserve">Vinayak Baranwal </t>
  </si>
  <si>
    <t>Manisha Raisinghani</t>
  </si>
  <si>
    <t>linkedin.com/in/vinayakbaranwal</t>
  </si>
  <si>
    <t>SIMPLE</t>
  </si>
  <si>
    <t>Pankaj Sable</t>
  </si>
  <si>
    <t>manisha@sifthub.io</t>
  </si>
  <si>
    <t>https://www.linkedin.com/in/pankaj-sable-a12734122/</t>
  </si>
  <si>
    <t>vinayak.baranwal@mensabrands.com</t>
  </si>
  <si>
    <t>pankajhs1997@gmail.com</t>
  </si>
  <si>
    <t>Saurabh Kishore</t>
  </si>
  <si>
    <t>pankaj.sable@simpleenergy.in</t>
  </si>
  <si>
    <t>linkedin.com/in/saurabh-kishore-1046a42</t>
  </si>
  <si>
    <t>CashKaro</t>
  </si>
  <si>
    <t>Swati Bhargava</t>
  </si>
  <si>
    <t>swati@cashkaro.com</t>
  </si>
  <si>
    <t>saurabh.kishore@dealshare.in</t>
  </si>
  <si>
    <t>Shitiz Bansal</t>
  </si>
  <si>
    <t>linkedin.com/in/shitiz-bansal-3216057</t>
  </si>
  <si>
    <t>Yatra</t>
  </si>
  <si>
    <t>shitiz.bansal@elastic.run</t>
  </si>
  <si>
    <t>Sabina Chopra</t>
  </si>
  <si>
    <t xml:space="preserve">           981807755 || 9818017552  ||  8041849325 ||  8041118626</t>
  </si>
  <si>
    <t>sabina.chopra@yatra.com</t>
  </si>
  <si>
    <t>Amagi</t>
  </si>
  <si>
    <t>Srividhya Srinivasan</t>
  </si>
  <si>
    <t>linkedin.com/in/srividhya-srinivasan-60806b1</t>
  </si>
  <si>
    <t>Stader</t>
  </si>
  <si>
    <t>Kunal Chopra</t>
  </si>
  <si>
    <t>Head of PRoduct</t>
  </si>
  <si>
    <t>https://www.linkedin.com/in/kunalchopra1995/</t>
  </si>
  <si>
    <t>vidhya@amagi.com</t>
  </si>
  <si>
    <t>BluSmart Mobility</t>
  </si>
  <si>
    <t xml:space="preserve">Rishabh Sood </t>
  </si>
  <si>
    <t>linkedin.com/in/rishabh-sood-8b784a14</t>
  </si>
  <si>
    <t>Prukalpa Sankar</t>
  </si>
  <si>
    <t>kunalchopra12343@gmail.com</t>
  </si>
  <si>
    <t>kunal@staderlabs.com</t>
  </si>
  <si>
    <t>p@atlan.com</t>
  </si>
  <si>
    <t>rishabh@wylth.com</t>
  </si>
  <si>
    <t xml:space="preserve">Srinath Ramakkrushnan </t>
  </si>
  <si>
    <t>linkedin.com/in/srinath-ramakkrushnan-a658629</t>
  </si>
  <si>
    <t>Amrita Sirohia</t>
  </si>
  <si>
    <t>amritasirohia2005@gmail.com</t>
  </si>
  <si>
    <t>rsrinath@zetwerk.com</t>
  </si>
  <si>
    <t xml:space="preserve">Shashidhar Ramakrishnaiah 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</si>
  <si>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linkedin.com/in/shashidhar-ramakrishnaiah-7027335</t>
    </r>
  </si>
  <si>
    <t>stanza living</t>
  </si>
  <si>
    <t>Anik Khandelwal</t>
  </si>
  <si>
    <t>https://www.linkedin.com/in/anikk/</t>
  </si>
  <si>
    <t>shashidhar.ramakrishnaiah@fractal.ai</t>
  </si>
  <si>
    <t>pallavi@progcap.com</t>
  </si>
  <si>
    <t>anik.khandelwal@gmail.com</t>
  </si>
  <si>
    <t>anik.khandelwal@stanzaliving.com</t>
  </si>
  <si>
    <t>Pankaj Goel</t>
  </si>
  <si>
    <r>
      <rPr>
        <color rgb="FF1155CC"/>
        <u/>
      </rPr>
      <t>linkedin.com/in/pankajkgoel</t>
    </r>
  </si>
  <si>
    <t>Zypp Electric</t>
  </si>
  <si>
    <t>Rashi Agarwal</t>
  </si>
  <si>
    <t>pankaj.goel@leadsquared.com</t>
  </si>
  <si>
    <t>rashi.agarwal@zypp.app</t>
  </si>
  <si>
    <t>Kshitij Khandelwal</t>
  </si>
  <si>
    <t>linkedin.com/in/khandelwalkshitij</t>
  </si>
  <si>
    <t>kshitij@pixxel.space</t>
  </si>
  <si>
    <t>stashfin</t>
  </si>
  <si>
    <t>Anubhav Agarwal</t>
  </si>
  <si>
    <t>Cult.fit</t>
  </si>
  <si>
    <t xml:space="preserve">Santhosh Kumar </t>
  </si>
  <si>
    <t>Senior VP, Product Technology &amp; Businesses</t>
  </si>
  <si>
    <t>https://www.linkedin.com/in/santhoshkumarj/?originalSubdomain=in</t>
  </si>
  <si>
    <t>Priya Singh</t>
  </si>
  <si>
    <t>https://www.linkedin.com/in/anubhavit/</t>
  </si>
  <si>
    <t>priyasingh@sistec.ac.in</t>
  </si>
  <si>
    <t>anubhavit@gmail.com</t>
  </si>
  <si>
    <t>santhosh@curefit.com</t>
  </si>
  <si>
    <t>anubhav.agarwal@stashfin.com</t>
  </si>
  <si>
    <r>
      <rPr>
        <color rgb="FF1155CC"/>
        <u/>
      </rPr>
      <t>linkedin.com/in/khasnis</t>
    </r>
  </si>
  <si>
    <t>Kedar Panjiyar</t>
  </si>
  <si>
    <t>linkedin.com/in/kedarpanjiyar</t>
  </si>
  <si>
    <t>kpanjiyar@countrydelight.in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</si>
  <si>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linkedin.com/in/aman-gupta-7217a515</t>
    </r>
  </si>
  <si>
    <t>aman.gupta@imaginemarketingindia.com</t>
  </si>
  <si>
    <t>nikita@giva.co</t>
  </si>
  <si>
    <r>
      <rPr>
        <color rgb="FF1155CC"/>
        <u/>
      </rPr>
      <t>linkedin.com/in/ish-babbar-920429205</t>
    </r>
  </si>
  <si>
    <t>ish.babbar@insurancedekho.com</t>
  </si>
  <si>
    <t>Ashish Gupta</t>
  </si>
  <si>
    <r>
      <rPr>
        <color rgb="FF1155CC"/>
        <u/>
      </rPr>
      <t>linkedin.com/in/ashishgupta97065</t>
    </r>
  </si>
  <si>
    <t>ashish@progcap.com</t>
  </si>
  <si>
    <t>Accenture in India</t>
  </si>
  <si>
    <t>Nirav Sampat</t>
  </si>
  <si>
    <r>
      <rPr>
        <color rgb="FF1155CC"/>
        <u/>
      </rPr>
      <t>linkedin.com/in/nirav-sampat-a533ab113</t>
    </r>
  </si>
  <si>
    <t>waycool</t>
  </si>
  <si>
    <t>Sudheer Devall</t>
  </si>
  <si>
    <t>nirav.sampat@accenture.com</t>
  </si>
  <si>
    <t>Yashwanth Kumar</t>
  </si>
  <si>
    <t>CTO, CISO, DPO</t>
  </si>
  <si>
    <t>IndiQube</t>
  </si>
  <si>
    <r>
      <rPr>
        <color rgb="FF1155CC"/>
        <u/>
      </rPr>
      <t>linkedin.com/in/yakumar</t>
    </r>
  </si>
  <si>
    <t>Meghna Agarwal</t>
  </si>
  <si>
    <t>meghna.agarwal@indiqube.com</t>
  </si>
  <si>
    <t>yashwanth@moengage.com</t>
  </si>
  <si>
    <t>Vishwanath Ram</t>
  </si>
  <si>
    <r>
      <rPr>
        <color rgb="FF1155CC"/>
        <u/>
      </rPr>
      <t>linkedin.com/in/vishwanath-ram-8826722</t>
    </r>
  </si>
  <si>
    <t>Kanika Gupta Shori</t>
  </si>
  <si>
    <t>kanika.gupta@squareyards.com</t>
  </si>
  <si>
    <t>vishwanath.r@acko.tech</t>
  </si>
  <si>
    <t>Oxyzo</t>
  </si>
  <si>
    <t>Dhruva Shree Agarwal</t>
  </si>
  <si>
    <t>dhruva.s.agarwal@gmail.com,dhruva@oxyzo.in</t>
  </si>
  <si>
    <t>Tata Consultancy Services (TCS)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</si>
  <si>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linkedin.com/in/harrickvin</t>
    </r>
  </si>
  <si>
    <t xml:space="preserve">Rafee Tarafdar 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</si>
  <si>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linkedin.com/in/rafeetarafdar</t>
    </r>
  </si>
  <si>
    <t>Vidya Nataraj</t>
  </si>
  <si>
    <t>vidya@tailorman.com</t>
  </si>
  <si>
    <t>rafeetarafdar@gmail.com</t>
  </si>
  <si>
    <t>Wipro</t>
  </si>
  <si>
    <t>Sandhya Ramachandran Arun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</si>
  <si>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linkedin.com/in/sandhyararun</t>
    </r>
  </si>
  <si>
    <t>Vrushali Prasade</t>
  </si>
  <si>
    <t>sandhya.arun@wipro.com</t>
  </si>
  <si>
    <t>vrushalip@pixis.ai</t>
  </si>
  <si>
    <t>HCLTech</t>
  </si>
  <si>
    <t>Vijay Guntur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</si>
  <si>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linkedin.com/in/vijay-guntur</t>
    </r>
  </si>
  <si>
    <t>ms@fiserv.com</t>
  </si>
  <si>
    <t>gvijay@hcltech.com</t>
  </si>
  <si>
    <t>Tech Mahindra</t>
  </si>
  <si>
    <t>Sham Arora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</si>
  <si>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linkedin.com/in/shamarora</t>
    </r>
  </si>
  <si>
    <t>Biocon</t>
  </si>
  <si>
    <t>Founder &amp; Executive Chairperson</t>
  </si>
  <si>
    <t>kiran@biocon.com</t>
  </si>
  <si>
    <t>shamaroraa@gmail.com</t>
  </si>
  <si>
    <t>LTIMindtree</t>
  </si>
  <si>
    <t xml:space="preserve">Arun Lakshmanan 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</si>
  <si>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linkedin.com/in/arun-lakshmanan-274b9050</t>
    </r>
  </si>
  <si>
    <t>Emcure Pharmaceuticals</t>
  </si>
  <si>
    <t>namita.thapar@emcure.com</t>
  </si>
  <si>
    <t>arun.lakshmanan@ltimindtree.com, arunachalamlaksh@gmail.com</t>
  </si>
  <si>
    <t>L&amp;T Technology Services</t>
  </si>
  <si>
    <t>Ashish Khushu</t>
  </si>
  <si>
    <t>linkedin.com/in/ashish-khushu-b844101</t>
  </si>
  <si>
    <t>Radha Vembu</t>
  </si>
  <si>
    <t>Anthropic</t>
  </si>
  <si>
    <t>91 80 2297 9123,+1 650-506-7000</t>
  </si>
  <si>
    <t>khushuashish@gmail.com,ashish.khushu@ltts.com</t>
  </si>
  <si>
    <t>Mike Krieger</t>
  </si>
  <si>
    <t>Fable</t>
  </si>
  <si>
    <t>Cognizant India</t>
  </si>
  <si>
    <t>https://www.linkedin.com/in/mikekrieger/</t>
  </si>
  <si>
    <t>Senthil Ramaswamy S</t>
  </si>
  <si>
    <t>linkedin.com/in/senthilsan</t>
  </si>
  <si>
    <t>padmasree.warrior@effem.com</t>
  </si>
  <si>
    <t>mikekrieger@gmail.com</t>
  </si>
  <si>
    <t>mkrieger@anthropic.com</t>
  </si>
  <si>
    <t>senthil@cognizant.com</t>
  </si>
  <si>
    <t xml:space="preserve">Accenture </t>
  </si>
  <si>
    <t>Rajendra Prasad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</si>
  <si>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linkedin.com/in/rpautomation</t>
    </r>
  </si>
  <si>
    <t>Zivame</t>
  </si>
  <si>
    <t>Richa Kar</t>
  </si>
  <si>
    <t>karricha@gmail.com</t>
  </si>
  <si>
    <t>Toast</t>
  </si>
  <si>
    <t>rajendra.prasad@accenture.com, yrajendra.prasad1@worldnet.att.net</t>
  </si>
  <si>
    <t>Alok Agrawal</t>
  </si>
  <si>
    <t>Oracle India</t>
  </si>
  <si>
    <t xml:space="preserve">Ashish Gandotra </t>
  </si>
  <si>
    <t>https://www.linkedin.com/in/imalokagrawal/</t>
  </si>
  <si>
    <t>agandotra@gmail.com,ashish.gandotra@oracle.com</t>
  </si>
  <si>
    <t>ksengupt@in.ibm.com  Kankayan Sengupta</t>
  </si>
  <si>
    <t>Kuppulakshmi Krishnamoorthy</t>
  </si>
  <si>
    <t>Global Head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</si>
  <si>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linkedin.com/in/kuppukrish</t>
    </r>
  </si>
  <si>
    <t>LimeRoad</t>
  </si>
  <si>
    <t>Suchi Mukherjee</t>
  </si>
  <si>
    <t>imalokagrawal@gmail.com</t>
  </si>
  <si>
    <t>suchi@limeroad.com</t>
  </si>
  <si>
    <t>alok.agrawal@toasttab.com</t>
  </si>
  <si>
    <t>kklakshmi@gmail.com</t>
  </si>
  <si>
    <t>Google India</t>
  </si>
  <si>
    <t xml:space="preserve">Madhusudan Shekar </t>
  </si>
  <si>
    <t>AI, CTO</t>
  </si>
  <si>
    <t>madhusudan@google.com</t>
  </si>
  <si>
    <t>Microsoft India</t>
  </si>
  <si>
    <t>Vivek Sridhar</t>
  </si>
  <si>
    <t>Mondelez International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</si>
  <si>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linkedin.com/in/vivsridh</t>
    </r>
  </si>
  <si>
    <t>smita@leadschool.in</t>
  </si>
  <si>
    <t>vivek.sridhar@microsoft.com</t>
  </si>
  <si>
    <t>SAP Labs India</t>
  </si>
  <si>
    <t>Kulmeet Bawa</t>
  </si>
  <si>
    <t>MD ​</t>
  </si>
  <si>
    <t>Persistent Systems</t>
  </si>
  <si>
    <t>Pandurang Kamat</t>
  </si>
  <si>
    <t>Ex CTO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</si>
  <si>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linkedin.com/in/pandurang</t>
    </r>
  </si>
  <si>
    <t>Clari</t>
  </si>
  <si>
    <t>Ankan Banerjee</t>
  </si>
  <si>
    <t>Head of Product, India</t>
  </si>
  <si>
    <t>Menstrupedia</t>
  </si>
  <si>
    <t>https://www.linkedin.com/in/ankanbanerjee/</t>
  </si>
  <si>
    <t>pandurang@suzega.com</t>
  </si>
  <si>
    <t>Aditi Gupta</t>
  </si>
  <si>
    <t>KPIT Technologies</t>
  </si>
  <si>
    <t>Anup Sable</t>
  </si>
  <si>
    <t>aditi@menstrupedia.com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</si>
  <si>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linkedin.com/in/anupsable</t>
    </r>
  </si>
  <si>
    <t>anup.sable@kpit.com</t>
  </si>
  <si>
    <t>b_ankan@yahoo.com</t>
  </si>
  <si>
    <t>ankan@clari.com</t>
  </si>
  <si>
    <t>Dhiraj Rajaram</t>
  </si>
  <si>
    <t>Founder/CEO ​</t>
  </si>
  <si>
    <t>Info Edge</t>
  </si>
  <si>
    <t>Sanjeev Bikhchandani</t>
  </si>
  <si>
    <t>Founder ​</t>
  </si>
  <si>
    <t>AZB &amp; Partners</t>
  </si>
  <si>
    <t>MakeMyTrip</t>
  </si>
  <si>
    <t>Zia Mody</t>
  </si>
  <si>
    <t>Sanjay Mohan</t>
  </si>
  <si>
    <t>Founder &amp; Managing Partner</t>
  </si>
  <si>
    <t xml:space="preserve"> CTO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</si>
  <si>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linkedin.com/in/snjymhn</t>
    </r>
  </si>
  <si>
    <t>zia.mody@azbpartners.com</t>
  </si>
  <si>
    <t>sanjay.mohan@makemytrip.com</t>
  </si>
  <si>
    <t>Capillary Technologies</t>
  </si>
  <si>
    <t>SheCapital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</si>
  <si>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linkedin.com/in/piyush-kumar-71425315</t>
    </r>
  </si>
  <si>
    <t>Anisha Singh</t>
  </si>
  <si>
    <t>anisha@shecapital.vc</t>
  </si>
  <si>
    <t>piyush.kumar@capillarytech.com</t>
  </si>
  <si>
    <t>kaivalyavohra@gmail.com</t>
  </si>
  <si>
    <t xml:space="preserve">Deepesh Dhakad </t>
  </si>
  <si>
    <t>Pocket Aces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</si>
  <si>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linkedin.com/in/deepeshdhakad</t>
    </r>
  </si>
  <si>
    <t>Aditi Shrivastava</t>
  </si>
  <si>
    <t>aditi.shrivastava@pocketaces.in</t>
  </si>
  <si>
    <t>SailPoint</t>
  </si>
  <si>
    <r>
      <rPr>
        <rFont val="&quot;Google Sans&quot;, Roboto, Arial, sans-serif"/>
        <color rgb="FF000000"/>
        <sz val="10.0"/>
      </rPr>
      <t>Chandra Gnanasambandam</t>
    </r>
  </si>
  <si>
    <t>BigBasket</t>
  </si>
  <si>
    <t xml:space="preserve">Rakshit Daga </t>
  </si>
  <si>
    <t>Ex CPTO</t>
  </si>
  <si>
    <t>linkedin.com/in/rakshit-daga-76b467</t>
  </si>
  <si>
    <t>rakshit.daga@westbridgecap.com</t>
  </si>
  <si>
    <t xml:space="preserve">Sajal Gupta </t>
  </si>
  <si>
    <t>linkedin.com/in/sajal-gupta-4b966742</t>
  </si>
  <si>
    <t>NASSCOM</t>
  </si>
  <si>
    <t>Debjani Ghosh</t>
  </si>
  <si>
    <t>Kalyani Srinivasan</t>
  </si>
  <si>
    <t>sajal.gupta@blinkit.com</t>
  </si>
  <si>
    <t>Bhushan Heda</t>
  </si>
  <si>
    <t>CEO ​</t>
  </si>
  <si>
    <t>Indian Angel Network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</si>
  <si>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linkedin.com/in/bhushanheda</t>
    </r>
  </si>
  <si>
    <t>Padmaja Ruparel</t>
  </si>
  <si>
    <t>padmaja.r@indianangelnetwork.com</t>
  </si>
  <si>
    <t>bhushan.heda@emeritus.org</t>
  </si>
  <si>
    <t xml:space="preserve">Bapu Kota </t>
  </si>
  <si>
    <t>linkedin.com/in/bapukota</t>
  </si>
  <si>
    <t>bapu.kota@verse.in</t>
  </si>
  <si>
    <t>Edelweiss AMC</t>
  </si>
  <si>
    <t>Radhika Gupta</t>
  </si>
  <si>
    <t>Devesh Mishra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</si>
  <si>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linkedin.com/in/devesh-mishra-2aa711105</t>
    </r>
  </si>
  <si>
    <t>radhika.gupta@edelweissmf.com</t>
  </si>
  <si>
    <t>devesh@pw.live</t>
  </si>
  <si>
    <t xml:space="preserve">Rajat Bansal 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</si>
  <si>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linkedin.com/in/rajatbansal77</t>
    </r>
  </si>
  <si>
    <t>EVP- Product</t>
  </si>
  <si>
    <t>https://www.linkedin.com/in/chandra-gnanasambandam/</t>
  </si>
  <si>
    <t>Kalaari Capital</t>
  </si>
  <si>
    <t>Vani Kola</t>
  </si>
  <si>
    <t>vani_kola@kalaari.com</t>
  </si>
  <si>
    <t>rajat.bansal@games24x7.com</t>
  </si>
  <si>
    <t>Ankit Maheshwari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</si>
  <si>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linkedin.com/in/ankit-mah</t>
    </r>
  </si>
  <si>
    <t>chandrasambandam@yahoo.com</t>
  </si>
  <si>
    <t>chandra@bea.com</t>
  </si>
  <si>
    <t>ankit.maheshwari@innovaccer.com</t>
  </si>
  <si>
    <t>Hasura</t>
  </si>
  <si>
    <t>Rukam Capital</t>
  </si>
  <si>
    <t>Sandip Devarkonda</t>
  </si>
  <si>
    <t>Archana Jahagirdar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</si>
  <si>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linkedin.com/in/sandipdevarkonda</t>
    </r>
  </si>
  <si>
    <t>archana@rukamcapital.com</t>
  </si>
  <si>
    <t>Senthil Nathan</t>
  </si>
  <si>
    <t>https://www.linkedin.com/in/reachsenthilnathan/</t>
  </si>
  <si>
    <t>sandip@promptql.io</t>
  </si>
  <si>
    <t>Uniphore</t>
  </si>
  <si>
    <t>Ravi Mayuram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</si>
  <si>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linkedin.com/in/ravimayuram</t>
    </r>
  </si>
  <si>
    <t>Roshni Nadar Malhotra</t>
  </si>
  <si>
    <t>Chairperson</t>
  </si>
  <si>
    <t>reachsenthilnathan@gmail.com</t>
  </si>
  <si>
    <t>malhotra-r@hcltech.com</t>
  </si>
  <si>
    <t>senthil.nathan@ibm.com</t>
  </si>
  <si>
    <t>ravi.mayuram@uniphore.com</t>
  </si>
  <si>
    <t>Sumit Nigam</t>
  </si>
  <si>
    <t>linkedin.com/in/sumit-nigam-557343</t>
  </si>
  <si>
    <t>sumit.nigam@perfios.com</t>
  </si>
  <si>
    <t>Anil Sinha</t>
  </si>
  <si>
    <t>linkedin.com/in/anil-sinha-82261a1</t>
  </si>
  <si>
    <t>OZiva</t>
  </si>
  <si>
    <t>Aarti Gill</t>
  </si>
  <si>
    <t>Amneet Singh</t>
  </si>
  <si>
    <t>Startup India Foundation</t>
  </si>
  <si>
    <t>anil.sinha@fibe.in</t>
  </si>
  <si>
    <t>Managing Director and Business Head - Products</t>
  </si>
  <si>
    <t>Anu Aggarwal</t>
  </si>
  <si>
    <t>https://www.linkedin.com/in/amneetsingh-acn/</t>
  </si>
  <si>
    <t xml:space="preserve">Sanjay Aggarwal </t>
  </si>
  <si>
    <t>YourStory</t>
  </si>
  <si>
    <t>Shradha Sharma</t>
  </si>
  <si>
    <t>linkedin.com/in/sanjay-aggarwal-iitd</t>
  </si>
  <si>
    <t>shradha.sharma@yourstory.com</t>
  </si>
  <si>
    <t>sanjay@moneyview.in</t>
  </si>
  <si>
    <t xml:space="preserve">Prerak Mehta </t>
  </si>
  <si>
    <t>amneet_singh@hotmail.com</t>
  </si>
  <si>
    <t xml:space="preserve">CTO </t>
  </si>
  <si>
    <t>amneet.singh@accenture.com</t>
  </si>
  <si>
    <t>https://www.linkedin.com/in/prerakm/?originalSubdomain=in</t>
  </si>
  <si>
    <t>prerak18@gmail.com</t>
  </si>
  <si>
    <t>Swami Sivasubramanian</t>
  </si>
  <si>
    <t>VP Engineering, Amazon India</t>
  </si>
  <si>
    <t>Zilingo</t>
  </si>
  <si>
    <t>Ankiti Bose</t>
  </si>
  <si>
    <t>ankitibose@gmail.com</t>
  </si>
  <si>
    <t>swami@amazon.com</t>
  </si>
  <si>
    <t>Meta (Facebook)</t>
  </si>
  <si>
    <t>Arun Srinivas</t>
  </si>
  <si>
    <t>Director &amp; India Tech Leader</t>
  </si>
  <si>
    <t>linkedin.com/in/arun-srinivas-6064721</t>
  </si>
  <si>
    <t>asrinivas@fb.com</t>
  </si>
  <si>
    <t>arunsrinivasishere@gmail.com</t>
  </si>
  <si>
    <t>HerKey</t>
  </si>
  <si>
    <t>Neha Bagaria</t>
  </si>
  <si>
    <t>Managing Director – South Asia</t>
  </si>
  <si>
    <t>linkedin.com/in/vishaldhupar</t>
  </si>
  <si>
    <t>admin@herkey.com</t>
  </si>
  <si>
    <t>Intel</t>
  </si>
  <si>
    <t>roshan.khatri@citadel.com</t>
  </si>
  <si>
    <t>Santhosh Viswanathan</t>
  </si>
  <si>
    <t>MD – Intel India</t>
  </si>
  <si>
    <t>linkedin.com/in/santhoshviswanathan</t>
  </si>
  <si>
    <t>The Moms Co</t>
  </si>
  <si>
    <t>Malika Sadani</t>
  </si>
  <si>
    <t>santhosh.viswanathan@intel.com</t>
  </si>
  <si>
    <t>Qualcomm</t>
  </si>
  <si>
    <t>Savi Soin</t>
  </si>
  <si>
    <t>malikadatt1@gmail.com</t>
  </si>
  <si>
    <t>President – Qualcomm India</t>
  </si>
  <si>
    <t>linkedin.com/in/savi-soin-050a17</t>
  </si>
  <si>
    <t>https://www.linkedin.com/in/kalyankumar/</t>
  </si>
  <si>
    <t>savis@qti.qualcomm.com</t>
  </si>
  <si>
    <t>savis@qualcomm.com</t>
  </si>
  <si>
    <t>AMD</t>
  </si>
  <si>
    <t>Vinay Sinha</t>
  </si>
  <si>
    <t>ONGC</t>
  </si>
  <si>
    <t>Tech VP &amp; MD India</t>
  </si>
  <si>
    <t>Alka Mittal</t>
  </si>
  <si>
    <t>linkedin.com/in/vinay-sinha-33092389</t>
  </si>
  <si>
    <t>Former CMD</t>
  </si>
  <si>
    <t>mittalka9@gmail.com</t>
  </si>
  <si>
    <t>kalyank@hcl-software.com</t>
  </si>
  <si>
    <t>kalyank@hcl.com</t>
  </si>
  <si>
    <t>kalyan.kumar@hcltech.com</t>
  </si>
  <si>
    <t>vinay.sinha@amd.com</t>
  </si>
  <si>
    <t>Broadcom</t>
  </si>
  <si>
    <t>Sandeep Bhatia</t>
  </si>
  <si>
    <t xml:space="preserve">Senior Engineering Director </t>
  </si>
  <si>
    <t>linkedin.com/in/sandeep-bhatia-8957045</t>
  </si>
  <si>
    <t>Clean Slate Filmz</t>
  </si>
  <si>
    <t>Anushka Sharma</t>
  </si>
  <si>
    <t>Sheroes</t>
  </si>
  <si>
    <t>sandeepb@broadcom.com</t>
  </si>
  <si>
    <t>Sairee Chahal</t>
  </si>
  <si>
    <t>LogicMonitor</t>
  </si>
  <si>
    <t>Adobe</t>
  </si>
  <si>
    <t>Garth Fort</t>
  </si>
  <si>
    <t xml:space="preserve">Rajeev Sharma </t>
  </si>
  <si>
    <t>sairee@gmail.com</t>
  </si>
  <si>
    <t>VP Engineering, Adobe India</t>
  </si>
  <si>
    <t>https://www.linkedin.com/in/garth-fort-5b0250/</t>
  </si>
  <si>
    <t>linkedin.com/in/rajeev9778</t>
  </si>
  <si>
    <t>rsharma@adobe.com</t>
  </si>
  <si>
    <t>Arundhati Bhattacharya</t>
  </si>
  <si>
    <t>Chairperson &amp; CEO – Salesforce India</t>
  </si>
  <si>
    <t>RPSG Lifestyle Media</t>
  </si>
  <si>
    <t>linkedin.com/in/arundhati-bhattacharya-salesforce</t>
  </si>
  <si>
    <t>garth.fort@logicmonitor.com</t>
  </si>
  <si>
    <t>Avarna Jain</t>
  </si>
  <si>
    <t>fortgart@amazon.com</t>
  </si>
  <si>
    <t>avarna.jain@rpsg.in</t>
  </si>
  <si>
    <t>abhattacharya@salesforce.com</t>
  </si>
  <si>
    <t>PayPal</t>
  </si>
  <si>
    <t>Sathish Selladurai</t>
  </si>
  <si>
    <t>CTO, PayPal India</t>
  </si>
  <si>
    <t>linkedin.com/in/srini-venkatesan</t>
  </si>
  <si>
    <t>JetSetGo</t>
  </si>
  <si>
    <t>Kanika Tekriwal</t>
  </si>
  <si>
    <t>Bharat Singh</t>
  </si>
  <si>
    <t>svenkatesan@paypal.com</t>
  </si>
  <si>
    <t>kanika@jetsetgo.in</t>
  </si>
  <si>
    <t>https://www.linkedin.com/in/bharatbharat/</t>
  </si>
  <si>
    <t>Stripe</t>
  </si>
  <si>
    <t>Arjun Sethi</t>
  </si>
  <si>
    <t>India Engineering Leadership</t>
  </si>
  <si>
    <t>linkedin.com/in/asethi</t>
  </si>
  <si>
    <t>arjun@littleinc.com</t>
  </si>
  <si>
    <t>Omnicom Media Group India</t>
  </si>
  <si>
    <t>Roopa Kudva</t>
  </si>
  <si>
    <t>Uber</t>
  </si>
  <si>
    <t>bharat.singh@hginsights.com</t>
  </si>
  <si>
    <t>Former CEO</t>
  </si>
  <si>
    <t>sb@rightscale.com</t>
  </si>
  <si>
    <t>bharat.singh@logicmonitor.com</t>
  </si>
  <si>
    <t>Campus Fund</t>
  </si>
  <si>
    <t>Richa Bajpai</t>
  </si>
  <si>
    <t>richabajpai87@gmail.com</t>
  </si>
  <si>
    <t>Prabhjeet Singh</t>
  </si>
  <si>
    <t>President – Uber India</t>
  </si>
  <si>
    <t>linkedin.com/in/prabhjeetsingh1</t>
  </si>
  <si>
    <t>prabhjeet@gmail.com</t>
  </si>
  <si>
    <t>Yuval Refua</t>
  </si>
  <si>
    <t>Mad Street Den</t>
  </si>
  <si>
    <t>Airbnb</t>
  </si>
  <si>
    <t>Ashwini Asokan</t>
  </si>
  <si>
    <t>Amit Dubey</t>
  </si>
  <si>
    <t>https://www.linkedin.com/in/yuvalrefua/</t>
  </si>
  <si>
    <t>linkedin.com/in/amitkrdubey</t>
  </si>
  <si>
    <t>ashwini@madstreetden.com</t>
  </si>
  <si>
    <t>amit.dubey@airbnb.com</t>
  </si>
  <si>
    <t>Netflix</t>
  </si>
  <si>
    <t>yrefua10@gmail.com</t>
  </si>
  <si>
    <t>Monika Shergill</t>
  </si>
  <si>
    <t>yrefua10@gsb.columbia.edu</t>
  </si>
  <si>
    <t>VP Content (India Tech Ops interface)</t>
  </si>
  <si>
    <t>linkedin.com/in/monika-shergill-8a616b2b</t>
  </si>
  <si>
    <t>mshergill@netflix.com</t>
  </si>
  <si>
    <t>Dropbox</t>
  </si>
  <si>
    <t>Ashok Reddy</t>
  </si>
  <si>
    <t>India Engineering Head</t>
  </si>
  <si>
    <t>LinkedIn</t>
  </si>
  <si>
    <t>Ashutosh Gupta</t>
  </si>
  <si>
    <t>Ola Electric</t>
  </si>
  <si>
    <t>VP Engineering</t>
  </si>
  <si>
    <t>Airtel</t>
  </si>
  <si>
    <t>CEO, Head Tech</t>
  </si>
  <si>
    <t>CEO.India@airtel.com</t>
  </si>
  <si>
    <t>Verizon</t>
  </si>
  <si>
    <t>Aparna Khurjekar</t>
  </si>
  <si>
    <t>India Technology Head</t>
  </si>
  <si>
    <t>linkedin.com/in/aparna-khurjekar</t>
  </si>
  <si>
    <t>thiagar@yahoo.com</t>
  </si>
  <si>
    <t>thia@shorebirdtech.com</t>
  </si>
  <si>
    <t>Anmol Jaggi</t>
  </si>
  <si>
    <t>aparna.khurjekar@verizonwireless.com</t>
  </si>
  <si>
    <t>anmoljaggi@gensolconsultants.com</t>
  </si>
  <si>
    <t>anmoljaggi@gensol.in</t>
  </si>
  <si>
    <t>Dell Technologies</t>
  </si>
  <si>
    <t>manish Gupta</t>
  </si>
  <si>
    <t>President India (Tech Ops)</t>
  </si>
  <si>
    <t>linkedin.com/in/manishgupta05</t>
  </si>
  <si>
    <t xml:space="preserve">manish_gupta@dell.com, </t>
  </si>
  <si>
    <t>manishgupta@mailcity.com</t>
  </si>
  <si>
    <t>Info USA</t>
  </si>
  <si>
    <t>Vinod Gupta</t>
  </si>
  <si>
    <t>linkedin.com/in/vinod-gupta-everest</t>
  </si>
  <si>
    <t>vin@vingupta.com, vinodgupta1946@gmail.com, vinod@everestusa.net</t>
  </si>
  <si>
    <t>HP Inc.</t>
  </si>
  <si>
    <t>Ipsita Dasgupta</t>
  </si>
  <si>
    <t>saurav.kumar@eulermotors.com</t>
  </si>
  <si>
    <t>MD India</t>
  </si>
  <si>
    <t>linkedin.com/in/ipsita-dasgupta-66244</t>
  </si>
  <si>
    <t>ipsita.dasgupta@hp.com</t>
  </si>
  <si>
    <t>ipsitadasgupta@gmail.com</t>
  </si>
  <si>
    <t>Palo Alto Networks</t>
  </si>
  <si>
    <t>Anshul Garg</t>
  </si>
  <si>
    <t>VP Engineering, India</t>
  </si>
  <si>
    <t>Siddharth Shakdher</t>
  </si>
  <si>
    <t>Fortinet</t>
  </si>
  <si>
    <t>sidharth.shakdher@paytm.com</t>
  </si>
  <si>
    <t>Regional Engineering Head</t>
  </si>
  <si>
    <t>linkedin.com/in/vivek-srivastava-cybersecurity</t>
  </si>
  <si>
    <t>Zynga</t>
  </si>
  <si>
    <t>Scott Koenigsberg</t>
  </si>
  <si>
    <t>https://www.linkedin.com/in/scott-koenigsberg-717812/</t>
  </si>
  <si>
    <t>vsrivastava@fortinet.com</t>
  </si>
  <si>
    <t>CrowdStrike</t>
  </si>
  <si>
    <t xml:space="preserve">Anil Z Chakravarthy </t>
  </si>
  <si>
    <t>Director, Engineering</t>
  </si>
  <si>
    <t>linkedin.com/in/anil-z-chakravarthy-54481016</t>
  </si>
  <si>
    <t>tarunsmehta@gmail.com</t>
  </si>
  <si>
    <t>skoenigsberg@sbcglobal.net</t>
  </si>
  <si>
    <t>skoenigsberg@zynga.com</t>
  </si>
  <si>
    <t>anil.chakravarthy@crowdstrike.com</t>
  </si>
  <si>
    <t>anilchakravarthy@gmail.com</t>
  </si>
  <si>
    <t>Snowflake</t>
  </si>
  <si>
    <t>Vijayant Rai</t>
  </si>
  <si>
    <t>Managing Director, Engineering</t>
  </si>
  <si>
    <t>linkedin.com/in/vijayant-rai-226203a</t>
  </si>
  <si>
    <t>vijayantrai@gmail.com</t>
  </si>
  <si>
    <t>Workday</t>
  </si>
  <si>
    <r>
      <rPr>
        <color rgb="FF000000"/>
        <sz val="10.0"/>
      </rPr>
      <t>Somnath Meher</t>
    </r>
  </si>
  <si>
    <t>Ranjit Mavinkurve</t>
  </si>
  <si>
    <t>linkedin.com/in/ranjitmavinkurve</t>
  </si>
  <si>
    <t>Sun Mobility</t>
  </si>
  <si>
    <t>ranjit.mavinkurve@workday.com</t>
  </si>
  <si>
    <t>ranjit@mavinkurve.com</t>
  </si>
  <si>
    <t>ranjitmavinkurve@gmail.com</t>
  </si>
  <si>
    <t>Atlassian</t>
  </si>
  <si>
    <t>Rajeev Rajan</t>
  </si>
  <si>
    <t>Head of Engineering, India</t>
  </si>
  <si>
    <t>linkedin.com/in/rajeev-rajan</t>
  </si>
  <si>
    <t>Uday Khemka</t>
  </si>
  <si>
    <t>rrajan@atlassian.com</t>
  </si>
  <si>
    <t>rajeevrajan@hotmail.com</t>
  </si>
  <si>
    <t>uday.khemka@sun-capital.com</t>
  </si>
  <si>
    <t>Docusign</t>
  </si>
  <si>
    <t>Sagnik Nandy</t>
  </si>
  <si>
    <t>linkedin.com/in/sagnik-nandy</t>
  </si>
  <si>
    <t>sagnik.nandy@docusign.com</t>
  </si>
  <si>
    <t>sagniknandy@gmail.com</t>
  </si>
  <si>
    <t>Altigreen</t>
  </si>
  <si>
    <t>Visa</t>
  </si>
  <si>
    <t>Amitabh Saran</t>
  </si>
  <si>
    <t>Vaibhav Taranekar</t>
  </si>
  <si>
    <t>VP and COO</t>
  </si>
  <si>
    <t>linkedin.com/in/vaibhav-taranekar-a50b5916</t>
  </si>
  <si>
    <t>amit@altigreen.com</t>
  </si>
  <si>
    <t>vaibhavtaranekar@gmail.com</t>
  </si>
  <si>
    <t>Mastercard</t>
  </si>
  <si>
    <t>Vikas Varma</t>
  </si>
  <si>
    <t>CTO India</t>
  </si>
  <si>
    <t>linkedin.com/in/vikasvarma</t>
  </si>
  <si>
    <t>Sohinder Gill</t>
  </si>
  <si>
    <t>General Manager, India</t>
  </si>
  <si>
    <t>sohinder@gmail.com</t>
  </si>
  <si>
    <t>https://www.linkedin.com/in/somnathmeher/</t>
  </si>
  <si>
    <t>vikas_varma@mastercard.com</t>
  </si>
  <si>
    <t>varmavix@gmail.com</t>
  </si>
  <si>
    <t>American Express</t>
  </si>
  <si>
    <t xml:space="preserve"> Radhakrishnan</t>
  </si>
  <si>
    <t>Vice President and Head</t>
  </si>
  <si>
    <t>linkedin.com/in/radhakrishnan-g-7111515</t>
  </si>
  <si>
    <t>somnathmeher@gmail.com</t>
  </si>
  <si>
    <t>smeher@zynga.com</t>
  </si>
  <si>
    <t>akashthematrix@gmail.com</t>
  </si>
  <si>
    <t>radhakrishnan.g@americanexpress.com</t>
  </si>
  <si>
    <t>radkrish_76@yahoo.com</t>
  </si>
  <si>
    <t>Bloomberg</t>
  </si>
  <si>
    <t>Rohan Bhindwale</t>
  </si>
  <si>
    <t>Head of India Engineering</t>
  </si>
  <si>
    <t>linkedin.com/in/rohan-bhindwale</t>
  </si>
  <si>
    <t>Gaurav Singh</t>
  </si>
  <si>
    <t>Director - Product &amp; Growth</t>
  </si>
  <si>
    <t>https://www.linkedin.com/in/gauravsingh241/</t>
  </si>
  <si>
    <t>rbhindwale@bloomberg.net</t>
  </si>
  <si>
    <t>rohanbhindwale@gmail.com</t>
  </si>
  <si>
    <t>Siemens</t>
  </si>
  <si>
    <t>Sunil Mathur</t>
  </si>
  <si>
    <t>MD &amp; India Tech Lead</t>
  </si>
  <si>
    <t>linkedin.com/in/sunil-mathur</t>
  </si>
  <si>
    <t>gauravsingh1984@gmail.com</t>
  </si>
  <si>
    <t>gauravsingh@adobe.com</t>
  </si>
  <si>
    <t>Revolt Motors</t>
  </si>
  <si>
    <t>Tushar Mehta</t>
  </si>
  <si>
    <t>Hero MotoCorp</t>
  </si>
  <si>
    <t>sunil.mathur@siemens.com</t>
  </si>
  <si>
    <t>nmunjal@heroeco.com</t>
  </si>
  <si>
    <t>Bosch</t>
  </si>
  <si>
    <t>Guru Mallikarjuna</t>
  </si>
  <si>
    <t>CTO Bosch India</t>
  </si>
  <si>
    <t>linkedin.com/in/guru-mallikarjuna-8054b82</t>
  </si>
  <si>
    <t>Remitly</t>
  </si>
  <si>
    <t>Ankur Sinha</t>
  </si>
  <si>
    <t>https://www.linkedin.com/in/ankursi/</t>
  </si>
  <si>
    <t>guru.mallikarjuna@bosch.com</t>
  </si>
  <si>
    <t>ABB</t>
  </si>
  <si>
    <t>Sanjeev Sharma</t>
  </si>
  <si>
    <t>Country Head &amp; Tech Oversight</t>
  </si>
  <si>
    <t>linkedin.com/in/sanjeev-sharma-5b47a010</t>
  </si>
  <si>
    <t>sinha.ankur@gmail.com</t>
  </si>
  <si>
    <t>ankurs@remitly.com</t>
  </si>
  <si>
    <t>NueGo</t>
  </si>
  <si>
    <t>Niranjan Gupta</t>
  </si>
  <si>
    <t>sanjeev.sharmalvs@gmail.com</t>
  </si>
  <si>
    <t>sanjeevsharmalvs@gmail.com</t>
  </si>
  <si>
    <t>niranjan.gupta@unilever.com</t>
  </si>
  <si>
    <t>Schneider Electric</t>
  </si>
  <si>
    <t>CEO &amp; Tech Leader India</t>
  </si>
  <si>
    <t>linkedin.com/in/deepak-sharma-41b0079</t>
  </si>
  <si>
    <t>Secmol</t>
  </si>
  <si>
    <t>Sonam Wangchuk</t>
  </si>
  <si>
    <t>deepak.sharma@se.com</t>
  </si>
  <si>
    <t>sonam@hial.edu.in, officeofsw@gmail.com</t>
  </si>
  <si>
    <t>Arghyam Foundation</t>
  </si>
  <si>
    <t>GE Digital</t>
  </si>
  <si>
    <t>Anuj Sharma</t>
  </si>
  <si>
    <t>Sampath Kumar</t>
  </si>
  <si>
    <t>linkedin.com/in/adilrehan</t>
  </si>
  <si>
    <t>https://www.linkedin.com/in/anuj-sharma-a9360b18/</t>
  </si>
  <si>
    <t>Raj Rajamani</t>
  </si>
  <si>
    <t>https://www.linkedin.com/in/rajamani/</t>
  </si>
  <si>
    <t>adilrehan@yahoo.com</t>
  </si>
  <si>
    <t>https://www.linkedin.com/in/siddharth-mahanot-a887253/</t>
  </si>
  <si>
    <t>prathamanuj@gmail.com</t>
  </si>
  <si>
    <t>raj.rajamani@gmail.com</t>
  </si>
  <si>
    <t>Teach For India</t>
  </si>
  <si>
    <t>raj.rajamani@crowdstrike.com</t>
  </si>
  <si>
    <t>Shaheen Mistri</t>
  </si>
  <si>
    <t>Chrysalis</t>
  </si>
  <si>
    <t>Chitra Ravi</t>
  </si>
  <si>
    <t>Philips</t>
  </si>
  <si>
    <t>Bharath Sesha</t>
  </si>
  <si>
    <t>CTO Philips Innovation Campus</t>
  </si>
  <si>
    <t>https://www.linkedin.com/in/chitraravi/</t>
  </si>
  <si>
    <t>Honeywell</t>
  </si>
  <si>
    <t>Ashish Modi</t>
  </si>
  <si>
    <t>CTO Honeywell India</t>
  </si>
  <si>
    <t>linkedin.com/in/ashish-modi-27504a2</t>
  </si>
  <si>
    <t>chitra@ezvidya.com</t>
  </si>
  <si>
    <t>chitra@chrysalis.world</t>
  </si>
  <si>
    <t>ashish.modi@honeywell.com</t>
  </si>
  <si>
    <t>UN Environment Programme</t>
  </si>
  <si>
    <t>Dia Mirza</t>
  </si>
  <si>
    <t>Public Figure</t>
  </si>
  <si>
    <t>Ericsson</t>
  </si>
  <si>
    <t>Environmental Campaigns</t>
  </si>
  <si>
    <t>Nitin Bansal</t>
  </si>
  <si>
    <t>Jackie Shroff</t>
  </si>
  <si>
    <t>MD &amp; CTO India</t>
  </si>
  <si>
    <t>linkedin.com/in/nitinbansal70</t>
  </si>
  <si>
    <t>Satyamev Jayate</t>
  </si>
  <si>
    <t>Aamir Khan</t>
  </si>
  <si>
    <t>Convergence Energy Services Ltd</t>
  </si>
  <si>
    <t>Mahua Acharya</t>
  </si>
  <si>
    <t>nitin.bansal@ericsson.com</t>
  </si>
  <si>
    <t>bansal.nitin@chicagobooth.edu</t>
  </si>
  <si>
    <t>nbansal2@gmail.com</t>
  </si>
  <si>
    <t>International Solar Alliance</t>
  </si>
  <si>
    <t>Ajay Mathur</t>
  </si>
  <si>
    <t>Director General</t>
  </si>
  <si>
    <t>Tata Power</t>
  </si>
  <si>
    <t>Nokia</t>
  </si>
  <si>
    <t>https://www.linkedin.com/in/tarunkatiyar-tata/</t>
  </si>
  <si>
    <t>Tarun Chhabra</t>
  </si>
  <si>
    <t>Nitin Arora</t>
  </si>
  <si>
    <t>linkedin.com/in/tarun-chhabra-7296373</t>
  </si>
  <si>
    <t>https://www.linkedin.com/in/nitin-arora-nitin/</t>
  </si>
  <si>
    <t>tarun.chhabra@nokia.com</t>
  </si>
  <si>
    <t>JP Morgan Chase</t>
  </si>
  <si>
    <t>tarun.katiyar@tatapower-ddl.com</t>
  </si>
  <si>
    <t>Ravi Pasupuleti</t>
  </si>
  <si>
    <t>tkatiyar@gmail.com</t>
  </si>
  <si>
    <t>Managing Director, Global Technology</t>
  </si>
  <si>
    <t>linkedin.com/in/ravi-pasupuleti-2b91a16</t>
  </si>
  <si>
    <t>nitinarora_bit@yahoo.co.in</t>
  </si>
  <si>
    <t>nitinarora@salesforce.com</t>
  </si>
  <si>
    <t>ravi.pasupuleti@jpmchase.com</t>
  </si>
  <si>
    <t>Anand Gupta</t>
  </si>
  <si>
    <t>India Tech Head</t>
  </si>
  <si>
    <t>linkedin.com/in/anandguptags</t>
  </si>
  <si>
    <t>https://www.linkedin.com/in/nikhilkamathcio/</t>
  </si>
  <si>
    <t>Boomi</t>
  </si>
  <si>
    <t>anand.gupta@gs.com</t>
  </si>
  <si>
    <t>nikhil@gruhas.com</t>
  </si>
  <si>
    <t>Ed Macosky</t>
  </si>
  <si>
    <t>Morgan Stanley</t>
  </si>
  <si>
    <t>nikhil@truebeacon.com</t>
  </si>
  <si>
    <t>Aparna M</t>
  </si>
  <si>
    <t>Director, Tech</t>
  </si>
  <si>
    <t>https://www.linkedin.com/in/emacosky/</t>
  </si>
  <si>
    <t>linkedin.com/in/aparna-rm</t>
  </si>
  <si>
    <t>raparna@morganstanley.com</t>
  </si>
  <si>
    <t>aparnamane1998@gmail.com</t>
  </si>
  <si>
    <t>aparnacode98@gmail.com</t>
  </si>
  <si>
    <t>emacosky@gmail.com</t>
  </si>
  <si>
    <t>Venugopal Murali Prabhu</t>
  </si>
  <si>
    <t>MD Technology – India</t>
  </si>
  <si>
    <t>linkedin.com/in/mvenugopal</t>
  </si>
  <si>
    <t>Marico</t>
  </si>
  <si>
    <t>Harsh Mariwala</t>
  </si>
  <si>
    <t xml:space="preserve">Director   </t>
  </si>
  <si>
    <t>https://www.linkedin.com/in/rishabhmariwala/</t>
  </si>
  <si>
    <t>venugopal.prabhu@accenture.com</t>
  </si>
  <si>
    <t>mvenugopal21@gmail.com</t>
  </si>
  <si>
    <t>Samsung Electronics</t>
  </si>
  <si>
    <t>Kyungyun Roo</t>
  </si>
  <si>
    <t>President – Samsung R&amp;D India</t>
  </si>
  <si>
    <t>linkedin.com/in/kyroo</t>
  </si>
  <si>
    <t>rishabh@sharrpventures.com</t>
  </si>
  <si>
    <t>Samsara</t>
  </si>
  <si>
    <t>rishabhm@marico.com</t>
  </si>
  <si>
    <t>rmariwala@gmail.com</t>
  </si>
  <si>
    <r>
      <rPr>
        <color rgb="FF000000"/>
        <sz val="10.0"/>
      </rPr>
      <t>Kiren Sekar</t>
    </r>
  </si>
  <si>
    <t>Sony Group</t>
  </si>
  <si>
    <t>Sunil Nayyar</t>
  </si>
  <si>
    <t>President – Sony India (Tech oversight)</t>
  </si>
  <si>
    <t>linkedin.com/in/sunil-nayyar-a769831</t>
  </si>
  <si>
    <t>Co-founder Infosys</t>
  </si>
  <si>
    <t>priyankasunil@gmail.com</t>
  </si>
  <si>
    <t>Panasonic</t>
  </si>
  <si>
    <t>Chairman – Panasonic India</t>
  </si>
  <si>
    <t>linkedin.com/in/manishsharmapanasonic</t>
  </si>
  <si>
    <t>ISKCON</t>
  </si>
  <si>
    <t>Gaur Gopal Das</t>
  </si>
  <si>
    <t>Speaker</t>
  </si>
  <si>
    <t>https://www.linkedin.com/in/gaurgopald/</t>
  </si>
  <si>
    <t>sharma.manish@jp.panasonic.com, smanish1972@gmail.com</t>
  </si>
  <si>
    <t>LG Electronics</t>
  </si>
  <si>
    <t>Hong Ju Jeon</t>
  </si>
  <si>
    <t>Managing Director – LG India</t>
  </si>
  <si>
    <t>Hitachi</t>
  </si>
  <si>
    <t>Venu Nuguri</t>
  </si>
  <si>
    <t>MD &amp; CEO – Hitachi India</t>
  </si>
  <si>
    <t>linkedin.com/in/n-venu-hitachi-energy</t>
  </si>
  <si>
    <t>sevendec@gmail.com</t>
  </si>
  <si>
    <t>venunuguri@gmail.com, n.venu@hitachienergy.com</t>
  </si>
  <si>
    <t>NEC Corporation</t>
  </si>
  <si>
    <t>Atul Karadekar</t>
  </si>
  <si>
    <t>linkedin.com/in/alok-srivastava-95ab424</t>
  </si>
  <si>
    <t>Brahma Kumaris</t>
  </si>
  <si>
    <t>BK Shivani</t>
  </si>
  <si>
    <t>alok.srivastava@nechclst.in, alok1srivastava@gmail.com</t>
  </si>
  <si>
    <t>DRDO</t>
  </si>
  <si>
    <t>Mitsubishi Electric</t>
  </si>
  <si>
    <t>Dr Tessy Thomas</t>
  </si>
  <si>
    <t>Pramod Arora</t>
  </si>
  <si>
    <t>Scientist</t>
  </si>
  <si>
    <t>India Systems &amp; R&amp;D Head</t>
  </si>
  <si>
    <t>linkedin.com/in/parmod-arora-mitsubishi</t>
  </si>
  <si>
    <t>REAR (Renewable Energy Association of Rajasthan)</t>
  </si>
  <si>
    <t>Ajay Yadav</t>
  </si>
  <si>
    <t>parmod@mitsubishielectric.in, arorapk1967@yahoo.com</t>
  </si>
  <si>
    <t>Infineon Technologies</t>
  </si>
  <si>
    <t>https://www.linkedin.com/in/ajay-yadav-solar/</t>
  </si>
  <si>
    <t>CS Chua</t>
  </si>
  <si>
    <t>https://www.linkedin.com/in/kirensekar/</t>
  </si>
  <si>
    <t>President – Infineon India</t>
  </si>
  <si>
    <t>linkedin.com/in/c-s-chua</t>
  </si>
  <si>
    <t>cs.chua@infineon.com, chua6517@gmail.com</t>
  </si>
  <si>
    <t>Micron Technology</t>
  </si>
  <si>
    <t>Sanjay Mehrotra</t>
  </si>
  <si>
    <t>President – Micron India</t>
  </si>
  <si>
    <t>linkedin.com/in/sanjay-mehrotra</t>
  </si>
  <si>
    <t>9958582628, +918299519741</t>
  </si>
  <si>
    <t>ajayupes@gmail.com</t>
  </si>
  <si>
    <t>kirensekar@gmail.com</t>
  </si>
  <si>
    <t>itsajayadav@gmail.com</t>
  </si>
  <si>
    <t>kiren.sekar@samsara.com</t>
  </si>
  <si>
    <t>smehrotra@micron.com, smehrotra@cox.net</t>
  </si>
  <si>
    <t>Texas Instruments</t>
  </si>
  <si>
    <t>Managing Director – TI India</t>
  </si>
  <si>
    <t>linkedin.com/in/santhosh-kumar-ba34877</t>
  </si>
  <si>
    <t>Spark Solar Solutions</t>
  </si>
  <si>
    <t>sant@ti.com</t>
  </si>
  <si>
    <t>STMicroelectronics</t>
  </si>
  <si>
    <t>Shaik Mahafooz</t>
  </si>
  <si>
    <t>Ashok Jain</t>
  </si>
  <si>
    <t>VP &amp; MD India</t>
  </si>
  <si>
    <t>linkedin.com/in/ashok-jain-1a1b676</t>
  </si>
  <si>
    <t>Karthik Narain</t>
  </si>
  <si>
    <t>CP&amp;BO</t>
  </si>
  <si>
    <t>https://www.linkedin.com/in/karthik-narain/</t>
  </si>
  <si>
    <t>ashokjaininc@gmail.com</t>
  </si>
  <si>
    <t>Lam Research</t>
  </si>
  <si>
    <t>Sesha Varadarajan</t>
  </si>
  <si>
    <t>https://www.linkedin.com/in/shaik-mahafooz-4295a6256/</t>
  </si>
  <si>
    <t>linkedin.com/in/sesha-varadarajan-742b011</t>
  </si>
  <si>
    <t>karthiknarain@gmail.com</t>
  </si>
  <si>
    <t>sesha.varadarajan@lamresearch.com</t>
  </si>
  <si>
    <t>Applied Materials</t>
  </si>
  <si>
    <t>Pankaj Saxena</t>
  </si>
  <si>
    <t>VP Engineering India</t>
  </si>
  <si>
    <t>linkedin.com/in/pankaj-saxena-9882347</t>
  </si>
  <si>
    <t>Chitra Sood</t>
  </si>
  <si>
    <t xml:space="preserve">Director, Product Operations </t>
  </si>
  <si>
    <t>https://www.linkedin.com/in/chitra-sood-973a834/</t>
  </si>
  <si>
    <t>pankaj_sysman@yahoo.com, pankaj.saxena@nielsen.com</t>
  </si>
  <si>
    <t>KLA Corporation</t>
  </si>
  <si>
    <t>Ram Joshi</t>
  </si>
  <si>
    <t>VP Engineering – India</t>
  </si>
  <si>
    <t>linkedin.com/in/pramach2</t>
  </si>
  <si>
    <t>mahafoozworkinbox@gmail.com</t>
  </si>
  <si>
    <t>mahafooz@sparksolarsolutions.in</t>
  </si>
  <si>
    <t>pradeep.ramachandran@kla-tencor.com</t>
  </si>
  <si>
    <t>Red Hat</t>
  </si>
  <si>
    <t>Ashesh Badani</t>
  </si>
  <si>
    <t>csood@ideassansideology.org</t>
  </si>
  <si>
    <t>SVP Engineering</t>
  </si>
  <si>
    <t>linkedin.com/in/asheshbadani</t>
  </si>
  <si>
    <t>chitra_sood@hotmail.com</t>
  </si>
  <si>
    <r>
      <rPr>
        <rFont val="&quot;Google Sans&quot;, Roboto, Arial, sans-serif"/>
        <b/>
        <color rgb="FF1155CC"/>
        <sz val="12.0"/>
        <u/>
      </rPr>
      <t>Hema Budaraju</t>
    </r>
  </si>
  <si>
    <t>First Energy</t>
  </si>
  <si>
    <t>abadani@redhat.com</t>
  </si>
  <si>
    <t>Mahesh Yagnaraman</t>
  </si>
  <si>
    <t>Nutanix</t>
  </si>
  <si>
    <t>Co-founder and Director</t>
  </si>
  <si>
    <t>Rajiv Ramaswami</t>
  </si>
  <si>
    <t>CEO (India Engineering Oversight)</t>
  </si>
  <si>
    <t>https://www.linkedin.com/in/maheshyagna/</t>
  </si>
  <si>
    <t>linkedin.com/in/rajiv-ramaswami-b365704</t>
  </si>
  <si>
    <t>rr@nutanix.com</t>
  </si>
  <si>
    <t>Synopsys</t>
  </si>
  <si>
    <t>Shankar Krishnamoorthy</t>
  </si>
  <si>
    <t>GM – India R&amp;D</t>
  </si>
  <si>
    <t>linkedin.com/in/shankar-krishnamoorthy-614ab6</t>
  </si>
  <si>
    <t>yagnaramans@gmail.com</t>
  </si>
  <si>
    <t>maheshyagna@me.com</t>
  </si>
  <si>
    <t>edashankar@gmail.com</t>
  </si>
  <si>
    <t>Cadence Design Systems</t>
  </si>
  <si>
    <t>Anirudh Devgan</t>
  </si>
  <si>
    <t>linkedin.com/in/devgan</t>
  </si>
  <si>
    <t>anirudhdevgan@gmail.com</t>
  </si>
  <si>
    <t>Electronic Arts</t>
  </si>
  <si>
    <t>Maya Rajan</t>
  </si>
  <si>
    <t>linkedin.com/in/ankur-anand-01825621</t>
  </si>
  <si>
    <t>Apollo Hospitals</t>
  </si>
  <si>
    <t>VP, Product Management</t>
  </si>
  <si>
    <t>Preetha Reddy</t>
  </si>
  <si>
    <t>https://www.linkedin.com/in/hemabudaraju/</t>
  </si>
  <si>
    <t>Vice Chairperson</t>
  </si>
  <si>
    <t>ankur13anand@gmail.com, dnanarukna@gmail.com</t>
  </si>
  <si>
    <t>https://www.linkedin.com/in/preetha-reddy/?originalSubdomain=in</t>
  </si>
  <si>
    <t>Wise</t>
  </si>
  <si>
    <t>Harsh Sinha</t>
  </si>
  <si>
    <t>linkedin.com/in/hasinha</t>
  </si>
  <si>
    <t>hema.budaraju@gmail.com</t>
  </si>
  <si>
    <t>hema153@yahoo.com</t>
  </si>
  <si>
    <t>harsh.sinha@transferwise.com, harshsinha@gmail.com</t>
  </si>
  <si>
    <t>Vijay Rajagopalan</t>
  </si>
  <si>
    <t>Revolut</t>
  </si>
  <si>
    <t>Head of Product &amp; Microsoft Bangalore Site Leader</t>
  </si>
  <si>
    <t xml:space="preserve">Paroma Chatterjee </t>
  </si>
  <si>
    <t>CTO &amp; CEO</t>
  </si>
  <si>
    <t>https://www.linkedin.com/in/vijayrvr/</t>
  </si>
  <si>
    <t>linkedin.com/in/paroma-chatterjee-503193</t>
  </si>
  <si>
    <t>preethareddy@apollohospitals.com</t>
  </si>
  <si>
    <t>paromachatterjee@gmail.com, paroma.chatterjee@revolut.com</t>
  </si>
  <si>
    <t>Aarti Industries</t>
  </si>
  <si>
    <t>bhaskaran rajagopalan</t>
  </si>
  <si>
    <t>vijayrvr@hotmail.com</t>
  </si>
  <si>
    <t>linkedin.com/in/bhaskaran-rajagopalan-289aa79</t>
  </si>
  <si>
    <t>vijayra@microsoft.com</t>
  </si>
  <si>
    <t>Nikhil Paruchuri</t>
  </si>
  <si>
    <t>https://www.linkedin.com/in/nikhilparuchuri/</t>
  </si>
  <si>
    <t>r_bhaski@yahoo.com, bhaskaran.rajagopalan@aarti-industries.com</t>
  </si>
  <si>
    <t>Tetr &amp; Masters’ Union</t>
  </si>
  <si>
    <t xml:space="preserve">Pratham Mittal </t>
  </si>
  <si>
    <t>linkedin.com/in/prathammittal</t>
  </si>
  <si>
    <t>Metropolis Healthcare Limited</t>
  </si>
  <si>
    <t>pratham@mastersunion.org, doscopratham@gmail.com</t>
  </si>
  <si>
    <t>pnikhil@gmail.com</t>
  </si>
  <si>
    <t>ADL</t>
  </si>
  <si>
    <t>Satya Easwaran</t>
  </si>
  <si>
    <t>linkedin.com/in/satya-easwaran-7292071</t>
  </si>
  <si>
    <t>Ameera Shah</t>
  </si>
  <si>
    <t>Mitesh Kumar</t>
  </si>
  <si>
    <t>https://www.linkedin.com/in/ameerashah/?originalSubdomain=in</t>
  </si>
  <si>
    <t>https://www.linkedin.com/in/mitesh-kumar-3bbb5030/</t>
  </si>
  <si>
    <t>satya@amplinth.ai, esatya@gmail.com</t>
  </si>
  <si>
    <t>Metadome.ai</t>
  </si>
  <si>
    <t>Mohit Malik</t>
  </si>
  <si>
    <t>linkedin.com/in/mohit-malik-9a658a136</t>
  </si>
  <si>
    <t>mitesh.kumar1@gmail.com</t>
  </si>
  <si>
    <t>md.office@metropolisindia.com</t>
  </si>
  <si>
    <t>Vikram Deshpande</t>
  </si>
  <si>
    <t>mohit@thb.co.in, 1988malik@gmail.com</t>
  </si>
  <si>
    <t>Director- PM</t>
  </si>
  <si>
    <t>https://www.linkedin.com/in/vikram-deshpande-ab564310/</t>
  </si>
  <si>
    <t>Airbus</t>
  </si>
  <si>
    <t xml:space="preserve">Siddharth Balachandran </t>
  </si>
  <si>
    <t>linkedin.com/in/siddharth-balachandran</t>
  </si>
  <si>
    <t>Biological E. LTD</t>
  </si>
  <si>
    <t>Mahima Datla</t>
  </si>
  <si>
    <t>siddharth.balachandran@airbus.com</t>
  </si>
  <si>
    <t>vik.desh@gmail.com</t>
  </si>
  <si>
    <t>Sr. Vice President</t>
  </si>
  <si>
    <t>Alstom</t>
  </si>
  <si>
    <t>https://www.linkedin.com/in/mahima-datla-41a18827/?originalSubdomain=in</t>
  </si>
  <si>
    <t>Anand Bhardwaj</t>
  </si>
  <si>
    <t>Meta</t>
  </si>
  <si>
    <t>India Head - Train System</t>
  </si>
  <si>
    <t>linkedin.com/in/anand-bhardwaj-131b186</t>
  </si>
  <si>
    <t>Vishal Shah</t>
  </si>
  <si>
    <t>VP, AI Products</t>
  </si>
  <si>
    <t>https://www.linkedin.com/in/vishalnshah/</t>
  </si>
  <si>
    <t>anand.bhardwaj@alstom.com</t>
  </si>
  <si>
    <t>Amplus Solar</t>
  </si>
  <si>
    <t>Sharad Pungalia</t>
  </si>
  <si>
    <t>Senior VP</t>
  </si>
  <si>
    <t>mdatla@biologicale.com</t>
  </si>
  <si>
    <t>linkedin.com/in/sharad-pungalia-40249b16</t>
  </si>
  <si>
    <t>mahidatla@hotmail.com</t>
  </si>
  <si>
    <t>vshah@cal.berkeley.edu</t>
  </si>
  <si>
    <t>sharad.p@gentari.com</t>
  </si>
  <si>
    <t>AppDynamic</t>
  </si>
  <si>
    <t>Piramal Enterprises Limited</t>
  </si>
  <si>
    <t xml:space="preserve">Pratik Kumar </t>
  </si>
  <si>
    <t>Swati Piramal</t>
  </si>
  <si>
    <t>linkedin.com/in/pratik-kumar-a07185b</t>
  </si>
  <si>
    <t>https://www.linkedin.com/in/drswatipiramal/?originalSubdomain=in</t>
  </si>
  <si>
    <t>pratik@appdynamic.com</t>
  </si>
  <si>
    <t>Spotify</t>
  </si>
  <si>
    <t>Aria Matrix</t>
  </si>
  <si>
    <t>Pulkit Mathur</t>
  </si>
  <si>
    <t>Umesh Shanghvi</t>
  </si>
  <si>
    <t>Head - Innovation &amp; Technology Development</t>
  </si>
  <si>
    <t>linkedin.com/in/umesh-shanghvi-571a3274</t>
  </si>
  <si>
    <t>Head - Product and Growth</t>
  </si>
  <si>
    <t>https://www.linkedin.com/in/pulkitmathur0104/</t>
  </si>
  <si>
    <t>swati.piramal@piramal.com</t>
  </si>
  <si>
    <t>umesh.shanghvi@airamatrix.com, umesh.shanghvi@gmail.com</t>
  </si>
  <si>
    <t xml:space="preserve"> McKinsey</t>
  </si>
  <si>
    <t xml:space="preserve">Sumit S </t>
  </si>
  <si>
    <t>Partner</t>
  </si>
  <si>
    <t>linkedin.com/in/sumitcan</t>
  </si>
  <si>
    <t>Portea medical</t>
  </si>
  <si>
    <t>Meena Ganesh</t>
  </si>
  <si>
    <t>Chairperson of the Board</t>
  </si>
  <si>
    <t>https://www.linkedin.com/in/meena-ganesh-9460795/?originalSubdomain=in</t>
  </si>
  <si>
    <t>pulkitmathur.mnnit@gmail.com</t>
  </si>
  <si>
    <t>sumit_s@mckinsey.com, sumitcan@gmail.com</t>
  </si>
  <si>
    <t>Multiples Alternate Asset Management</t>
  </si>
  <si>
    <t>Renuka Ramnath</t>
  </si>
  <si>
    <t>Founder, MD and CEO</t>
  </si>
  <si>
    <t>linkedin.com/in/renukaramnath</t>
  </si>
  <si>
    <t>meena.ganesh@portea.com</t>
  </si>
  <si>
    <t>meena_ganesh2002@yahoo.com</t>
  </si>
  <si>
    <t>renuka.linkedin@multiplesequity.com, renuka.r@icicibank.com</t>
  </si>
  <si>
    <t>Sachin Kansal</t>
  </si>
  <si>
    <t>Arth Design</t>
  </si>
  <si>
    <t>Abhishek Sinha</t>
  </si>
  <si>
    <t>Niramai Health Analytix</t>
  </si>
  <si>
    <t>linkedin.com/in/abhishek-sinha-bgl</t>
  </si>
  <si>
    <t>Geetha Manjunath</t>
  </si>
  <si>
    <t>abhishek.sinha4@gmail.com, abhishek@arth.us.com, abhisheksinha4@gmail.com</t>
  </si>
  <si>
    <t>https://www.linkedin.com/in/geetha-manjunath-82b8058/?originalSubdomain=in</t>
  </si>
  <si>
    <t>Avery Dennison</t>
  </si>
  <si>
    <t>Axtria</t>
  </si>
  <si>
    <t>Jaswinder Chadha</t>
  </si>
  <si>
    <t xml:space="preserve">President &amp; CEO </t>
  </si>
  <si>
    <t>linkedin.com/in/jchadha</t>
  </si>
  <si>
    <t>jchadha@gmail.com, jchadha@axtria.com, jchadha@yahoo.com</t>
  </si>
  <si>
    <t>Axxela</t>
  </si>
  <si>
    <t>Nikhil Somani</t>
  </si>
  <si>
    <t>geetha@niramai.com</t>
  </si>
  <si>
    <t>linkedin.com/in/nikhil-somani-00441b6</t>
  </si>
  <si>
    <t>geethamhp@gmail.com</t>
  </si>
  <si>
    <t>https://www.linkedin.com/in/sachinkansal/</t>
  </si>
  <si>
    <t>nikhilsomanisrcc@gmail.com, nikhil.somani@axxela.in</t>
  </si>
  <si>
    <t>Bajaj Auto</t>
  </si>
  <si>
    <t xml:space="preserve">Ramtilak Ananthan </t>
  </si>
  <si>
    <t>linkedin.com/in/ramtilak-ananthan-ab56994</t>
  </si>
  <si>
    <t>Lyfboat</t>
  </si>
  <si>
    <t>ramtilak@bajajauto.co.in</t>
  </si>
  <si>
    <t>Mitika Gupta</t>
  </si>
  <si>
    <t>Wells Fargo</t>
  </si>
  <si>
    <t>Sashank Bojja</t>
  </si>
  <si>
    <t>sachinkansal@hotmail.com</t>
  </si>
  <si>
    <t xml:space="preserve">Executive Director - CTO </t>
  </si>
  <si>
    <t>https://www.linkedin.com/in/mitika-gupta-9373531/</t>
  </si>
  <si>
    <t>linkedin.com/in/sashankbojja</t>
  </si>
  <si>
    <t>sachin@uber.com</t>
  </si>
  <si>
    <t>sashank.bojja@wellsfargo.com</t>
  </si>
  <si>
    <t>Bidgely</t>
  </si>
  <si>
    <t>Vivek Garud</t>
  </si>
  <si>
    <t>linkedin.com/in/vgarud</t>
  </si>
  <si>
    <t>mitika.gupta@lyfboat.com</t>
  </si>
  <si>
    <t>mitika.gupta@gmail.com</t>
  </si>
  <si>
    <t>vgarud@bidgely.com, vgarud@gmail.com</t>
  </si>
  <si>
    <t>Blue Yonder</t>
  </si>
  <si>
    <t xml:space="preserve">Ravikumar Beli </t>
  </si>
  <si>
    <t>Sindhu Gangadharan</t>
  </si>
  <si>
    <t>linkedin.com/in/ravikumar-beli-9273b51a</t>
  </si>
  <si>
    <t>SVP</t>
  </si>
  <si>
    <t>https://www.linkedin.com/in/sindhugangadharan/?originalSubdomain=in</t>
  </si>
  <si>
    <t>ravikumar.beli@blueyonder.com, ravikumar.beli@pgcdigital.ai, ravibeli@gmail.com</t>
  </si>
  <si>
    <t>Bridge i2i</t>
  </si>
  <si>
    <t>Pritam Kanti Paul</t>
  </si>
  <si>
    <t>linkedin.com/in/pritam-kanti-paul-49b7544</t>
  </si>
  <si>
    <t>sindhu.gangadharan@sap.com</t>
  </si>
  <si>
    <t>paul@accenture.com, polupal@yahoo.com</t>
  </si>
  <si>
    <t>sindhu_gangadharan@yahoo.com</t>
  </si>
  <si>
    <t>C2L Biz</t>
  </si>
  <si>
    <t>Caterpillar</t>
  </si>
  <si>
    <t>Ceremorphic</t>
  </si>
  <si>
    <t>Chadha &amp; Chadha</t>
  </si>
  <si>
    <t>Chowgule &amp; Co</t>
  </si>
  <si>
    <t>Citi</t>
  </si>
  <si>
    <t>Amin Kasmani</t>
  </si>
  <si>
    <t>Director, Board Member</t>
  </si>
  <si>
    <t>linkedin.com/in/amin-kasmani-6279681b</t>
  </si>
  <si>
    <t>Adiuvo Diagnostics Pvt. Ltd.</t>
  </si>
  <si>
    <t>Geethanjali Radhakrishnan</t>
  </si>
  <si>
    <t>Founder and MD</t>
  </si>
  <si>
    <t>https://www.linkedin.com/in/geethanjali-radhakrishnan-47b26a35/?originalSubdomain=in</t>
  </si>
  <si>
    <t>President, CPO, and COO</t>
  </si>
  <si>
    <t>amin.kasmani@citigroup.com</t>
  </si>
  <si>
    <t>https://www.linkedin.com/in/amitzavery/</t>
  </si>
  <si>
    <t>Citrix Systems</t>
  </si>
  <si>
    <t>Cohesity</t>
  </si>
  <si>
    <t>Deskera</t>
  </si>
  <si>
    <t>Dr Reddy’s</t>
  </si>
  <si>
    <t>E-Ring</t>
  </si>
  <si>
    <t>geethanjali@adiuvodiagnostics.com</t>
  </si>
  <si>
    <t>geethanjali@auxilliumhealth.ai</t>
  </si>
  <si>
    <t>Ekanek</t>
  </si>
  <si>
    <t>bioe.geethanjali@gmail.com</t>
  </si>
  <si>
    <t>Enphase</t>
  </si>
  <si>
    <t>EY GDS</t>
  </si>
  <si>
    <t>Fargey</t>
  </si>
  <si>
    <t>FCS Software</t>
  </si>
  <si>
    <t>FN MathLogic</t>
  </si>
  <si>
    <t>GE EDP</t>
  </si>
  <si>
    <t>Babblebots.ai</t>
  </si>
  <si>
    <t>azavery@gmail.com</t>
  </si>
  <si>
    <t>Green Point Technology</t>
  </si>
  <si>
    <t>Haber</t>
  </si>
  <si>
    <t>IARC</t>
  </si>
  <si>
    <t>IIFL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</si>
  <si>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Roli Gupta</t>
    </r>
  </si>
  <si>
    <t>Innoplexus</t>
  </si>
  <si>
    <t>Jalan</t>
  </si>
  <si>
    <t>Jaguar Land Rover</t>
  </si>
  <si>
    <t>Khurana &amp; Khurana</t>
  </si>
  <si>
    <t>Konica Minolta</t>
  </si>
  <si>
    <t>Saurabh Srivastava</t>
  </si>
  <si>
    <t>L&amp;T Infotech</t>
  </si>
  <si>
    <t>https://www.linkedin.com/in/rolig/?originalSubdomain=in</t>
  </si>
  <si>
    <t>Sr. Vice President and Head of Product</t>
  </si>
  <si>
    <t>Leam</t>
  </si>
  <si>
    <t>https://www.linkedin.com/in/saurabh514/?originalSubdomain=in</t>
  </si>
  <si>
    <t>Legato</t>
  </si>
  <si>
    <t>Loadshare</t>
  </si>
  <si>
    <t>Lumenci</t>
  </si>
  <si>
    <t>Maco Corp</t>
  </si>
  <si>
    <t>roli@babblebots.ai</t>
  </si>
  <si>
    <t>Mareana</t>
  </si>
  <si>
    <t>roli.gupta@gmail.com</t>
  </si>
  <si>
    <t>Mentor Graphics</t>
  </si>
  <si>
    <t>MTX</t>
  </si>
  <si>
    <t>MX Player</t>
  </si>
  <si>
    <t>Karan Bedi</t>
  </si>
  <si>
    <t>saurabhitbhu2k@gmail.com</t>
  </si>
  <si>
    <t>Director &amp; Head</t>
  </si>
  <si>
    <t>saurabh.srivastava@makemytrip.com</t>
  </si>
  <si>
    <t>linkedin.com/in/karanbedi</t>
  </si>
  <si>
    <t>Shell Group of Companies India</t>
  </si>
  <si>
    <t>Mansi Tripathy</t>
  </si>
  <si>
    <t>https://www.linkedin.com/in/mansi-tripathy-37063b1/</t>
  </si>
  <si>
    <t>karan@contentflow.in</t>
  </si>
  <si>
    <t>Nagarro</t>
  </si>
  <si>
    <t>Naveen Fluorine</t>
  </si>
  <si>
    <t>mansi.tripathy@shell.com</t>
  </si>
  <si>
    <t>Nomura</t>
  </si>
  <si>
    <t>mansi.tripathy@gmail.com</t>
  </si>
  <si>
    <t>Murali Kaundinya</t>
  </si>
  <si>
    <t>Sudhir Mani</t>
  </si>
  <si>
    <t>linkedin.com/in/muralikaundinya</t>
  </si>
  <si>
    <t>https://www.linkedin.com/in/sudhirsmani/?originalSubdomain=in</t>
  </si>
  <si>
    <t>muralikaundinya@gmail.com</t>
  </si>
  <si>
    <t>09 Solutions</t>
  </si>
  <si>
    <t>Oil India</t>
  </si>
  <si>
    <t>Dr. Ranjit Rath</t>
  </si>
  <si>
    <t>C&amp;MD</t>
  </si>
  <si>
    <t>linkedin.com/in/dr-ranjit-rath-4a577814</t>
  </si>
  <si>
    <t>https://www.linkedin.com/in/renukaramnath/?originalSubdomain=in</t>
  </si>
  <si>
    <t>sudhirsmani@gmail.com</t>
  </si>
  <si>
    <t>sudhir.mani@swiggy.in</t>
  </si>
  <si>
    <t>r.rath@eil.co.in, ranjit.rath@oilindia.in</t>
  </si>
  <si>
    <t>OnePlus</t>
  </si>
  <si>
    <t xml:space="preserve">Robin Liu </t>
  </si>
  <si>
    <t>CEO &amp; CTO</t>
  </si>
  <si>
    <t>linkedin.com/in/robin-liu-3b6100233</t>
  </si>
  <si>
    <t>renuka.ramnath@multiplesequity.com</t>
  </si>
  <si>
    <t>Aditya Mangla</t>
  </si>
  <si>
    <t>robin.liu@oneplus.com, robinliu0526@gmail.com</t>
  </si>
  <si>
    <t>CEO - Food Delivery</t>
  </si>
  <si>
    <t>https://www.linkedin.com/in/mangla/?originalSubdomain=in</t>
  </si>
  <si>
    <t>Ormae</t>
  </si>
  <si>
    <t>Dr Amit Garg</t>
  </si>
  <si>
    <t>linkedin.com/in/amitgarg78</t>
  </si>
  <si>
    <t>Josh Talks</t>
  </si>
  <si>
    <t>Supriya Paul</t>
  </si>
  <si>
    <t>https://www.linkedin.com/in/supriyapaul/?originalSubdomain=in</t>
  </si>
  <si>
    <t>a.g@mdx.ac.ae, garg78@gmail.com, amit@ormae.com</t>
  </si>
  <si>
    <t>Oskitech</t>
  </si>
  <si>
    <t>Vigyan Singhal</t>
  </si>
  <si>
    <t>linkedin.com/in/vigyansinghal</t>
  </si>
  <si>
    <t>adinsit@gmail.com</t>
  </si>
  <si>
    <t>aditya.mangla@zomato.com</t>
  </si>
  <si>
    <t>vsinghal@nvidia.com, vigyan@gmail.com</t>
  </si>
  <si>
    <t>Publicis</t>
  </si>
  <si>
    <t>Rakesh Ravuri</t>
  </si>
  <si>
    <t>linkedin.com/in/rakeshravuri</t>
  </si>
  <si>
    <t>paulsupriya93@gmail.com</t>
  </si>
  <si>
    <t>supriya.paul@joshtalks.com</t>
  </si>
  <si>
    <t>rravuri@gmail.com, rravuri@sapient.com</t>
  </si>
  <si>
    <t>Quantbox</t>
  </si>
  <si>
    <t xml:space="preserve">Pankaj Prateek Kewalramani </t>
  </si>
  <si>
    <t>Navi Technologies</t>
  </si>
  <si>
    <t>linkedin.com/in/pankajprateek</t>
  </si>
  <si>
    <t>Vaibhav Rustogi</t>
  </si>
  <si>
    <t>https://www.linkedin.com/in/vaibhavrustogi/?originalSubdomain=in</t>
  </si>
  <si>
    <t>pankaj@quantboxtrading.com, pankajprateek20@gmail.com, pankaj200292@gmail.com</t>
  </si>
  <si>
    <t>Tata Advanced Systems</t>
  </si>
  <si>
    <t>Dr. Jitendra Mohan Bhardwaj</t>
  </si>
  <si>
    <t>VLCC</t>
  </si>
  <si>
    <t>Global Business Head - IT &amp; Cyber Security</t>
  </si>
  <si>
    <t>linkedin.com/in/dr-jitendra-mohan-bhardwaj-9b2410</t>
  </si>
  <si>
    <t>Vandana Luthra</t>
  </si>
  <si>
    <t>https://www.linkedin.com/in/vandanaluthra/?originalSubdomain=in</t>
  </si>
  <si>
    <t>jitendrab@gmail.com, jitendra.mohan@niit-tech.com, dbhardwaj@tataadvancedsystems.com</t>
  </si>
  <si>
    <t>vaibhav.rustogi@navi.com</t>
  </si>
  <si>
    <t>Tata AIG</t>
  </si>
  <si>
    <t>vaibhavrustogi@gmail.com</t>
  </si>
  <si>
    <t>Tata Projects</t>
  </si>
  <si>
    <t>TCG</t>
  </si>
  <si>
    <t>TSMC</t>
  </si>
  <si>
    <t>TVS Credit</t>
  </si>
  <si>
    <t>vandana.luthra@vlccwellness.com</t>
  </si>
  <si>
    <t>Soujanya Aluri</t>
  </si>
  <si>
    <t>linkedin.com/in/soujanya-aluri-8406b266</t>
  </si>
  <si>
    <t>soujanya.aluri@tvscredit.com, alurisou@gmail.com</t>
  </si>
  <si>
    <t>TVS Motor</t>
  </si>
  <si>
    <t>Mahesh Calava</t>
  </si>
  <si>
    <t>Chief Digital &amp; AI Officer</t>
  </si>
  <si>
    <t>linkedin.com/in/maheshcalavai</t>
  </si>
  <si>
    <t>GreenCell Mobility</t>
  </si>
  <si>
    <t>Tata Neu</t>
  </si>
  <si>
    <t>mahesh@tvsmotor.com</t>
  </si>
  <si>
    <t>Ankit Goyal</t>
  </si>
  <si>
    <t>Devndra Chawla</t>
  </si>
  <si>
    <t>Valudence</t>
  </si>
  <si>
    <t>VConstruct</t>
  </si>
  <si>
    <t>https://www.linkedin.com/in/devendrachawla/?originalSubdomain=in</t>
  </si>
  <si>
    <t>https://www.linkedin.com/in/ankitgoyalnitie/?originalSubdomain=in</t>
  </si>
  <si>
    <t>Vehera</t>
  </si>
  <si>
    <t>Western Digital</t>
  </si>
  <si>
    <t>WorkApps</t>
  </si>
  <si>
    <t>ZS Associates</t>
  </si>
  <si>
    <t>Zunroof</t>
  </si>
  <si>
    <t>Sushant Sachan</t>
  </si>
  <si>
    <t>dchawla@greencellmobility.com</t>
  </si>
  <si>
    <t>linkedin.com/in/sushant-sachan-82284a4</t>
  </si>
  <si>
    <t>ankitgoyalnitkkr@gmail.com</t>
  </si>
  <si>
    <t>ankitgoyalnitie@gmail.com</t>
  </si>
  <si>
    <t>devendrachawla@rediffmail.com</t>
  </si>
  <si>
    <t xml:space="preserve">sushant.sachan@zunroof.com, sachan.sushant@gmail.com
</t>
  </si>
  <si>
    <t xml:space="preserve">State Bank of India (SBI) </t>
  </si>
  <si>
    <t>Balaji Rajagopalan</t>
  </si>
  <si>
    <t>linkedin.com/in/balaji-rajagopalan-6a1ab423</t>
  </si>
  <si>
    <t>balaji.r@sbi.co.in</t>
  </si>
  <si>
    <t>Rohil Ahmed</t>
  </si>
  <si>
    <t>Head – CS Product &amp; Technology</t>
  </si>
  <si>
    <t>https://www.linkedin.com/in/rohil-ahmed/?originalSubdomain=in</t>
  </si>
  <si>
    <t>Ajayakumar K R</t>
  </si>
  <si>
    <t>linkedin.com/in/ajayakumar-k-r-76682817</t>
  </si>
  <si>
    <t>Altigreen Propulsion Labs</t>
  </si>
  <si>
    <t>Dr. Amitabh Saran</t>
  </si>
  <si>
    <t>https://www.linkedin.com/in/saran/?originalSubdomain=in</t>
  </si>
  <si>
    <t>ajayakumar.r@bankofbaroda.com</t>
  </si>
  <si>
    <t>Canara Bank</t>
  </si>
  <si>
    <t>Deepesh Gosavi</t>
  </si>
  <si>
    <t>rohil@bigbasket.com</t>
  </si>
  <si>
    <t>linkedin.com/in/deepesh-gosavi-3438027</t>
  </si>
  <si>
    <t>deepesh.gosavi@canararobeco.com</t>
  </si>
  <si>
    <t xml:space="preserve"> Union Bank of India</t>
  </si>
  <si>
    <t>Anil Kuril</t>
  </si>
  <si>
    <t>CISO &amp; Head of DPO</t>
  </si>
  <si>
    <t>linkedin.com/in/anilkuril</t>
  </si>
  <si>
    <t>Gunjan Kumar</t>
  </si>
  <si>
    <t>amit_home2@yahoo.com</t>
  </si>
  <si>
    <t>https://www.linkedin.com/in/gunjan-kumar-56936450/?originalSubdomain=in</t>
  </si>
  <si>
    <t>amitabh.saran@altigreen.com</t>
  </si>
  <si>
    <t>anilkuril@unionbankofindia.com</t>
  </si>
  <si>
    <t xml:space="preserve"> Indian Bank</t>
  </si>
  <si>
    <t xml:space="preserve">Sathish Prabu </t>
  </si>
  <si>
    <t>linkedin.com/in/sathish-prabu-b6a1425</t>
  </si>
  <si>
    <t>gunjan.kumar@olx.in</t>
  </si>
  <si>
    <t>gunjanthere@gmail.com</t>
  </si>
  <si>
    <t>sathishprabu@igssl.co.in</t>
  </si>
  <si>
    <t>IDBI Bank</t>
  </si>
  <si>
    <t>Mohit Nanda</t>
  </si>
  <si>
    <t>linkedin.com/in/mohit-nanda-6874299</t>
  </si>
  <si>
    <t>Sohinder Singh Gill</t>
  </si>
  <si>
    <t>https://www.linkedin.com/in/sohindergill/?originalSubdomain=ca</t>
  </si>
  <si>
    <t>mohit.nanda@indusind.com, mohitbenz@yahoo.co.in</t>
  </si>
  <si>
    <t>IndusInd Bank</t>
  </si>
  <si>
    <t>Pine Labs</t>
  </si>
  <si>
    <t>Upendra Chaturvedi</t>
  </si>
  <si>
    <t>Vijeth Pandit</t>
  </si>
  <si>
    <t>linkedin.com/in/upendrachaturvedi</t>
  </si>
  <si>
    <t>https://www.linkedin.com/in/vijeth-pandit-71544516/?originalSubdomain=in</t>
  </si>
  <si>
    <t>upendra.chaturvedi@indusind.com</t>
  </si>
  <si>
    <t>Yes Bank</t>
  </si>
  <si>
    <t xml:space="preserve">Pavan Agrawal </t>
  </si>
  <si>
    <t>linkedin.com/in/pavan-agrawal-a9a8a04</t>
  </si>
  <si>
    <t>vijeth.p13@fms.edu</t>
  </si>
  <si>
    <t>pavan.agrawal@yesbank.in</t>
  </si>
  <si>
    <t>Federal Bank</t>
  </si>
  <si>
    <t>Eki Energy Services</t>
  </si>
  <si>
    <t>Sumoth C</t>
  </si>
  <si>
    <t>Fintech Partnership Head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</si>
  <si>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Manish Dabkara</t>
    </r>
  </si>
  <si>
    <t>linkedin.com/in/sumoth-c-6a8b5a9</t>
  </si>
  <si>
    <t>sumothc@federalbank.co.in</t>
  </si>
  <si>
    <t xml:space="preserve"> IDFC First Bank</t>
  </si>
  <si>
    <t>Sanjay Narkar</t>
  </si>
  <si>
    <t>linkedin.com/in/sanjay-narkar-1497271bb</t>
  </si>
  <si>
    <t>Nidhi Gupta</t>
  </si>
  <si>
    <t>https://www.linkedin.com/in/manishdabkara/</t>
  </si>
  <si>
    <t>https://www.linkedin.com/in/nidhigupta02/?originalSubdomain=in</t>
  </si>
  <si>
    <t>sanjay.n@idfcfirstbank.com</t>
  </si>
  <si>
    <t>Vijaykumar Ramakrishna</t>
  </si>
  <si>
    <t>linkedin.com/in/vijaykumar-ramakrishna-8414b7b</t>
  </si>
  <si>
    <t>md@ypo.org</t>
  </si>
  <si>
    <t>manishd@iitk.ac.in</t>
  </si>
  <si>
    <t>nidhi.gupta@phonepe.com</t>
  </si>
  <si>
    <t>vijaykumar.ramakrishna@clix.capital</t>
  </si>
  <si>
    <t>nidhi.gupta@acko.com</t>
  </si>
  <si>
    <t>Kotak Mahindra Bank</t>
  </si>
  <si>
    <t>tonidhi_gupta@yahoo.co.in</t>
  </si>
  <si>
    <t>Nish Lathia</t>
  </si>
  <si>
    <t>linkedin.com/in/nish-lathia</t>
  </si>
  <si>
    <t>lathia@gmail.com</t>
  </si>
  <si>
    <t>Axis Finance Limited</t>
  </si>
  <si>
    <t>Naval Lad</t>
  </si>
  <si>
    <t>linkedin.com/in/naval-lad-20a476aa</t>
  </si>
  <si>
    <t>Bajaj Finserv Digital</t>
  </si>
  <si>
    <t>Deepak Phadke</t>
  </si>
  <si>
    <t>Head - Digital Products</t>
  </si>
  <si>
    <t>https://www.linkedin.com/in/deepak-phadke-85401830/?originalSubdomain=in</t>
  </si>
  <si>
    <t>navalklad@gmail.com</t>
  </si>
  <si>
    <t>Axis Bank</t>
  </si>
  <si>
    <t xml:space="preserve">Mukul Jain </t>
  </si>
  <si>
    <t>linkedin.com/in/mukuljain1</t>
  </si>
  <si>
    <t>deepak.phadke@bajajbroking.in</t>
  </si>
  <si>
    <t>mukul_jain1@yahoo.com, mukul.jain@maxlifeinsurance.com</t>
  </si>
  <si>
    <t>jalanakshay22@gmail.com</t>
  </si>
  <si>
    <t>SBI Life Insurance</t>
  </si>
  <si>
    <t>Durgadas Garlapati</t>
  </si>
  <si>
    <t>President - Operations &amp; IT</t>
  </si>
  <si>
    <t>https://www.linkedin.com/in/amitgupta007/?originalSubdomain=in</t>
  </si>
  <si>
    <t>linkedin.com/in/durgadas-garlapati-3ab1956b</t>
  </si>
  <si>
    <t>gdurgadas@gmail.com</t>
  </si>
  <si>
    <t>HDFC Life Insurance</t>
  </si>
  <si>
    <t>ETMoney</t>
  </si>
  <si>
    <t>Rohit Kilam</t>
  </si>
  <si>
    <t>amitgupta@yulu.bike</t>
  </si>
  <si>
    <t>Suyash Peshkar</t>
  </si>
  <si>
    <t>amitgupta@inmobi.com</t>
  </si>
  <si>
    <t>linkedin.com/in/rohitkilam</t>
  </si>
  <si>
    <t>amitgupta007@gmail.com</t>
  </si>
  <si>
    <t>https://www.linkedin.com/in/suyash-peshkar-95517519/?originalSubdomain=in</t>
  </si>
  <si>
    <t>rohitkilam@gmail.com</t>
  </si>
  <si>
    <t>ICICI Prudential Life Insurance</t>
  </si>
  <si>
    <t>Anant Deshmukh</t>
  </si>
  <si>
    <t>linkedin.com/in/anant-deshmukh</t>
  </si>
  <si>
    <t>Vivekananda Hallekere</t>
  </si>
  <si>
    <t>suyash.peshkar@etmoney.com</t>
  </si>
  <si>
    <t>https://www.linkedin.com/in/vivekananda-hallekere-0483bb19/?originalSubdomain=in</t>
  </si>
  <si>
    <t>suyash.sp.26@gmail.com</t>
  </si>
  <si>
    <t>vivekananda@bounceshare.com</t>
  </si>
  <si>
    <t>anant_deshmukh@icicipruamc.com</t>
  </si>
  <si>
    <t>vivek.hsn@gmail.com</t>
  </si>
  <si>
    <t>Bajaj Finserv</t>
  </si>
  <si>
    <t>Anurag Vohra</t>
  </si>
  <si>
    <t>linkedin.com/in/anurag-vohra-6561352</t>
  </si>
  <si>
    <t>Gaurav Shahlot</t>
  </si>
  <si>
    <t>Hiring Dir &amp; VP of Product</t>
  </si>
  <si>
    <t>https://www.linkedin.com/in/gauravshahlot/?originalSubdomain=in</t>
  </si>
  <si>
    <t>avohra@gmail.com, anurag.vohra@bajajfinserv.in</t>
  </si>
  <si>
    <t xml:space="preserve"> MG Motor India</t>
  </si>
  <si>
    <t>Udit Malhotra</t>
  </si>
  <si>
    <t>CTO &amp; CMO</t>
  </si>
  <si>
    <t>linkedin.com/in/uditmalhotra</t>
  </si>
  <si>
    <t>Co-Founder and Chairman</t>
  </si>
  <si>
    <t>udit.malhotra@mgmotor.co.in</t>
  </si>
  <si>
    <t>Arcana</t>
  </si>
  <si>
    <t xml:space="preserve">Siva Visakan Sooriyan </t>
  </si>
  <si>
    <t>gauravs@khatabook.com</t>
  </si>
  <si>
    <t>Cofounder &amp; CTO</t>
  </si>
  <si>
    <t>linkedin.com/in/sivavisakan</t>
  </si>
  <si>
    <t>gaurav.shahlot@gmail.com</t>
  </si>
  <si>
    <t>sivavisakan@gmail.com</t>
  </si>
  <si>
    <t>Mayur Relekar</t>
  </si>
  <si>
    <t>chetan@sunmobility.com</t>
  </si>
  <si>
    <t>chetan@sunmobility.co.in</t>
  </si>
  <si>
    <t>linkedin.com/in/mayurrelekar</t>
  </si>
  <si>
    <t>Piyush Thakker</t>
  </si>
  <si>
    <t>mayur@arcana.network</t>
  </si>
  <si>
    <t>VP, Product</t>
  </si>
  <si>
    <t>https://www.linkedin.com/in/piyushthakker/?originalSubdomain=in</t>
  </si>
  <si>
    <t>CP Plus</t>
  </si>
  <si>
    <t>Aditya Khemka</t>
  </si>
  <si>
    <t>MD &amp; CTO</t>
  </si>
  <si>
    <t>linkedin.com/in/aditya-khemka-58511926b</t>
  </si>
  <si>
    <t>Exponent Energy</t>
  </si>
  <si>
    <t>Arun Vinayak</t>
  </si>
  <si>
    <t>https://www.linkedin.com/in/arun-vinayak-71a5b973/?originalSubdomain=in</t>
  </si>
  <si>
    <t>aditya_khemka@cpplusworld.com, cpplusmarketing10@gmail.com</t>
  </si>
  <si>
    <t>Hewlett Packard Enterprise</t>
  </si>
  <si>
    <t>RANGANATH SADASIVA</t>
  </si>
  <si>
    <t>piyush.thakker@turtlemint.com</t>
  </si>
  <si>
    <t>linkedin.com/in/ranganath-sadasiva</t>
  </si>
  <si>
    <t>piyushthakker@gmail.com</t>
  </si>
  <si>
    <t>arun@exponent.energy</t>
  </si>
  <si>
    <t>vinayak.arun@gmail.com</t>
  </si>
  <si>
    <t>ranganath.sadasiva@hpe.com</t>
  </si>
  <si>
    <t>JK group</t>
  </si>
  <si>
    <t>Dipankar Ganguly</t>
  </si>
  <si>
    <t>linkedin.com/in/dipankar-ganguly-a2666b4</t>
  </si>
  <si>
    <t>Muvin</t>
  </si>
  <si>
    <t>Ashu Singhal</t>
  </si>
  <si>
    <t>Pulkit Khurana</t>
  </si>
  <si>
    <t>https://www.linkedin.com/in/singhalashu/?originalSubdomain=de</t>
  </si>
  <si>
    <t>dipankar@jktech.com, dipgang@yahoo.com</t>
  </si>
  <si>
    <t>https://www.linkedin.com/in/pulkitkhurana/?originalSubdomain=in</t>
  </si>
  <si>
    <t>Crompton</t>
  </si>
  <si>
    <t>Tanmay Prusty</t>
  </si>
  <si>
    <t>CMO&amp;CTO</t>
  </si>
  <si>
    <t>linkedin.com/in/tanmay-prusty-0ba8ba2</t>
  </si>
  <si>
    <t>tanmay.prusty@crompton.co.in, tanmayprusty@gmail.com, tanmayprusty@rediffmail.com</t>
  </si>
  <si>
    <t>Vikram Sridharan</t>
  </si>
  <si>
    <t>Chief Digital &amp; IT Officer</t>
  </si>
  <si>
    <t>linkedin.com/in/sridharanvikram</t>
  </si>
  <si>
    <t>ashu.singhal@free-now.com</t>
  </si>
  <si>
    <t>ashu.singhal@gmail.com</t>
  </si>
  <si>
    <t>vikram.sridharan@crompton.co.in</t>
  </si>
  <si>
    <t>Greaves</t>
  </si>
  <si>
    <t>Parag Satpute</t>
  </si>
  <si>
    <t>linkedin.com/in/paragsatpute</t>
  </si>
  <si>
    <t xml:space="preserve">Matter </t>
  </si>
  <si>
    <t>Arthur Silveira</t>
  </si>
  <si>
    <t>parag.satpute@greavescotton.com, paragsatpute@gmail.com, paragsat@gmail.com, parag_satpute@hotmail.com</t>
  </si>
  <si>
    <t>https://www.linkedin.com/in/arthur-silveira-71a34052/?originalSubdomain=br</t>
  </si>
  <si>
    <t>Samsonite</t>
  </si>
  <si>
    <t xml:space="preserve">Jai Krishnan </t>
  </si>
  <si>
    <t>linkedin.com/in/jkvip</t>
  </si>
  <si>
    <t>https://www.linkedin.com/in/mrlalbhai/?originalSubdomain=in</t>
  </si>
  <si>
    <t>jaik2020@gmail.com</t>
  </si>
  <si>
    <t>Auronova Consulting</t>
  </si>
  <si>
    <t>Ajitav Sinha</t>
  </si>
  <si>
    <t>Partner Risk &amp; AI</t>
  </si>
  <si>
    <t>linkedin.com/in/ajitav-sinha-frm-scr-4877633b</t>
  </si>
  <si>
    <t>arthur@slice.global</t>
  </si>
  <si>
    <t>arthur@hy.com.br</t>
  </si>
  <si>
    <t>mohal@matter.in</t>
  </si>
  <si>
    <t>mrlalbhai@gmail.com</t>
  </si>
  <si>
    <t>ajitavsinha@yahoo.com</t>
  </si>
  <si>
    <t>Barclays</t>
  </si>
  <si>
    <t>Shreepad Shukla</t>
  </si>
  <si>
    <t>Director, Advanced Technologies</t>
  </si>
  <si>
    <t>linkedin.com/in/shreepads</t>
  </si>
  <si>
    <t>VidyutTech</t>
  </si>
  <si>
    <t>Kishore Konakanchi</t>
  </si>
  <si>
    <t xml:space="preserve">Xitij Kothi </t>
  </si>
  <si>
    <t>https://www.linkedin.com/in/kishorekonakanchi/</t>
  </si>
  <si>
    <t>shreepad.shukla@barclays.com, shreepadslnkdin@gmail.com, shreepads@yahoo.com</t>
  </si>
  <si>
    <t>Boeing</t>
  </si>
  <si>
    <t>https://www.linkedin.com/in/xitijkothi/?originalSubdomain=in</t>
  </si>
  <si>
    <t>Shashank Jha</t>
  </si>
  <si>
    <t>linkedin.com/in/shashankajha</t>
  </si>
  <si>
    <t>kishore@thekindkart.org</t>
  </si>
  <si>
    <t>kishore.konakanchi@chargebee.com</t>
  </si>
  <si>
    <t>krishna.kishore@gmail.com</t>
  </si>
  <si>
    <t>shashankasj@gmail.com</t>
  </si>
  <si>
    <t>Capital One</t>
  </si>
  <si>
    <t xml:space="preserve">Srinivasa Rao Aravilli </t>
  </si>
  <si>
    <t>linkedin.com/in/aravilli</t>
  </si>
  <si>
    <t>xitij@vidyuttech.com</t>
  </si>
  <si>
    <t>xitijkothi1988@gmail.com</t>
  </si>
  <si>
    <t>Tally Solutions</t>
  </si>
  <si>
    <t>srinivasa.aravilli@capitalone.com, aravilli@gmail.com, sriniaravill@gmail.com, aravilli@yahoo.com</t>
  </si>
  <si>
    <t>Nabendu Das</t>
  </si>
  <si>
    <t>Caterpillar Inc</t>
  </si>
  <si>
    <t>Chief of Engineering and Products</t>
  </si>
  <si>
    <t>Akash Jain</t>
  </si>
  <si>
    <t>https://www.linkedin.com/in/nabendudas/?originalSubdomain=in</t>
  </si>
  <si>
    <t>India Leader - Cat Digital</t>
  </si>
  <si>
    <t>linkedin.com/in/akash-jain-7421837</t>
  </si>
  <si>
    <t>ReNew</t>
  </si>
  <si>
    <t>jakash@gmail.com, akash.jain@cat.com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</si>
  <si>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Sumant Sinha</t>
    </r>
  </si>
  <si>
    <t>Common Wealth Bank</t>
  </si>
  <si>
    <t>Shaun Ray</t>
  </si>
  <si>
    <t>linkedin.com/in/srray</t>
  </si>
  <si>
    <t>nabendu.das@tallysolutions.com</t>
  </si>
  <si>
    <t>nabendu_das@yahoo.com</t>
  </si>
  <si>
    <t>Founder, Chairman &amp; CEO</t>
  </si>
  <si>
    <t>shaun.ray@cba.com.au</t>
  </si>
  <si>
    <t>https://www.linkedin.com/in/sumant-sinha/?originalSubdomain=in</t>
  </si>
  <si>
    <t>Shaju Thomas</t>
  </si>
  <si>
    <t>Technology Executive</t>
  </si>
  <si>
    <t>linkedin.com/in/shajuthomas</t>
  </si>
  <si>
    <t>Netflix, Rippling</t>
  </si>
  <si>
    <t>Eisar Lipkovitz</t>
  </si>
  <si>
    <t>Vice President, Advertising Engineering, CPO</t>
  </si>
  <si>
    <t>shaju.thomas@cba.com.au, shajuthomas@gmail.com, shaju154@hotmail.com</t>
  </si>
  <si>
    <t>https://www.linkedin.com/in/eisar/</t>
  </si>
  <si>
    <t>D. E. Shaw</t>
  </si>
  <si>
    <t>linkedin.com/in/guptaga</t>
  </si>
  <si>
    <t>sumantsinha@gmail.com</t>
  </si>
  <si>
    <t>sumantsinha@icloud.com</t>
  </si>
  <si>
    <t>gaurav.kumar.gupta@deshaw.com, guptaga@yahoo.com</t>
  </si>
  <si>
    <t>sumant@renewpower.in</t>
  </si>
  <si>
    <t>eisar@rippling.com</t>
  </si>
  <si>
    <t>Databricks</t>
  </si>
  <si>
    <t>Kamalkanth Tummala</t>
  </si>
  <si>
    <t>Vice President &amp; Country Manager</t>
  </si>
  <si>
    <t>linkedin.com/in/kamalkanth</t>
  </si>
  <si>
    <t>kkanth@salesforce.com, kamalkanth.tummala@databricks.com</t>
  </si>
  <si>
    <t>Tata Power Renewable Energy LTD</t>
  </si>
  <si>
    <t>Amit Murarka</t>
  </si>
  <si>
    <t>Sr Director</t>
  </si>
  <si>
    <t>Deepesh Nanda</t>
  </si>
  <si>
    <t>linkedin.com/in/amit-murarka-1770629</t>
  </si>
  <si>
    <t>https://www.linkedin.com/in/kdeepeshnanda/</t>
  </si>
  <si>
    <t>HighRadius</t>
  </si>
  <si>
    <t>Prasanna Boni</t>
  </si>
  <si>
    <t>https://www.linkedin.com/in/prasanna-boni-b4abb09/?originalSubdomain=in</t>
  </si>
  <si>
    <t>amit.murarka@databricks.com, amit_murarka@hotmail.com</t>
  </si>
  <si>
    <t>DEUTSCHE INDIA</t>
  </si>
  <si>
    <t>Praveen Ojha</t>
  </si>
  <si>
    <t>linkedin.com/in/praveen-ojha-30b0019</t>
  </si>
  <si>
    <t>dkn1973@yahoo.com</t>
  </si>
  <si>
    <t>praveenojha@hotmail.com, praveen_ojha@epam.com</t>
  </si>
  <si>
    <t>prasanna.boni@ignitorlearning.com</t>
  </si>
  <si>
    <t>Dezerv</t>
  </si>
  <si>
    <t>boniyasu@gmail.com</t>
  </si>
  <si>
    <t>Sandeep Jethwani</t>
  </si>
  <si>
    <t>linkedin.com/in/sandeepjethwani</t>
  </si>
  <si>
    <t>Thermax Limited</t>
  </si>
  <si>
    <t>Ashish Bhandari</t>
  </si>
  <si>
    <t xml:space="preserve">sandeepjethwani@gmail.com, sandeep.jethwani@dezerv.in
</t>
  </si>
  <si>
    <t>https://www.linkedin.com/in/ashish-bhandari-212a74/?originalSubdomain=in</t>
  </si>
  <si>
    <t>DTDC</t>
  </si>
  <si>
    <t xml:space="preserve">Abhishek Chakraborty </t>
  </si>
  <si>
    <t>Airmeet</t>
  </si>
  <si>
    <t>linkedin.com/in/abhishek-chakraborty-2194b1a</t>
  </si>
  <si>
    <t>Mr. Ashwani Jain</t>
  </si>
  <si>
    <t>Chief Revenue Officer</t>
  </si>
  <si>
    <t>https://www.linkedin.com/in/ashwani-jain/?originalSubdomain=ca</t>
  </si>
  <si>
    <t xml:space="preserve">abhishekch@gmail.com, </t>
  </si>
  <si>
    <t>E-Bay</t>
  </si>
  <si>
    <t>Mazen Rawashdeh</t>
  </si>
  <si>
    <t>linkedin.com/in/mazenrawashdeh</t>
  </si>
  <si>
    <t>ashish_bhandari@yahoo.com</t>
  </si>
  <si>
    <t>ashish.bhandari@thermaxglobal.com</t>
  </si>
  <si>
    <t>mazenrawashdeh@ebay.com, mazenrawashdeh@gmail.com</t>
  </si>
  <si>
    <t>Edelweiss Global Markets</t>
  </si>
  <si>
    <t>linkedin.com/in/amitjain-in</t>
  </si>
  <si>
    <t>amitsemail@gmail.com, amit.jain@edelweissfin.com, amit.jain.in@outlook.com</t>
  </si>
  <si>
    <t>EMA</t>
  </si>
  <si>
    <t>Oorjan Cleantech</t>
  </si>
  <si>
    <t>Phaneesh Gururaj</t>
  </si>
  <si>
    <t>Gautam Das</t>
  </si>
  <si>
    <t>linkedin.com/in/phaneesh-gururaj-70437b1</t>
  </si>
  <si>
    <t>ashwanijain84@gmail.com</t>
  </si>
  <si>
    <t>ashwani@airmeet.com</t>
  </si>
  <si>
    <t>https://www.linkedin.com/in/gautamoorjan/?originalSubdomain=in</t>
  </si>
  <si>
    <t>phaneesh@gmail.com</t>
  </si>
  <si>
    <t>ESRI</t>
  </si>
  <si>
    <t xml:space="preserve">Vijay Kumar </t>
  </si>
  <si>
    <t>CTO &amp; VP</t>
  </si>
  <si>
    <t>linkedin.com/in/vijaykumar1</t>
  </si>
  <si>
    <t>vijay.kumar@esri.in, vijaysiwal@gmail.com</t>
  </si>
  <si>
    <t>Freshflows</t>
  </si>
  <si>
    <t>Lalit Verma</t>
  </si>
  <si>
    <t>Bhanu Valluri</t>
  </si>
  <si>
    <t>linkedin.com/in/lalitsverma</t>
  </si>
  <si>
    <t>gautam@oorjan.com</t>
  </si>
  <si>
    <t>Co-Founder &amp; Chief Product Officer</t>
  </si>
  <si>
    <t>https://www.linkedin.com/in/bhanuvalluri/</t>
  </si>
  <si>
    <t>lalit.verma@zomato.com, lalitv@iitrpr.ac.in, lalitsverma@gmail.com</t>
  </si>
  <si>
    <t>ETHOS</t>
  </si>
  <si>
    <t>Vipul Sharma</t>
  </si>
  <si>
    <t>linkedin.com/in/vipulethos</t>
  </si>
  <si>
    <t>Orb Energy</t>
  </si>
  <si>
    <t>bhanu@freshflows.io</t>
  </si>
  <si>
    <t>Damian Miller</t>
  </si>
  <si>
    <t>bhanu@auzmor.com</t>
  </si>
  <si>
    <t>https://www.linkedin.com/in/damian-miller-72845794/?originalSubdomain=in</t>
  </si>
  <si>
    <t>vipul.sharma@ethoslife.com, sharmavipul@gmail.com, vip_zoom_2000@yahoo.com</t>
  </si>
  <si>
    <t>EXL</t>
  </si>
  <si>
    <t>Baljinder Singh</t>
  </si>
  <si>
    <t>Global CIO</t>
  </si>
  <si>
    <t>linkedin.com/in/baljinder-singh-6a334239</t>
  </si>
  <si>
    <t>SquadStack</t>
  </si>
  <si>
    <t>damian.miller@orbenergy.com</t>
  </si>
  <si>
    <t>Kanika Jain</t>
  </si>
  <si>
    <t>CoFounder</t>
  </si>
  <si>
    <t>baljinder.singh@exlservice.com, baljinder5@hotmail.com</t>
  </si>
  <si>
    <t>https://www.linkedin.com/in/kanika-jain-2121a373/</t>
  </si>
  <si>
    <t>Vikas Bhalla</t>
  </si>
  <si>
    <t>President and Head of AI</t>
  </si>
  <si>
    <t>linkedin.com/in/vikas-bhalla-26017b15</t>
  </si>
  <si>
    <t>vikas.bhalla@exlservice.com, vikas_b_bhalla@yahoo.co.in</t>
  </si>
  <si>
    <t>jainkanika114@gmail.com</t>
  </si>
  <si>
    <t>ExxonMobil</t>
  </si>
  <si>
    <t xml:space="preserve">Ms. Suchismita Sanyal </t>
  </si>
  <si>
    <t>Head, India Strategy</t>
  </si>
  <si>
    <t>linkedin.com/in/suchismitasanyal</t>
  </si>
  <si>
    <t>suchismita.sanyal@exxonmobil.com, suchisanyal@gmail.com</t>
  </si>
  <si>
    <t>Shashidhar Ramakrishnaiah</t>
  </si>
  <si>
    <t>linkedin.com/in/shashidhar-ramakrishnaiah-7027335</t>
  </si>
  <si>
    <t>Ecozen</t>
  </si>
  <si>
    <t xml:space="preserve">Devendra Gupta </t>
  </si>
  <si>
    <t>https://www.linkedin.com/in/devendragupta001/?originalSubdomain=in</t>
  </si>
  <si>
    <t>Judd Heape</t>
  </si>
  <si>
    <t>shashidhar.ramakrishnaiah@fractal.ai, shashi.brk@gmail.com</t>
  </si>
  <si>
    <t>Fujitsu</t>
  </si>
  <si>
    <t>Vivek Mahajan</t>
  </si>
  <si>
    <t>VP- PM</t>
  </si>
  <si>
    <t>linkedin.com/in/vivek-mahajan-17b345b1</t>
  </si>
  <si>
    <t>https://www.linkedin.com/in/juddheape/</t>
  </si>
  <si>
    <t>riskitviv@hotmail.com, vivek.mahajan@fujitsu.com</t>
  </si>
  <si>
    <t>GE Aerospace</t>
  </si>
  <si>
    <t>Alok Nanda</t>
  </si>
  <si>
    <t>linkedin.com/in/alok-nanda-b425566</t>
  </si>
  <si>
    <t>devendragupta@ecozensolutions.com</t>
  </si>
  <si>
    <t>devendragupta001@gmail.com</t>
  </si>
  <si>
    <t>jheape@qti.qualcomm.com</t>
  </si>
  <si>
    <t>aloknandahome@gmail.com, alok.nanda@ge.com</t>
  </si>
  <si>
    <t>GIGA AI</t>
  </si>
  <si>
    <t>Varun Vummadi</t>
  </si>
  <si>
    <t>linkedin.com/in/varunvummadi</t>
  </si>
  <si>
    <t>varunvummadi@gmail.com, varun@gigaml.com</t>
  </si>
  <si>
    <t>Glean</t>
  </si>
  <si>
    <t>Arvind Jain</t>
  </si>
  <si>
    <t>linkedin.com/in/jain-arvind</t>
  </si>
  <si>
    <t xml:space="preserve">Solinas Integrity </t>
  </si>
  <si>
    <t>Divanshu Kumar</t>
  </si>
  <si>
    <t>Murali Gopalakrishna</t>
  </si>
  <si>
    <t>https://www.linkedin.com/in/divinvolve/?originalSubdomain=in</t>
  </si>
  <si>
    <t>https://www.linkedin.com/in/muralimohang/</t>
  </si>
  <si>
    <t>arvind@gmail.com, arvind.jain@akamai.com, arvind.jain@riverbed.com, arvindj@glean.com</t>
  </si>
  <si>
    <t>Graviton Research Capital</t>
  </si>
  <si>
    <t>linkedin.com/in/ankit-gupta-0557355</t>
  </si>
  <si>
    <t>ankit.gupta@gravitonresearch.com, ank.2504@gmail.com</t>
  </si>
  <si>
    <t>iamdiv97@gmail.com</t>
  </si>
  <si>
    <t>BaseRock.ai</t>
  </si>
  <si>
    <t>muralimohang@gmail.com</t>
  </si>
  <si>
    <t xml:space="preserve">Rishi Singh </t>
  </si>
  <si>
    <t>divanshu@involveedu.com</t>
  </si>
  <si>
    <t>muralig@nvidia.com</t>
  </si>
  <si>
    <t>linkedin.com/in/rishi-singh-harness</t>
  </si>
  <si>
    <t>rishi@baserock.ai, rishikeshs@yahoo.com, rishi.singh@harness.io</t>
  </si>
  <si>
    <t>Naukri</t>
  </si>
  <si>
    <t>Arvind Heda</t>
  </si>
  <si>
    <t>linkedin.com/in/arvind-heda-3514684</t>
  </si>
  <si>
    <t>GPS Renewables</t>
  </si>
  <si>
    <t>Mainak Chakraborty</t>
  </si>
  <si>
    <t>arvind@infoedge.in, arvind_heda@yahoo.com, arvind_heda1@yahoo.com</t>
  </si>
  <si>
    <t>https://www.linkedin.com/in/mainakchakraborty/?originalSubdomain=in</t>
  </si>
  <si>
    <t>Rakesh Anigund</t>
  </si>
  <si>
    <t>Sivakumar S</t>
  </si>
  <si>
    <t>Group Head - Agri &amp; IT Businesses</t>
  </si>
  <si>
    <t>linkedin.com/in/sivakumars1</t>
  </si>
  <si>
    <t>https://www.linkedin.com/in/rakesh-s-anig</t>
  </si>
  <si>
    <t>sivakumar.s@itc.in, shivhyd@gmail.com</t>
  </si>
  <si>
    <t xml:space="preserve"> Ixana</t>
  </si>
  <si>
    <t>Shreyas Sen</t>
  </si>
  <si>
    <t>linkedin.com/in/shreyassen</t>
  </si>
  <si>
    <t>mainak.chakraborty@gmail.com</t>
  </si>
  <si>
    <t>shreyas@ixana.ai, shreyassen@gmail.com</t>
  </si>
  <si>
    <t>rakeshanigundi@gmail.com</t>
  </si>
  <si>
    <t>mathworks</t>
  </si>
  <si>
    <t>Sanjay Gopinath</t>
  </si>
  <si>
    <t>Tech Marketing Leader</t>
  </si>
  <si>
    <t>linkedin.com/in/sanjugopi</t>
  </si>
  <si>
    <t>sanjay.gopinath@mathworks.com, gopinathsanjay@gmail.com</t>
  </si>
  <si>
    <t xml:space="preserve"> Nexus Cognitive</t>
  </si>
  <si>
    <t>Anu Jain</t>
  </si>
  <si>
    <t>linkedin.com/in/anujain</t>
  </si>
  <si>
    <t>Phool.Co</t>
  </si>
  <si>
    <t>anu@nexuscognitive.com, jain.anuraag@gmail.com, anu.jain@ibm.com</t>
  </si>
  <si>
    <t>Piramal Finance</t>
  </si>
  <si>
    <t>Saurabh Mittal</t>
  </si>
  <si>
    <t>Ashok Dayalan</t>
  </si>
  <si>
    <t>linkedin.com/in/stmittal</t>
  </si>
  <si>
    <t>https://www.linkedin.com/in/ashok-dayalan-06a1087/</t>
  </si>
  <si>
    <t>Ankit Agarwal (different)</t>
  </si>
  <si>
    <t>https://www.linkedin.com/in/ankit-agarwal-phool/?originalSubdomain=in</t>
  </si>
  <si>
    <t>stmittal@gmail.com</t>
  </si>
  <si>
    <t>PwC</t>
  </si>
  <si>
    <t>Vikas Agarwal</t>
  </si>
  <si>
    <t>CTIO</t>
  </si>
  <si>
    <t>linkedin.com/in/vikas-agarwal-b5528a2</t>
  </si>
  <si>
    <t>vikas.k.agarwal@pwc.com, vikster@gmail.com</t>
  </si>
  <si>
    <t>adayalan@gmail.com</t>
  </si>
  <si>
    <t>Rekise Marine</t>
  </si>
  <si>
    <t>Dibyendu Ghosh</t>
  </si>
  <si>
    <t>Vice President-Robotics</t>
  </si>
  <si>
    <t>linkedin.com/in/dibyendu-ghosh-97978213</t>
  </si>
  <si>
    <t>ankit@phool.co</t>
  </si>
  <si>
    <t>aa@acumen.org</t>
  </si>
  <si>
    <t>sagi_linkin16@yahoo.com</t>
  </si>
  <si>
    <t>dibyendu.ghosh@rekise.com, dibyendu35@gmail.com</t>
  </si>
  <si>
    <t>Risa</t>
  </si>
  <si>
    <t>Kumar Shivang</t>
  </si>
  <si>
    <t>linkedin.com/in/kshivang</t>
  </si>
  <si>
    <t>barkha dutt</t>
  </si>
  <si>
    <t>Journalist</t>
  </si>
  <si>
    <t>Julien Picaud</t>
  </si>
  <si>
    <t>https://www.linkedin.com/in/barkha-dutt-538b7110/?originalSubdomain=in</t>
  </si>
  <si>
    <t>Head of Product Manager</t>
  </si>
  <si>
    <t>shivangshivang@gmail.com, shivangiitk@gmail.com, shivang@risa.health, shivang@urbanyogi.app</t>
  </si>
  <si>
    <t>https://www.linkedin.com/in/julienpicaud/</t>
  </si>
  <si>
    <t>SutraNova Ventures</t>
  </si>
  <si>
    <t>Sandeep Agarwal</t>
  </si>
  <si>
    <t>linkedin.com/in/sandeepbagarwal</t>
  </si>
  <si>
    <t>barkha.dutt@gmail.com</t>
  </si>
  <si>
    <t>sandeep.agarwal@sutranovaventures.com, sandeep.agarwal@visionetsystems.com, sandeep.agarwal@visionet.com</t>
  </si>
  <si>
    <t>julienpicaud@gmail.com</t>
  </si>
  <si>
    <t>jpicaud@sweep.net</t>
  </si>
  <si>
    <t>Amar Bura</t>
  </si>
  <si>
    <t>Go-To-Market Systems Leader</t>
  </si>
  <si>
    <t>linkedin.com/in/amarbura</t>
  </si>
  <si>
    <t>amarbura76@gmail.com, amarendar.b@gmail.com, 
amar.bura@samsara.com</t>
  </si>
  <si>
    <t>ThePrint</t>
  </si>
  <si>
    <t>Seimens healthineers</t>
  </si>
  <si>
    <t>Santosh Nair</t>
  </si>
  <si>
    <t>Shekhar Gupta</t>
  </si>
  <si>
    <t>Regional Head Tech</t>
  </si>
  <si>
    <t>linkedin.com/in/nairsantosh</t>
  </si>
  <si>
    <t>https://www.linkedin.com/in/shekharguptaofficial/</t>
  </si>
  <si>
    <t>GE Healthcare</t>
  </si>
  <si>
    <r>
      <rPr>
        <rFont val="&quot;Google Sans&quot;, Roboto, Arial, sans-serif"/>
        <b/>
        <color rgb="FF1155CC"/>
        <sz val="12.0"/>
        <u/>
      </rPr>
      <t>Kevin D'souza</t>
    </r>
  </si>
  <si>
    <t>santosh.nair@siemens.com, santoshnairind@gmail.com</t>
  </si>
  <si>
    <t>SLB</t>
  </si>
  <si>
    <t>Lalit Aggarwal</t>
  </si>
  <si>
    <t>linkedin.com/in/lalit-aggarwal-5b08b615</t>
  </si>
  <si>
    <t>shekhargupta@theprint.in</t>
  </si>
  <si>
    <t>sg@newindianexpress.com</t>
  </si>
  <si>
    <t>laggarwal@slb.com, lalit_kelley@yahoo.com</t>
  </si>
  <si>
    <t>Amit Yadav</t>
  </si>
  <si>
    <t>Head</t>
  </si>
  <si>
    <t>linkedin.com/in/amit-yadav</t>
  </si>
  <si>
    <t>Drishti Group</t>
  </si>
  <si>
    <t>yadav.amit@live.com, amityadav@slb.com</t>
  </si>
  <si>
    <t>Deputy CEO</t>
  </si>
  <si>
    <t>Sprinklr</t>
  </si>
  <si>
    <t>Amitabh Misra</t>
  </si>
  <si>
    <t>https://www.linkedin.com/in/vivek-tiwari-635103230/?originalSubdomain=in</t>
  </si>
  <si>
    <t>linkedin.com/in/amitabhmisra</t>
  </si>
  <si>
    <t>amitabhmisra@gmail.com, amitabh.misra@sprinklr.com</t>
  </si>
  <si>
    <t>Squarepoint Capital</t>
  </si>
  <si>
    <t>vtgreat84@gmail.com</t>
  </si>
  <si>
    <t>Ganesh Chodisetti</t>
  </si>
  <si>
    <t>COO( Technology)</t>
  </si>
  <si>
    <t>linkedin.com/in/ganesh-chodisetti-3765947</t>
  </si>
  <si>
    <t>crsganesh2002@yahoo.com, ganesh.chodisetti@squarepoint-capital.com</t>
  </si>
  <si>
    <t>Medha Sharma</t>
  </si>
  <si>
    <t>HR Technology Leader</t>
  </si>
  <si>
    <t>linkedin.com/in/medha-sharma-7096b7a3</t>
  </si>
  <si>
    <t>Drishti IAS</t>
  </si>
  <si>
    <t>Ajay Karakoti</t>
  </si>
  <si>
    <t>Chief Financial Officer &amp; Chief Operations Officer</t>
  </si>
  <si>
    <t>https://www.linkedin.com/in/ajay-karakoti-3b9612159/?originalSubdomain=in</t>
  </si>
  <si>
    <t>sharmamedha29@gmail.com</t>
  </si>
  <si>
    <t>Samsung R&amp;D Institute</t>
  </si>
  <si>
    <t xml:space="preserve">Mohan Rao </t>
  </si>
  <si>
    <t>Sr Director, Product</t>
  </si>
  <si>
    <t>Managing Director and Corporate Vice President</t>
  </si>
  <si>
    <t>linkedin.com/in/mohan-rao-8262a75</t>
  </si>
  <si>
    <t>https://www.linkedin.com/in/kevingdsouza/</t>
  </si>
  <si>
    <t>ajay@groupdrishti.com</t>
  </si>
  <si>
    <t>gnsmohan@gmail.com, mohan.rao@samsung.com</t>
  </si>
  <si>
    <t>Standard Chartered</t>
  </si>
  <si>
    <t>Zuzar Tinwalla</t>
  </si>
  <si>
    <t>Chief Technology and Operations Officer</t>
  </si>
  <si>
    <t>kevingdsouza@gmail.com</t>
  </si>
  <si>
    <t>linkedin.com/in/zuzar-tinwalla-a4b9a423</t>
  </si>
  <si>
    <t>kevin_dsouza_pgppro2021@isb.edu</t>
  </si>
  <si>
    <t>AMAN DHATTARWAL</t>
  </si>
  <si>
    <t>https://www.linkedin.com/in/dhattarwalaman/</t>
  </si>
  <si>
    <t>zuzart@hotmail.com, zuzar.tinwalla@sc.com</t>
  </si>
  <si>
    <t>Ms. Anuradha Bhatia</t>
  </si>
  <si>
    <t>Head of Technology India ~ CTO</t>
  </si>
  <si>
    <t>linkedin.com/in/anuradha-bhatia</t>
  </si>
  <si>
    <t>Abhishek Kothari</t>
  </si>
  <si>
    <t>anubhatia1803@gmail.com, anuradha.bhatia@sc.com</t>
  </si>
  <si>
    <t>Senior Global Product Manager</t>
  </si>
  <si>
    <t>https://www.linkedin.com/in/drabhishekkothari/</t>
  </si>
  <si>
    <t>YCP Auctus</t>
  </si>
  <si>
    <t>Pooja Jain</t>
  </si>
  <si>
    <t>8800405408, +918447266457</t>
  </si>
  <si>
    <t>linkedin.com/in/pooja-jain-08b86547</t>
  </si>
  <si>
    <t>dhattarwalaman97@gmail.com</t>
  </si>
  <si>
    <t xml:space="preserve">p13poojaj@iima.ac.in, pjain1791@gmail.com
</t>
  </si>
  <si>
    <t>abhikothari30@gmail.com</t>
  </si>
  <si>
    <t>abhishek.b.kothari@gmail.com</t>
  </si>
  <si>
    <t>Matter Energy</t>
  </si>
  <si>
    <t>Ashwin Patil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</si>
  <si>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Kevin Graebel</t>
    </r>
  </si>
  <si>
    <t>https://www.linkedin.com/in/peterbordes/</t>
  </si>
  <si>
    <t>https://www.linkedin.com/in/kevin-graebel/</t>
  </si>
  <si>
    <t>peter@aperiam.vc</t>
  </si>
  <si>
    <t>peter.bordes@gmail.com</t>
  </si>
  <si>
    <t>Thermax</t>
  </si>
  <si>
    <t>Meher Pudumjee</t>
  </si>
  <si>
    <t>Suzlon Energy</t>
  </si>
  <si>
    <t>Tulsi Tanti</t>
  </si>
  <si>
    <t>kgraebel@gmail.com</t>
  </si>
  <si>
    <t>Luminous Power Technologies</t>
  </si>
  <si>
    <t>Preeti Bajaj</t>
  </si>
  <si>
    <t>https://www.linkedin.com/in/preetibajaj/</t>
  </si>
  <si>
    <t>preeti.bajaj@luminousindia.com</t>
  </si>
  <si>
    <t>preetib26@hotmail.com</t>
  </si>
  <si>
    <t>preetib36@hotmail.com</t>
  </si>
  <si>
    <t>ReNew Power</t>
  </si>
  <si>
    <t>Sumant Sinha</t>
  </si>
  <si>
    <t>Kevin Weil</t>
  </si>
  <si>
    <t>Avaana Capital</t>
  </si>
  <si>
    <t>https://www.linkedin.com/in/kevinweil/</t>
  </si>
  <si>
    <t>Anjali Bansal</t>
  </si>
  <si>
    <t>https://www.linkedin.com/in/anjali-bansal-8489091/</t>
  </si>
  <si>
    <t>kevinweil@gmail.com</t>
  </si>
  <si>
    <t>abansal@spencerstuart.com</t>
  </si>
  <si>
    <t>anjalibansal21@gmail.com</t>
  </si>
  <si>
    <t>Centre for Science and Environment</t>
  </si>
  <si>
    <t>Sunita Narain</t>
  </si>
  <si>
    <t>https://www.linkedin.com/in/sunita-narain-22797477/</t>
  </si>
  <si>
    <t>DeepMind</t>
  </si>
  <si>
    <t>sunita@cseindia.org</t>
  </si>
  <si>
    <t>sunitanar@gmail.com</t>
  </si>
  <si>
    <t>Abhishek Bapna</t>
  </si>
  <si>
    <t>https://www.linkedin.com/in/abhishek-bapna-529908/</t>
  </si>
  <si>
    <t>abapna@gmail.com</t>
  </si>
  <si>
    <t>HuggingFace</t>
  </si>
  <si>
    <t>Jeff Boudier</t>
  </si>
  <si>
    <t>https://www.linkedin.com/in/jeffboudier/</t>
  </si>
  <si>
    <t>jfboudier@gmail.com</t>
  </si>
  <si>
    <t>jeff@huggingface.co</t>
  </si>
  <si>
    <t>Arunesh Gupta</t>
  </si>
  <si>
    <t>AI Product Leader</t>
  </si>
  <si>
    <t>https://www.linkedin.com/in/mickgupta/</t>
  </si>
  <si>
    <t>mickgupta@gmail.com</t>
  </si>
  <si>
    <t>agupta@brex.com</t>
  </si>
  <si>
    <t>Stability AI</t>
  </si>
  <si>
    <t>Ryan Ellis</t>
  </si>
  <si>
    <t>SVP, Head of Product</t>
  </si>
  <si>
    <t>https://www.linkedin.com/in/ryanpellis/</t>
  </si>
  <si>
    <t>ryanpellis@gmail.com</t>
  </si>
  <si>
    <t>DigitalOcean</t>
  </si>
  <si>
    <t>Ankita Bhosle</t>
  </si>
  <si>
    <t>Head of Product Led Growth</t>
  </si>
  <si>
    <t>https://www.linkedin.com/in/ankitabhosle/</t>
  </si>
  <si>
    <t>Unicorns</t>
  </si>
  <si>
    <t>abhosle@twilio.com</t>
  </si>
  <si>
    <t>Smita Sanadhya</t>
  </si>
  <si>
    <t>SuperOps.ai</t>
  </si>
  <si>
    <t>https://www.linkedin.com/in/smitasanadhya/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</si>
  <si>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Damo V.</t>
    </r>
  </si>
  <si>
    <t>smita.sanadhya@netradyne.com</t>
  </si>
  <si>
    <t>14087998416, 14153667401</t>
  </si>
  <si>
    <t>, sanadhya@gmail.com, smita.sanadhya@outlook.com</t>
  </si>
  <si>
    <t>Vice President Products</t>
  </si>
  <si>
    <t>https://www.linkedin.com/in/damovasudevan/</t>
  </si>
  <si>
    <t>damo.vasudevan@gmail.com</t>
  </si>
  <si>
    <t>Drools</t>
  </si>
  <si>
    <t>Rasik Sontakke</t>
  </si>
  <si>
    <t>https://www.linkedin.com/in/rasik-sontakke-2b25b27/?originalSubdomain=in</t>
  </si>
  <si>
    <t>Plum Insurance</t>
  </si>
  <si>
    <t>Akshay Golechha</t>
  </si>
  <si>
    <t>https://www.linkedin.com/in/akshaygolechha/</t>
  </si>
  <si>
    <t>rasiks@gmail.com</t>
  </si>
  <si>
    <t>akshay.golechha@gmail.com</t>
  </si>
  <si>
    <t>Pankaj Shroff</t>
  </si>
  <si>
    <t>akshay@plumhq.com</t>
  </si>
  <si>
    <t>https://www.linkedin.com/in/pankajshroff/?originalSubdomain=in</t>
  </si>
  <si>
    <t>pshroff1982@gmail.com</t>
  </si>
  <si>
    <t>Onsurity</t>
  </si>
  <si>
    <t>Abhinav Singh</t>
  </si>
  <si>
    <t>https://www.linkedin.com/in/abhinavsinghgangal/</t>
  </si>
  <si>
    <t>abhinavsinghgangal@gmail.com</t>
  </si>
  <si>
    <t xml:space="preserve">Rajesh Kini </t>
  </si>
  <si>
    <t>https://www.linkedin.com/in/rajesh-kini-a6433a1/?originalSubdomain=in</t>
  </si>
  <si>
    <t>rajesh.kini@perfios.com</t>
  </si>
  <si>
    <t>, mrajeshkini@gmail.com</t>
  </si>
  <si>
    <t>Vivek Krishna</t>
  </si>
  <si>
    <t>https://www.linkedin.com/in/rvivekkrishna/?originalSubdomain=in</t>
  </si>
  <si>
    <t>Nykaa Tech</t>
  </si>
  <si>
    <r>
      <rPr>
        <rFont val="&quot;Google Sans&quot;, Roboto, Arial, sans-serif"/>
        <b/>
        <color rgb="FF1155CC"/>
        <sz val="12.0"/>
        <u/>
      </rPr>
      <t>Smriti Srivastava</t>
    </r>
  </si>
  <si>
    <t>vivek@rapido.bike</t>
  </si>
  <si>
    <t>RateGain</t>
  </si>
  <si>
    <t xml:space="preserve">Rohan Mittal </t>
  </si>
  <si>
    <t>https://www.linkedin.com/in/rohanmittal83/?originalSubdomain=in</t>
  </si>
  <si>
    <t>Pratik Shetty</t>
  </si>
  <si>
    <t>http://linkedin.com/in/pratikshetty/?originalSubdomain=in</t>
  </si>
  <si>
    <t>rohan.mittal@rategain.com</t>
  </si>
  <si>
    <t xml:space="preserve">rohanxj@gmail.com, </t>
  </si>
  <si>
    <t>Saurav Goyal</t>
  </si>
  <si>
    <t>https://www.linkedin.com/in/saurav-goyal-40905235/?originalSubdomain=in</t>
  </si>
  <si>
    <t>pratikshetty@gmail.com</t>
  </si>
  <si>
    <t>Abhishek Shetty</t>
  </si>
  <si>
    <t>saurav.goyal@moneyview.in</t>
  </si>
  <si>
    <t>https://www.linkedin.com/in/abhishekshettyisb/?originalSubdomain=in</t>
  </si>
  <si>
    <t>Sohil Parekh</t>
  </si>
  <si>
    <t>http://linkedin.com/in/sohil-parekh-09719716/?originalSubdomain=in</t>
  </si>
  <si>
    <t>Director Product</t>
  </si>
  <si>
    <t>https://www.linkedin.com/in/smritisri/</t>
  </si>
  <si>
    <t>abhi10486@gmail.com</t>
  </si>
  <si>
    <t>sohil.parekh@atherenergy.com</t>
  </si>
  <si>
    <t>smriti.srmscet@gmail.com</t>
  </si>
  <si>
    <t>Ramesh Bafna</t>
  </si>
  <si>
    <t>https://www.linkedin.com/in/rameshbafna/?originalSubdomain=in</t>
  </si>
  <si>
    <t>Sahibjeet Singh Sawhney</t>
  </si>
  <si>
    <t>https://www.linkedin.com/in/sahibjeet-singh-sawhney/?originalSubdomain=in</t>
  </si>
  <si>
    <t>ramesh.bafna@zeptonow.com</t>
  </si>
  <si>
    <t>Nikhil Vij</t>
  </si>
  <si>
    <t>74117 08490</t>
  </si>
  <si>
    <t>sahib@zomato.com</t>
  </si>
  <si>
    <t>sahibjeetsawhney@gmail.com</t>
  </si>
  <si>
    <t>https://www.linkedin.com/in/nikhilvij/</t>
  </si>
  <si>
    <t>https://www.linkedin.com/in/vikrantmudaliar/?originalSubdomain=in</t>
  </si>
  <si>
    <t xml:space="preserve">Gaurav Maheshwari </t>
  </si>
  <si>
    <t>https://www.linkedin.com/in/gaurav-maheshwari-341a80a4/?originalSubdomain=in</t>
  </si>
  <si>
    <t>nikhil007vij@gmail.com</t>
  </si>
  <si>
    <t>98115 22997</t>
  </si>
  <si>
    <t>vikrant@dream11.com</t>
  </si>
  <si>
    <t>Prashant Verma</t>
  </si>
  <si>
    <t>https://www.linkedin.com/in/5prashantv/?originalSubdomain=in</t>
  </si>
  <si>
    <t>gaurav.maheshwari@incred.com</t>
  </si>
  <si>
    <t>prashant.verma@coindcx.com</t>
  </si>
  <si>
    <t>Pradyumna Chowdhary</t>
  </si>
  <si>
    <t>5prashantv@iima.ac.in</t>
  </si>
  <si>
    <t>Amit Doshi</t>
  </si>
  <si>
    <t>https://www.linkedin.com/in/pradyumna-chowdhary-39249b110/</t>
  </si>
  <si>
    <t>https://www.linkedin.com/in/doshiamitk/?originalSubdomain=in</t>
  </si>
  <si>
    <t>Stephane Berthier</t>
  </si>
  <si>
    <t>https://www.linkedin.com/in/sberthier/</t>
  </si>
  <si>
    <t>amit.doshi@phonepe.com</t>
  </si>
  <si>
    <t>stephane.berthier@uniphore.com</t>
  </si>
  <si>
    <t>amitdoshiin@gmail.com</t>
  </si>
  <si>
    <t>pradyumna.chowdhary@gmail.com</t>
  </si>
  <si>
    <t>Sidharth Shakdher</t>
  </si>
  <si>
    <t>https://www.linkedin.com/in/sidharths/</t>
  </si>
  <si>
    <t>Santosh Abbimane</t>
  </si>
  <si>
    <t>https://www.linkedin.com/in/santoshabbimane/?originalSubdomain=in</t>
  </si>
  <si>
    <t>Shweta Sivasankaran</t>
  </si>
  <si>
    <t>Vice President of Marketing</t>
  </si>
  <si>
    <t>https://www.linkedin.com/in/shweta-sivasankaran-3a03315b/overlay/contact-info/?lipi=urn%3Ali%3Apage%3Ad_flagship3_profile_view_base%3BELglE6XHRuSd1iOV0sf7DA%3D%3D</t>
  </si>
  <si>
    <t>Shipsy</t>
  </si>
  <si>
    <r>
      <rPr>
        <rFont val="&quot;Google Sans&quot;, Roboto, Arial, sans-serif"/>
        <b/>
        <color rgb="FF1155CC"/>
        <sz val="12.0"/>
        <u/>
      </rPr>
      <t>Prem Rupareliya</t>
    </r>
  </si>
  <si>
    <t>santosh.abbimane@xpressbees.com</t>
  </si>
  <si>
    <t>LEAD</t>
  </si>
  <si>
    <t>Arpit Jain</t>
  </si>
  <si>
    <t>https://www.linkedin.com/in/arpitjaincacs/?originalSubdomain=in</t>
  </si>
  <si>
    <t>shwetasivasankaran@gmail.com, shweta.sivasankaran@unacademy.com</t>
  </si>
  <si>
    <t>arpit.jain@leadschool.in</t>
  </si>
  <si>
    <t>Anuja Mishra</t>
  </si>
  <si>
    <t>Satish Sharma</t>
  </si>
  <si>
    <t>https://www.linkedin.com/in/satishsharmafromunyscape/?originalSubdomain=in</t>
  </si>
  <si>
    <t>Saurabh Agarwal</t>
  </si>
  <si>
    <t>https://www.linkedin.com/in/saurabh-agarwal-a882a2a/?originalSubdomain=in</t>
  </si>
  <si>
    <t>saurabh.agarwal@redbus.com</t>
  </si>
  <si>
    <t>satish.sharma@pw.live</t>
  </si>
  <si>
    <t>, agrsaurabh19@gmail.com</t>
  </si>
  <si>
    <t>satsha1977@gmail.com</t>
  </si>
  <si>
    <t>Chandan Mendiratta</t>
  </si>
  <si>
    <t>Chief Brand Officer</t>
  </si>
  <si>
    <t>https://www.linkedin.com/in/cmendi/?originalSubdomain=in</t>
  </si>
  <si>
    <t>Open</t>
  </si>
  <si>
    <t>https://www.linkedin.com/in/deena-jacob-348b8b4/?originalSubdomain=in</t>
  </si>
  <si>
    <t>98183 63688</t>
  </si>
  <si>
    <t>chandan@zeptonow.com</t>
  </si>
  <si>
    <t>Vivek Chaturvedi</t>
  </si>
  <si>
    <t>https://www.linkedin.com/in/vivekchaturvedi17/?originalSubdomain=in</t>
  </si>
  <si>
    <t>deenajacob@open.money</t>
  </si>
  <si>
    <t>https://www.linkedin.com/in/prem-rupareliya-337b0b20/</t>
  </si>
  <si>
    <t>, deena@bankopen.co, deenajacob@gmail.com</t>
  </si>
  <si>
    <t>vivek.chaturvedi@godigit.com</t>
  </si>
  <si>
    <t>Ashish Mishra</t>
  </si>
  <si>
    <t>https://www.linkedin.com/in/ashish-mishra-mktgathsbc/?originalSubdomain=in</t>
  </si>
  <si>
    <t>Vijay NP</t>
  </si>
  <si>
    <t>https://www.linkedin.com/in/vijaynp/?originalSubdomain=in</t>
  </si>
  <si>
    <t>luvprem2004@gmail.com</t>
  </si>
  <si>
    <t>ashish.mishra@acko.tech</t>
  </si>
  <si>
    <t>ashish.mishra14@gmail.com</t>
  </si>
  <si>
    <t>Rahul Teotia</t>
  </si>
  <si>
    <t>https://www.linkedin.com/in/rahul-teotia-48520413/?originalSubdomain=in</t>
  </si>
  <si>
    <t>vijay@amagi.com</t>
  </si>
  <si>
    <t>, vijaynamonarasimhan@gmail.com</t>
  </si>
  <si>
    <t>rahulteotia@urbancompany.com</t>
  </si>
  <si>
    <t>Senior director</t>
  </si>
  <si>
    <t>teodce@gmail.com</t>
  </si>
  <si>
    <t>https://www.linkedin.com/in/amitkrdubey/</t>
  </si>
  <si>
    <t>Ankush Jain</t>
  </si>
  <si>
    <t>Info Edge (Naukri/JeevanSathi)</t>
  </si>
  <si>
    <t>Sumeet Singh</t>
  </si>
  <si>
    <t>https://www.linkedin.com/in/ankush-jain-68746014/?originalSubdomain=in</t>
  </si>
  <si>
    <t>https://www.linkedin.com/in/sumeet-singh-99bb103/?originalSubdomain=in</t>
  </si>
  <si>
    <t>sumeet.singh@infoedge.com</t>
  </si>
  <si>
    <t>Mayank Kumar</t>
  </si>
  <si>
    <t>https://www.linkedin.com/in/mayank-kumar-5573243/?originalSubdomain=in</t>
  </si>
  <si>
    <t>mayank@upgrad.com</t>
  </si>
  <si>
    <t>mayank_kmr@yahoo.com</t>
  </si>
  <si>
    <t>Megha Agarwal</t>
  </si>
  <si>
    <t>Rahul Tewari</t>
  </si>
  <si>
    <t>Byju's</t>
  </si>
  <si>
    <t>https://www.linkedin.com/in/rahul1tewari/?originalSubdomain=in</t>
  </si>
  <si>
    <t>Zeenat Khan</t>
  </si>
  <si>
    <r>
      <rPr>
        <rFont val="&quot;Google Sans&quot;, Roboto, Arial, sans-serif"/>
        <b/>
        <color rgb="FF1155CC"/>
        <sz val="12.0"/>
        <u/>
      </rPr>
      <t>Ashraf Alkarmi</t>
    </r>
  </si>
  <si>
    <t>Marketing Director</t>
  </si>
  <si>
    <t>https://www.linkedin.com/in/zeenat-khan-b83491239/overlay/contact-info/?lipi=urn%3Ali%3Apage%3Ad_flagship3_profile_view_base%3Br0Tg0z%2BvSS2zuWWAGDZEzA%3D%3D</t>
  </si>
  <si>
    <t>rahul.tewari@damacdigital.com</t>
  </si>
  <si>
    <t>zeenat.khan@byjus.com, zeenat.khan0093@outlook.com</t>
  </si>
  <si>
    <t>Saurabh Sharma</t>
  </si>
  <si>
    <t>https://www.linkedin.com/in/saurabh-sharma-9b9b2715?utm_source=share&amp;utm_campaign=share_via&amp;utm_content=profile&amp;utm_medium=android_app</t>
  </si>
  <si>
    <t>https://www.linkedin.com/in/caashishshah/?originalSubdomain=in</t>
  </si>
  <si>
    <t>96992 91270</t>
  </si>
  <si>
    <t>saurabh.sharma@atherenergy.com</t>
  </si>
  <si>
    <t>Radhika Zingade Bhattacharya</t>
  </si>
  <si>
    <t>Group Marketing Head</t>
  </si>
  <si>
    <t>https://www.linkedin.com/in/radhikaz?utm_source=share&amp;utm_campaign=share_via&amp;utm_content=profile&amp;utm_medium=android_app</t>
  </si>
  <si>
    <t>ashish.shah@dealshare.in.</t>
  </si>
  <si>
    <t>radhika.zingade@incred.com</t>
  </si>
  <si>
    <t>1MG (Tata 1mg)</t>
  </si>
  <si>
    <t>Shruti Agarwal</t>
  </si>
  <si>
    <t>https://www.linkedin.com/in/anuragsinha2/?originalSubdomain=in</t>
  </si>
  <si>
    <t>https://www.linkedin.com/in/shruti-agrawal-iimcal/?originalSubdomain=in</t>
  </si>
  <si>
    <t>anuragsinha@gmail.com</t>
  </si>
  <si>
    <t>https://www.linkedin.com/in/alkarmi/</t>
  </si>
  <si>
    <t>shruti.agrawal@1mg.com</t>
  </si>
  <si>
    <t>shrutilsr@gmail.com</t>
  </si>
  <si>
    <t>5ire</t>
  </si>
  <si>
    <t>Utkarsh Amitabh</t>
  </si>
  <si>
    <t>Chief Marketing Officer</t>
  </si>
  <si>
    <t>https://www.linkedin.com/in/utkarshamitabh/details/experience/</t>
  </si>
  <si>
    <t>Vaidyanathan Mahadevan</t>
  </si>
  <si>
    <t>alkarmi@post.harvard.edu</t>
  </si>
  <si>
    <t>https://www.linkedin.com/in/vaidyanathan-mahadevan-01086b7/?originalSubdomain=in</t>
  </si>
  <si>
    <t>utkarsh@networkcapital.co.za</t>
  </si>
  <si>
    <t>uamitabh@gmail.com</t>
  </si>
  <si>
    <t>Sanjay Kirimanjeshwar</t>
  </si>
  <si>
    <t>Vice President - Corporate Marketing</t>
  </si>
  <si>
    <t>https://www.linkedin.com/in/sanjay-kirimanjeshwar-464575/</t>
  </si>
  <si>
    <t>vaidyanathan.mahadevan@go-yubi.com</t>
  </si>
  <si>
    <t>, nmvaidya@hotmail.com</t>
  </si>
  <si>
    <t>Figma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</si>
  <si>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3.0"/>
        <u/>
      </rPr>
      <t>Yuhki Yamashita</t>
    </r>
  </si>
  <si>
    <t>sanjay@amagi.com</t>
  </si>
  <si>
    <t>Vipul Parekh</t>
  </si>
  <si>
    <t>https://www.linkedin.com/in/vipulparekh/?originalSubdomain=in</t>
  </si>
  <si>
    <t>Sanjay Jhawar</t>
  </si>
  <si>
    <t>https://www.linkedin.com/in/sanjay-jhawar-23468552/?originalSubdomain=in</t>
  </si>
  <si>
    <t>https://www.linkedin.com/in/yuhki/</t>
  </si>
  <si>
    <t>vipul@bigbasket.com</t>
  </si>
  <si>
    <t>sanjay.jhawar@1mg.com</t>
  </si>
  <si>
    <t>Anand Panda</t>
  </si>
  <si>
    <t>, sanjayjhawar1@rediffmail.com</t>
  </si>
  <si>
    <t>Head - Online Business</t>
  </si>
  <si>
    <t>https://www.linkedin.com/in/anandpanda/</t>
  </si>
  <si>
    <t>yuhki@outlook.com</t>
  </si>
  <si>
    <t>anand.panda@billdesk.com</t>
  </si>
  <si>
    <t>Tanmay Kumar</t>
  </si>
  <si>
    <t>anand.panda@gmail.com</t>
  </si>
  <si>
    <t>https://www.linkedin.com/in/kumartanmay/?originalSubdomain=in</t>
  </si>
  <si>
    <t>Chandraprakash</t>
  </si>
  <si>
    <t>robert kawalsky</t>
  </si>
  <si>
    <t>tanmay.kumar@shiprocket.in</t>
  </si>
  <si>
    <t>national sales head</t>
  </si>
  <si>
    <t>https://www.linkedin.com/in/chandra-prakash-b5117b8/?originalSubdomain=in</t>
  </si>
  <si>
    <t>Global head of product</t>
  </si>
  <si>
    <t>, kumartanmay@yahoo.com</t>
  </si>
  <si>
    <t>https://www.linkedin.com/in/robkawalsky/</t>
  </si>
  <si>
    <t>chandraprakash19@gmail.com</t>
  </si>
  <si>
    <t>Gayatri Mathur</t>
  </si>
  <si>
    <t>Amit Sachdeva</t>
  </si>
  <si>
    <t>Director, Growth</t>
  </si>
  <si>
    <t>https://www.linkedin.com/in/gayatrimathur/?originalSubdomain=in</t>
  </si>
  <si>
    <t>https://www.linkedin.com/in/amit-sachdeva-a756537/?originalSubdomain=in</t>
  </si>
  <si>
    <t xml:space="preserve">amit@pw.live, amit.sachdeva@pw.live, </t>
  </si>
  <si>
    <t>gayatri.mathur@blinkit.com</t>
  </si>
  <si>
    <t>93934 87747   98108 32745</t>
  </si>
  <si>
    <t>Navin Gurnani</t>
  </si>
  <si>
    <t>Marketing Leader</t>
  </si>
  <si>
    <t>https://www.linkedin.com/in/navingurnani/?originalSubdomain=in</t>
  </si>
  <si>
    <t>rkawalsky@me.com</t>
  </si>
  <si>
    <t>navin.g@browserstack.com</t>
  </si>
  <si>
    <t>Ashwath Bhat</t>
  </si>
  <si>
    <t>https://www.linkedin.com/in/ashwath-bhat-41784816/</t>
  </si>
  <si>
    <t>Charu Kishnani</t>
  </si>
  <si>
    <t>https://www.linkedin.com/in/charukishnani/?originalSubdomain=in</t>
  </si>
  <si>
    <t>ashwath.bhat@fractal.ai</t>
  </si>
  <si>
    <t>90015 99555</t>
  </si>
  <si>
    <t>Amar Gupta</t>
  </si>
  <si>
    <t>charu.kishnani@girnarsoft.com</t>
  </si>
  <si>
    <t>Gajendra Jangid</t>
  </si>
  <si>
    <t>Product &amp; Operations Leader</t>
  </si>
  <si>
    <t>Co-Founder &amp; CMO</t>
  </si>
  <si>
    <t>https://www.linkedin.com/in/gajendra-jangid-665b3040/?originalSubdomain=in</t>
  </si>
  <si>
    <t>https://www.linkedin.com/in/guptaamar/</t>
  </si>
  <si>
    <t>Sire</t>
  </si>
  <si>
    <t>Merijn Rieke</t>
  </si>
  <si>
    <t>https://www.linkedin.com/in/mrieke/?originalSubdomain=nl</t>
  </si>
  <si>
    <t>gajendra.jangid@cars24.com</t>
  </si>
  <si>
    <t>jangid@gmail.com</t>
  </si>
  <si>
    <t>ChargeBee</t>
  </si>
  <si>
    <t>Guy Marion</t>
  </si>
  <si>
    <t>https://www.linkedin.com/in/guymarion/</t>
  </si>
  <si>
    <t>mailtoamargupta@gmail.com</t>
  </si>
  <si>
    <t>m.rieke@sire-search.com</t>
  </si>
  <si>
    <t>, merijnrieke@me.com</t>
  </si>
  <si>
    <t>guy.marion@chargebee.com</t>
  </si>
  <si>
    <t>guymarion@gmail.com</t>
  </si>
  <si>
    <t>CoinSwitch</t>
  </si>
  <si>
    <t>Lohit Ramachandra</t>
  </si>
  <si>
    <t>Head of marketing</t>
  </si>
  <si>
    <t>https://www.linkedin.com/in/lohith-ramachandra/?originalSubdomain=in</t>
  </si>
  <si>
    <t xml:space="preserve">Rajesh Agarwal </t>
  </si>
  <si>
    <t>https://www.linkedin.com/in/rajesh-agarwal-b844b38/?originalSubdomain=in</t>
  </si>
  <si>
    <t>N26</t>
  </si>
  <si>
    <t>Mayur Kamat</t>
  </si>
  <si>
    <t>lohith.r@coinswitch.co</t>
  </si>
  <si>
    <t>https://www.linkedin.com/in/mayur/</t>
  </si>
  <si>
    <t>DailyHunt</t>
  </si>
  <si>
    <t>Samir Vora</t>
  </si>
  <si>
    <t>https://www.linkedin.com/in/vorasamir/?originalSubdomain=in</t>
  </si>
  <si>
    <t>rajesh.agarwal@darwinbox.com</t>
  </si>
  <si>
    <t>, ag_rajesh@rediffmail.com</t>
  </si>
  <si>
    <t>vorasamirj@gmail.com</t>
  </si>
  <si>
    <t>jeremiaah@gmail.com</t>
  </si>
  <si>
    <t>DarwinBox</t>
  </si>
  <si>
    <t>mkamat@gmail.com</t>
  </si>
  <si>
    <t>Samrat Krishna</t>
  </si>
  <si>
    <t>Nitin Sood</t>
  </si>
  <si>
    <t>https://www.linkedin.com/in/samratkrishna/</t>
  </si>
  <si>
    <t>https://www.linkedin.com/in/nitin-sood-458b5615/?originalSubdomain=in</t>
  </si>
  <si>
    <t>samratvkrishna@gmail.com</t>
  </si>
  <si>
    <t>Jitesh haridas</t>
  </si>
  <si>
    <t>nitin.s@acko.com</t>
  </si>
  <si>
    <t>SVP - strategy</t>
  </si>
  <si>
    <t>https://www.linkedin.com/in/jidesh-haridas/</t>
  </si>
  <si>
    <t>Twilio</t>
  </si>
  <si>
    <r>
      <rPr>
        <rFont val="&quot;Google Sans&quot;, Roboto, Arial, sans-serif"/>
        <color rgb="FF1155CC"/>
        <sz val="12.0"/>
        <u/>
      </rPr>
      <t>Swastik Mishra</t>
    </r>
    <r>
      <rPr>
        <rFont val="&quot;Google Sans&quot;, Roboto, Arial, sans-serif"/>
        <color rgb="FF0A0A0A"/>
        <sz val="12.0"/>
      </rPr>
      <t>,</t>
    </r>
  </si>
  <si>
    <t>jidesh.haridas@delhivery.com</t>
  </si>
  <si>
    <t>Apna</t>
  </si>
  <si>
    <t>Reema Jhunjhunwala</t>
  </si>
  <si>
    <t>Ranga Rajagopalan</t>
  </si>
  <si>
    <t xml:space="preserve">Senior Director Finance </t>
  </si>
  <si>
    <t>Chief Products &amp; Marketing Officer</t>
  </si>
  <si>
    <t>https://www.linkedin.com/in/reemajhunjhunwala/?originalSubdomain=in</t>
  </si>
  <si>
    <t>ranga.rajagopalan@druva.com</t>
  </si>
  <si>
    <t>rrangaraaj@gmail.com</t>
  </si>
  <si>
    <t>Manmeet Ahluwalia</t>
  </si>
  <si>
    <t>reema@apna.co</t>
  </si>
  <si>
    <t>https://www.linkedin.com/in/manmeetahluwalia/?originalSubdomain=in</t>
  </si>
  <si>
    <t xml:space="preserve">Nalin Negi </t>
  </si>
  <si>
    <t>manmeet.ahluwalia@easemytrip.com</t>
  </si>
  <si>
    <t>https://www.linkedin.com/in/nalin-negi-8a9bbb3/?originalSubdomain=in</t>
  </si>
  <si>
    <t>Product leader</t>
  </si>
  <si>
    <t>CEO (Leads Strategy)</t>
  </si>
  <si>
    <t>https://www.linkedin.com/in/deshmukhss/</t>
  </si>
  <si>
    <t>https://www.linkedin.com/in/swastikmishraxlri/</t>
  </si>
  <si>
    <t>nalin@bharatpe.com</t>
  </si>
  <si>
    <t>deshmukh.sandeep@elastic.run</t>
  </si>
  <si>
    <t>san_instru@yahoo.com</t>
  </si>
  <si>
    <t>Anuj Jain</t>
  </si>
  <si>
    <t>Sr. Vice President - Marketing</t>
  </si>
  <si>
    <t>https://www.linkedin.com/in/anuj19/?originalSubdomain=in</t>
  </si>
  <si>
    <t>Satyakam Naik</t>
  </si>
  <si>
    <t>https://www.linkedin.com/in/satyakamgnaik/?originalSubdomain=in</t>
  </si>
  <si>
    <t>smishra@twilio.com</t>
  </si>
  <si>
    <t>anuj.jainn@gmail.com</t>
  </si>
  <si>
    <t>Mika Yamamoto</t>
  </si>
  <si>
    <t>Chief Customer &amp; Marketing Officer</t>
  </si>
  <si>
    <t>https://www.linkedin.com/in/mikayamamoto/</t>
  </si>
  <si>
    <t>satyakam.n@blackbuck.com</t>
  </si>
  <si>
    <t>mika.yamamoto@freshworks.com</t>
  </si>
  <si>
    <t>Saroj panigrahi</t>
  </si>
  <si>
    <t>COO</t>
  </si>
  <si>
    <t xml:space="preserve">Vikash Sureka </t>
  </si>
  <si>
    <t>https://www.linkedin.com/in/saroj-panigrahi-831a9113/</t>
  </si>
  <si>
    <t>Asana</t>
  </si>
  <si>
    <t>https://www.linkedin.com/in/vikash-sureka-3086067/?originalSubdomain=in</t>
  </si>
  <si>
    <r>
      <rPr>
        <rFont val="&quot;Google Sans&quot;, Roboto, Arial, sans-serif"/>
        <b/>
        <color rgb="FF1155CC"/>
        <sz val="12.0"/>
        <u/>
      </rPr>
      <t>Arnab Bose</t>
    </r>
  </si>
  <si>
    <t>vikash@browserstack.com</t>
  </si>
  <si>
    <t>saroj.panigrahi@games24x7.com</t>
  </si>
  <si>
    <t>Pooja Sharma</t>
  </si>
  <si>
    <t>https://www.linkedin.com/in/pooja-sharma-59404825/</t>
  </si>
  <si>
    <t xml:space="preserve"> Pulkit Bhandari</t>
  </si>
  <si>
    <t>https://www.linkedin.com/in/pulkit-bhandari-86650b37/?originalSubdomain=in</t>
  </si>
  <si>
    <t>90400 70441</t>
  </si>
  <si>
    <t>pooja.sharma@groww.in</t>
  </si>
  <si>
    <t>Vartika Verma</t>
  </si>
  <si>
    <t>Sr. Director - Global Marketing</t>
  </si>
  <si>
    <t>https://www.linkedin.com/in/vartikaverma/?originalSubdomain=in</t>
  </si>
  <si>
    <t>pulkit@zensar.com</t>
  </si>
  <si>
    <t>97179 47775</t>
  </si>
  <si>
    <t>Christopher Greiner</t>
  </si>
  <si>
    <t>vartika.verma@gupshup.io</t>
  </si>
  <si>
    <t>https://www.linkedin.com/in/chrisgreiner1/</t>
  </si>
  <si>
    <t>vartikaverma@gmail.com</t>
  </si>
  <si>
    <t>Neha Kaura</t>
  </si>
  <si>
    <t>EX- cmo</t>
  </si>
  <si>
    <t>https://www.linkedin.com/in/nehhamkaura/</t>
  </si>
  <si>
    <t>cgreiner@zetainteractive.com</t>
  </si>
  <si>
    <t>, chrisgreiner1@gmail.com</t>
  </si>
  <si>
    <t>neha@hikeup.com</t>
  </si>
  <si>
    <t>IndiaMART</t>
  </si>
  <si>
    <t>Robin Samuel</t>
  </si>
  <si>
    <t>marketing head</t>
  </si>
  <si>
    <t>https://www.linkedin.com/in/robinsamuel/</t>
  </si>
  <si>
    <t xml:space="preserve">Pankaj Jain
</t>
  </si>
  <si>
    <t>https://www.linkedin.com/in/pankaj-jain-b443211/?originalSubdomain=in</t>
  </si>
  <si>
    <t>robin.samuel@indiamart.com</t>
  </si>
  <si>
    <t>Abhijeet Jhawar</t>
  </si>
  <si>
    <t>https://www.linkedin.com/in/abhijeetjhawar/</t>
  </si>
  <si>
    <t>https://www.linkedin.com/in/abosesf/</t>
  </si>
  <si>
    <t>pankaj.jain@vedantu.com</t>
  </si>
  <si>
    <t>abhijeet.jhawar@infra.market</t>
  </si>
  <si>
    <t>Bikash Chowdhury</t>
  </si>
  <si>
    <t>Ex- CMO</t>
  </si>
  <si>
    <t>https://www.linkedin.com/in/bikashchowdhury/?originalSubdomain=in</t>
  </si>
  <si>
    <t>Ravi Hans Jora</t>
  </si>
  <si>
    <t>Head- Finance and Strategy</t>
  </si>
  <si>
    <t>https://www.linkedin.com/in/ravi-hans-jora-685b6151/?originalSubdomain=in</t>
  </si>
  <si>
    <t>arnab.bose@gmail.com</t>
  </si>
  <si>
    <t>bikashc@gmail.com</t>
  </si>
  <si>
    <t>ravi.jora@spinny.com</t>
  </si>
  <si>
    <t>954091232    90056 57117</t>
  </si>
  <si>
    <t>Sachin Saxena</t>
  </si>
  <si>
    <t>, ravihansjora@gmail.com</t>
  </si>
  <si>
    <t>https://www.linkedin.com/in/sachinsaxena-innovaccer/</t>
  </si>
  <si>
    <t>Shopify</t>
  </si>
  <si>
    <t>sachin.saxena@innovaccer.com</t>
  </si>
  <si>
    <t>Bharati Balakrishnan</t>
  </si>
  <si>
    <t>Arvind Singhal</t>
  </si>
  <si>
    <t xml:space="preserve">Head </t>
  </si>
  <si>
    <t>https://www.linkedin.com/in/bharatibalakrishnan/</t>
  </si>
  <si>
    <t>Chief Growth Officer</t>
  </si>
  <si>
    <t>https://www.linkedin.com/in/arvind-singhal-1b02392/overlay/contact-info/?lipi=urn%3Ali%3Apage%3Ad_flagship3_profile_view_base%3BSYPpTWFESJqJw%2FrSE0LsxQ%3D%3D</t>
  </si>
  <si>
    <t>bharatibalakrishnan@gmail.com</t>
  </si>
  <si>
    <t>(+)91 80954 50000</t>
  </si>
  <si>
    <t>arvind.singhal@leadschool.in</t>
  </si>
  <si>
    <t>LensKart</t>
  </si>
  <si>
    <t>Jaimit Doshi</t>
  </si>
  <si>
    <t>https://www.linkedin.com/in/jaimit/?originalSubdomain=in</t>
  </si>
  <si>
    <t>Manohar Charan</t>
  </si>
  <si>
    <t>CFO &amp; Co-Founder</t>
  </si>
  <si>
    <t>https://www.linkedin.com/in/manohar-charan/?originalSubdomain=in</t>
  </si>
  <si>
    <t>jaimit@gmail.com</t>
  </si>
  <si>
    <t>SUGAR</t>
  </si>
  <si>
    <t>charan@sharechat.com</t>
  </si>
  <si>
    <t>Pratik Vaja</t>
  </si>
  <si>
    <t>Mamta Naik</t>
  </si>
  <si>
    <t>https://www.linkedin.com/in/pratikjv/?originalSubdomain=in</t>
  </si>
  <si>
    <t>, msc@sharechat.co</t>
  </si>
  <si>
    <t>https://www.linkedin.com/in/mamta-naik-6b170013b/</t>
  </si>
  <si>
    <t>88982 12464</t>
  </si>
  <si>
    <t>pratik.vaja@itc.in</t>
  </si>
  <si>
    <t>pratikjv@gmail.com</t>
  </si>
  <si>
    <t>Kartikeya Bhandari</t>
  </si>
  <si>
    <t>https://www.linkedin.com/in/kartikeya-bhandari-3478669/?originalSubdomain=in</t>
  </si>
  <si>
    <t>thrifterscloset@gmail.com</t>
  </si>
  <si>
    <t>kartyb@gmail.com</t>
  </si>
  <si>
    <t>Raj Rishi Singh</t>
  </si>
  <si>
    <t>https://www.linkedin.com/in/raj-rishi-singh-49226a2/?originalSubdomain=in</t>
  </si>
  <si>
    <t>Clear</t>
  </si>
  <si>
    <t>Nabarupa B.</t>
  </si>
  <si>
    <t>raj.singh@makemytrip.com</t>
  </si>
  <si>
    <t>rajrishi78@gmail.com</t>
  </si>
  <si>
    <t xml:space="preserve">Abhay Mathur
</t>
  </si>
  <si>
    <t>https://www.linkedin.com/in/nabarupabanerjee/</t>
  </si>
  <si>
    <t>Manvi Aggarwal</t>
  </si>
  <si>
    <t>https://www.linkedin.com/in/abhay-mathur-aba9aa5/?originalSubdomain=in</t>
  </si>
  <si>
    <t>https://www.linkedin.com/in/manviaggarwal/</t>
  </si>
  <si>
    <t>manvi@mensabrands.com</t>
  </si>
  <si>
    <t>manviaggarwal40@gmail.com</t>
  </si>
  <si>
    <t>abhaymathur@urbancompany.com</t>
  </si>
  <si>
    <t>95603 33979   77386 36430</t>
  </si>
  <si>
    <t>Joan Jenkins</t>
  </si>
  <si>
    <t>https://www.linkedin.com/in/joanj/</t>
  </si>
  <si>
    <t>nabarupa@gmail.com</t>
  </si>
  <si>
    <t xml:space="preserve">Ankit Gadia </t>
  </si>
  <si>
    <t>joan.jenkins@mindtickle.com</t>
  </si>
  <si>
    <t>https://www.linkedin.com/in/ankit-gadia-958bb514/?originalSubdomain=in</t>
  </si>
  <si>
    <t>Jaskaran Kapany</t>
  </si>
  <si>
    <t>https://www.linkedin.com/in/jaskaran-singh-kapany-b6852b8/?originalSubdomain=in</t>
  </si>
  <si>
    <t>ankit.gadia@emeritus.org</t>
  </si>
  <si>
    <t>jaskaran.kapany@mobikwik.com</t>
  </si>
  <si>
    <t>jaskarankapany@gmail.com</t>
  </si>
  <si>
    <t>Akansha Kumari</t>
  </si>
  <si>
    <t>Manish Shrivastav</t>
  </si>
  <si>
    <t>Head of Marketing and Growth</t>
  </si>
  <si>
    <t>https://www.linkedin.com/in/internetecommerce/?originalSubdomain=in</t>
  </si>
  <si>
    <t>https://www.linkedin.com/in/akansha-kumari-32771543/</t>
  </si>
  <si>
    <t>Nupur Singh</t>
  </si>
  <si>
    <t>Director - Marketing and PR</t>
  </si>
  <si>
    <t>https://www.linkedin.com/in/nupurchauhan/</t>
  </si>
  <si>
    <t>nupur.singh@moglix.com</t>
  </si>
  <si>
    <t>akansha.kumari@pocketfm.com</t>
  </si>
  <si>
    <t>Co-Founder &amp; CBO (Leads Marketing)</t>
  </si>
  <si>
    <t>akanshakumari6@gmail.com</t>
  </si>
  <si>
    <t>https://www.linkedin.com/in/saurabh-garg-8876171/?originalSubdomain=in</t>
  </si>
  <si>
    <t>https://www.linkedin.com/in/siva1982/?originalSubdomain=in</t>
  </si>
  <si>
    <t>siva@coinswitch.co</t>
  </si>
  <si>
    <t>2saurabh@gmail.com</t>
  </si>
  <si>
    <t>82970 09191  99209 42194</t>
  </si>
  <si>
    <t>, siva1982@gmail.com</t>
  </si>
  <si>
    <t>Co-Founder (Leads Business)</t>
  </si>
  <si>
    <t>https://www.linkedin.com/in/nitin-jain-17b82310/?originalSubdomain=in</t>
  </si>
  <si>
    <t>Rohit Goyal</t>
  </si>
  <si>
    <t>https://www.linkedin.com/in/rohit-goyal1/?originalSubdomain=in</t>
  </si>
  <si>
    <t>Richa Trivedi</t>
  </si>
  <si>
    <t>98105 99086</t>
  </si>
  <si>
    <t>nitin@ofbusiness.in</t>
  </si>
  <si>
    <t>nitin7nov@gmail.com</t>
  </si>
  <si>
    <t>https://www.linkedin.com/in/richatrivedi/</t>
  </si>
  <si>
    <t>VP - Marketing</t>
  </si>
  <si>
    <t>https://www.linkedin.com/in/amit-gupta-ag/</t>
  </si>
  <si>
    <t>rohit@globalbees.com</t>
  </si>
  <si>
    <t>, trijalrohitgoyal@gmail.com</t>
  </si>
  <si>
    <t>amit.gupta@perfios.com</t>
  </si>
  <si>
    <t>Gaurav Verma</t>
  </si>
  <si>
    <t>https://www.linkedin.com/in/gv-verma/</t>
  </si>
  <si>
    <t>Sudhesh Chandrasekar</t>
  </si>
  <si>
    <t>richa@even.in</t>
  </si>
  <si>
    <t>https://www.linkedin.com/in/sudhesh-chandrasekar/?originalSubdomain=in</t>
  </si>
  <si>
    <t>richa.trivedi@grofers.com</t>
  </si>
  <si>
    <t>richatriv@gmail.com</t>
  </si>
  <si>
    <t>gauravv03@gmail.com</t>
  </si>
  <si>
    <t>Kush Mehra</t>
  </si>
  <si>
    <t>https://www.linkedin.com/in/kush-mehra-3877707/</t>
  </si>
  <si>
    <t>sudhesh.chandrasekar@finbox.in</t>
  </si>
  <si>
    <t>85274 94360, 95433 85489</t>
  </si>
  <si>
    <t>, sudhesh1988@gmail.com</t>
  </si>
  <si>
    <t>kush.mehra@pinelabs.com</t>
  </si>
  <si>
    <t>Sai Narayan</t>
  </si>
  <si>
    <t xml:space="preserve">Prabhat Agarwal </t>
  </si>
  <si>
    <t>https://www.linkedin.com/in/sai-narayan-9485742/?originalSubdomain=in</t>
  </si>
  <si>
    <t>https://www.linkedin.com/in/prabhat-agarwal/?originalSubdomain=in</t>
  </si>
  <si>
    <t>Anu George</t>
  </si>
  <si>
    <t>https://www.linkedin.com/in/anugeorgeiimb/?originalSubdomain=in</t>
  </si>
  <si>
    <t>sai@policybazaar.com</t>
  </si>
  <si>
    <t>narayan.sai@gmail.com</t>
  </si>
  <si>
    <t>prabhat.agarwal@insurancedekho.com</t>
  </si>
  <si>
    <t xml:space="preserve">prabhat2911@gmail.com, </t>
  </si>
  <si>
    <t>VP - marketing</t>
  </si>
  <si>
    <t>https://www.linkedin.com/in/deepinder-singh-b084484b/</t>
  </si>
  <si>
    <t>Scott B.</t>
  </si>
  <si>
    <t>deepinder.singh@pristyncare.com</t>
  </si>
  <si>
    <t>https://www.linkedin.com/in/scott-b-4513915/</t>
  </si>
  <si>
    <t>anugeorge@ninjacart.com</t>
  </si>
  <si>
    <t>Nippun Aneja</t>
  </si>
  <si>
    <t>gee.anu@gmail.com</t>
  </si>
  <si>
    <t>https://www.linkedin.com/in/nippun-aneja-16567233/?originalSubdomain=in</t>
  </si>
  <si>
    <t>anu.george.2017@gmail.com</t>
  </si>
  <si>
    <t>scott.bruckner@plexus.com</t>
  </si>
  <si>
    <t>1 978-688-6706</t>
  </si>
  <si>
    <t>, sbruckner1@gmail.com</t>
  </si>
  <si>
    <t>anejanippun@gmail.com</t>
  </si>
  <si>
    <t>Vineet Sehgal</t>
  </si>
  <si>
    <t>https://www.linkedin.com/in/vineet-sehgal-8655381/</t>
  </si>
  <si>
    <t>Karishma Gupta</t>
  </si>
  <si>
    <t>PIXIS</t>
  </si>
  <si>
    <t>https://www.linkedin.com/in/karishmagupta6/</t>
  </si>
  <si>
    <t>Sakshi Choudhary</t>
  </si>
  <si>
    <t>https://www.linkedin.com/in/sakshi-choudhary-68b597128/</t>
  </si>
  <si>
    <t>vineet@quikr.com</t>
  </si>
  <si>
    <t>Pawandip Singh</t>
  </si>
  <si>
    <t>linkedin.com/in/pawandip-singh?originalSubdomain=in</t>
  </si>
  <si>
    <t>MindTickle</t>
  </si>
  <si>
    <t xml:space="preserve">Ankur Verma </t>
  </si>
  <si>
    <t>sakshi.13182@gmail.com</t>
  </si>
  <si>
    <t>https://www.linkedin.com/in/ankver/</t>
  </si>
  <si>
    <t>sakshi.choudhary@pixis.ai</t>
  </si>
  <si>
    <t>pd_bby@yahoo.co.uk</t>
  </si>
  <si>
    <t>wework</t>
  </si>
  <si>
    <t>Arya</t>
  </si>
  <si>
    <t>Ankit Chaturvedi</t>
  </si>
  <si>
    <t>Global Head of Marketing</t>
  </si>
  <si>
    <t>https://www.linkedin.com/in/ankitchaturvedi85/?originalSubdomain=in</t>
  </si>
  <si>
    <t>ankur.verma@mindtickle.com</t>
  </si>
  <si>
    <t>https://www.linkedin.com/in/arya-k-arya-nair-0234b6110/</t>
  </si>
  <si>
    <t>ankit.chaturvedi@rategain.com</t>
  </si>
  <si>
    <t>aryanairk@gmail.com</t>
  </si>
  <si>
    <t>Dushyant Panda</t>
  </si>
  <si>
    <t>arya.k@wework.com</t>
  </si>
  <si>
    <t>VP - Marketing and Business</t>
  </si>
  <si>
    <t>https://www.linkedin.com/in/dushyantpanda/?originalSubdomain=in</t>
  </si>
  <si>
    <t>Adyen</t>
  </si>
  <si>
    <t>Gayathri Rajan</t>
  </si>
  <si>
    <t>Dhiresh Bansal</t>
  </si>
  <si>
    <t>https://www.linkedin.com/in/dhiresh/?originalSubdomain=in</t>
  </si>
  <si>
    <t>dushyant.panda@razorpay.com</t>
  </si>
  <si>
    <t>Ankush Grover</t>
  </si>
  <si>
    <t>Co-Founder (Leads Growth)</t>
  </si>
  <si>
    <t>https://www.linkedin.com/in/gayathri-rajan-81b226/</t>
  </si>
  <si>
    <t>https://in.linkedin.com/in/nishant-kedia-78778518</t>
  </si>
  <si>
    <t>dhiresh.bansal@meesho.com</t>
  </si>
  <si>
    <t>nishant.kedia@rebelfoods.com</t>
  </si>
  <si>
    <t>nishantkedia633@gmail.com</t>
  </si>
  <si>
    <t>gayathri.rajan@adyen.com</t>
  </si>
  <si>
    <t>Himanshu Bhattacharjee</t>
  </si>
  <si>
    <t xml:space="preserve">Deepak Jajodia </t>
  </si>
  <si>
    <t>Cencora</t>
  </si>
  <si>
    <t>https://www.linkedin.com/in/himanshu-bhatta/</t>
  </si>
  <si>
    <t>https://www.linkedin.com/in/deepak-jajodia-109b186/?originalSubdomain=in</t>
  </si>
  <si>
    <t>Tina Martinez</t>
  </si>
  <si>
    <t>Vice President, Head of Global Products and Solutions</t>
  </si>
  <si>
    <t>https://www.linkedin.com/in/tina-martinez-6767a94/</t>
  </si>
  <si>
    <t>himanshubhattacharjee@gmail.com</t>
  </si>
  <si>
    <t>Neha Markanda</t>
  </si>
  <si>
    <t>deepak.jajodia@ofbusiness.com</t>
  </si>
  <si>
    <t>https://www.linkedin.com/in/neha-markanda-8192325/?originalSubdomain=in</t>
  </si>
  <si>
    <t>trocha12@yahoo.com</t>
  </si>
  <si>
    <t>tinarocha@mac.com</t>
  </si>
  <si>
    <t>Stephanie Neill</t>
  </si>
  <si>
    <t>nehamarkanda@sharechat.com</t>
  </si>
  <si>
    <t>Mayank Jain</t>
  </si>
  <si>
    <t>https://www.linkedin.com/in/stephanieneill/</t>
  </si>
  <si>
    <t>Ashish Shand</t>
  </si>
  <si>
    <t>http://linkedin.com/in/mayank-jain-4989838/</t>
  </si>
  <si>
    <t>https://www.linkedin.com/in/ashish-shand-178b24117/?originalSubdomain=in</t>
  </si>
  <si>
    <t>mayank.jain@snapdeal.com</t>
  </si>
  <si>
    <t>mayanksmail@gmail.com</t>
  </si>
  <si>
    <t>Harish Narayanan</t>
  </si>
  <si>
    <t>Ex-CMO (current cmo - hdfc MF</t>
  </si>
  <si>
    <t>https://www.linkedin.com/in/theharishnarayanan/?originalSubdomain=in</t>
  </si>
  <si>
    <t>stephaneill@gmail.com</t>
  </si>
  <si>
    <t>ashish.shand@nobroker.in</t>
  </si>
  <si>
    <t>866 073 2477</t>
  </si>
  <si>
    <t>harishsn@hdfcfund.com</t>
  </si>
  <si>
    <t>Ramanpreet Sohi</t>
  </si>
  <si>
    <t>Kunal Dubey</t>
  </si>
  <si>
    <t>https://www.linkedin.com/in/ramanpreet-sohi-1635328/?originalSubdomain=in</t>
  </si>
  <si>
    <t>Ex-CMO (current Global Head of Brand and content at Practo)</t>
  </si>
  <si>
    <t>https://www.linkedin.com/in/kunal-dubey-35b1931b/?originalSubdomain=in</t>
  </si>
  <si>
    <t>kunal.dubey@practo.com</t>
  </si>
  <si>
    <t>ramanpreet.sohi@religare.in</t>
  </si>
  <si>
    <t>dubeykunal@gmail.com</t>
  </si>
  <si>
    <t>98187 07285</t>
  </si>
  <si>
    <t>, rony_sohi@yahoo.co.in</t>
  </si>
  <si>
    <t>Harsha Bhoi</t>
  </si>
  <si>
    <t>https://www.linkedin.com/in/harshal-bhoi-2ba0a84b/?originalSubdomain=in</t>
  </si>
  <si>
    <t xml:space="preserve">Amit Shrivastav </t>
  </si>
  <si>
    <t>https://www.linkedin.com/in/amit-shrivastav-50763a201/?originalSubdomain=in</t>
  </si>
  <si>
    <t>ashrivastav@gupshup.io</t>
  </si>
  <si>
    <t>Sagar Gudekote</t>
  </si>
  <si>
    <t>VP - Marketing &amp; Content Strategy</t>
  </si>
  <si>
    <t>https://www.linkedin.com/in/sagar-gudekote-337b87120/?originalSubdomain=in</t>
  </si>
  <si>
    <t>Ishan Bansal</t>
  </si>
  <si>
    <t>https://www.linkedin.com/in/ishan-bansal-8678b216/?originalSubdomain=in</t>
  </si>
  <si>
    <t>89048 38190</t>
  </si>
  <si>
    <t>sagar.g@zerodha.com</t>
  </si>
  <si>
    <t>Shashank Mehrotra</t>
  </si>
  <si>
    <t>https://www.linkedin.com/in/shashankmehrotra/</t>
  </si>
  <si>
    <t>ishan.bansal@groww.in</t>
  </si>
  <si>
    <t>shashank.mehrotra@zeta.com</t>
  </si>
  <si>
    <t>shashankmehrotra@gmail.com</t>
  </si>
  <si>
    <t>Amrit Raj</t>
  </si>
  <si>
    <t>Sanjeev Arora</t>
  </si>
  <si>
    <t>https://www.linkedin.com/in/amritraj86/?originalSubdomain=in</t>
  </si>
  <si>
    <t>https://www.linkedin.com/in/sanjeev-arora-2038b812/</t>
  </si>
  <si>
    <t>sanjeev.arora@moglix.com</t>
  </si>
  <si>
    <t>amrit.raj@zetwerk.com</t>
  </si>
  <si>
    <t>jhaamrit@gmail.com</t>
  </si>
  <si>
    <t>Hariharan Muralimanohar</t>
  </si>
  <si>
    <t>https://www.linkedin.com/in/hariharanmurali/?originalSubdomain=in</t>
  </si>
  <si>
    <t xml:space="preserve">Manish Porwal </t>
  </si>
  <si>
    <t>https://www.linkedin.com/in/ca-manish-porwal-363ba74/</t>
  </si>
  <si>
    <t>99529 28383</t>
  </si>
  <si>
    <t>hariharan.murali@zohocorp.com</t>
  </si>
  <si>
    <t>Snitch</t>
  </si>
  <si>
    <t>manish@infra.market, manish.porwal@infra.market</t>
  </si>
  <si>
    <t xml:space="preserve">Chetan Siyal </t>
  </si>
  <si>
    <t xml:space="preserve"> 98215 10827, +91 88793 50107</t>
  </si>
  <si>
    <t>https://www.linkedin.com/in/chetan-siyal-299b6830/</t>
  </si>
  <si>
    <t>95388 79070</t>
  </si>
  <si>
    <t xml:space="preserve">Piyush Kakkad </t>
  </si>
  <si>
    <t>chetan@snitch.co.in</t>
  </si>
  <si>
    <t>chetan.siyal@gmail.com</t>
  </si>
  <si>
    <t>https://www.linkedin.com/in/piyush-kakkad-b991a2a1/?originalSubdomain=in</t>
  </si>
  <si>
    <t>Ankit Kumar</t>
  </si>
  <si>
    <t>VP - Brand and Marketing</t>
  </si>
  <si>
    <t>https://www.linkedin.com/in/ankitkumardelhi/</t>
  </si>
  <si>
    <t>piyush.kakkad@rebelfoods.com</t>
  </si>
  <si>
    <t>, piyush.kakkad@rivigo.com, piyush.kakkad2@gmail.com</t>
  </si>
  <si>
    <t>akumar@chaayos.com</t>
  </si>
  <si>
    <t>Vipin Kapooria</t>
  </si>
  <si>
    <t>ClassPlus</t>
  </si>
  <si>
    <r>
      <rPr>
        <color rgb="FF1155CC"/>
        <u/>
      </rPr>
      <t>(28) Vipin Kapooria | LinkedIn</t>
    </r>
  </si>
  <si>
    <t>Ayush Agarwal</t>
  </si>
  <si>
    <t>Vice President Business</t>
  </si>
  <si>
    <t>https://www.linkedin.com/in/ayush-agarwal-73066721/overlay/contact-info/?lipi=urn%3Ali%3Apage%3Ad_flagship3_profile_view_base%3BLfgK7N3KQbmuyhaIBWXu%2Fw%3D%3D</t>
  </si>
  <si>
    <t>vipin.kapooria@grofers.com</t>
  </si>
  <si>
    <t>95559 77401</t>
  </si>
  <si>
    <t>, vipin.kapooria@gmail.com</t>
  </si>
  <si>
    <t>Shivanshu Makkar</t>
  </si>
  <si>
    <t xml:space="preserve">918454943200, </t>
  </si>
  <si>
    <t>https://www.linkedin.com/in/shivanshumakkar/?originalSubdomain=in</t>
  </si>
  <si>
    <t>ayush.agarwal@classplus.co</t>
  </si>
  <si>
    <t>shivanshu.makkar@cars24.com</t>
  </si>
  <si>
    <t>, shivanshumakkar@gmail.com</t>
  </si>
  <si>
    <t>Dolly Davda</t>
  </si>
  <si>
    <t>Prakashan Manikoth</t>
  </si>
  <si>
    <t>https://www.linkedin.com/in/dollydavda/overlay/contact-info/?lipi=urn%3Ali%3Apage%3Ad_flagship3_profile_view_base%3BrnhVk5ahSBWanJra7SV8kQ%3D%3D</t>
  </si>
  <si>
    <t>https://www.linkedin.com/in/prakashan-manikoth/</t>
  </si>
  <si>
    <t>prakashan.manikoth@verse.in, prakashan.manikoth@leadsquared.com</t>
  </si>
  <si>
    <t>dolly.davda@bookmyshow.com</t>
  </si>
  <si>
    <t>Gaurav Mehta</t>
  </si>
  <si>
    <t>Ex-CMO (Noise, Zupee, Girnarsoft)</t>
  </si>
  <si>
    <t>https://www.linkedin.com/in/gaurav-mehta-7a85234/?originalSubdomain=in</t>
  </si>
  <si>
    <t xml:space="preserve">Gautam Sharma
</t>
  </si>
  <si>
    <t>https://www.linkedin.com/in/cagautamsharma/?originalSubdomain=in</t>
  </si>
  <si>
    <t>hailgm1@yahoo.com</t>
  </si>
  <si>
    <t>Gurjit Singh</t>
  </si>
  <si>
    <t>Head of Product and Brand Marketing</t>
  </si>
  <si>
    <t>https://www.linkedin.com/in/gurjit-singh-8715417a/overlay/contact-info/?lipi=urn%3Ali%3Apage%3Ad_flagship3_profile_view_base%3BI3AVGWv1QRqaMNP4aQD4Yg%3D%3D</t>
  </si>
  <si>
    <t>gautam@firstcry.com</t>
  </si>
  <si>
    <t>85520 01919</t>
  </si>
  <si>
    <t>gurjit@adda247.com</t>
  </si>
  <si>
    <t xml:space="preserve">Ranjana Auti
</t>
  </si>
  <si>
    <t xml:space="preserve">Ganesh P </t>
  </si>
  <si>
    <t>Mahip Dwivedi</t>
  </si>
  <si>
    <t>https://www.linkedin.com/in/mahipd/?originalSubdomain=in</t>
  </si>
  <si>
    <t>https://www.linkedin.com/in/pganesh1/?originalSubdomain=in</t>
  </si>
  <si>
    <t>mahip.d@pepperfry.com</t>
  </si>
  <si>
    <t>maheep4u@gmail.com</t>
  </si>
  <si>
    <t>pganesh1971@yahoo.co.in</t>
  </si>
  <si>
    <t>SUGAR Cosmetics</t>
  </si>
  <si>
    <t>Naveen Murali</t>
  </si>
  <si>
    <t>https://www.linkedin.com/in/naveenmurali/</t>
  </si>
  <si>
    <t>naveen.murali@sugarcosmetics.com</t>
  </si>
  <si>
    <t>naveenmurali69@gmail.com</t>
  </si>
  <si>
    <t>Scalar Academy</t>
  </si>
  <si>
    <t>Sameer Kamath</t>
  </si>
  <si>
    <t>Rahul Karthikeyan</t>
  </si>
  <si>
    <t>https://www.linkedin.com/in/sameer-kamath-1561077/?originalSubdomain=in</t>
  </si>
  <si>
    <t>https://www.linkedin.com/in/rahulkarthikeyan/overlay/contact-info/?lipi=urn%3Ali%3Apage%3Ad_flagship3_profile_view_base%3B3YmUE5QCQJ6ALO75sRE3GA%3D%3D</t>
  </si>
  <si>
    <t>sameer.kamath@pinelabs.com</t>
  </si>
  <si>
    <t xml:space="preserve">Nikhil Kamath </t>
  </si>
  <si>
    <t>https://www.linkedin.com/in/nikhilkamathcio/?originalSubdomain=in</t>
  </si>
  <si>
    <t>rahul_karthikeyan@scaler.com</t>
  </si>
  <si>
    <t>, nikhil@gruhas.com</t>
  </si>
  <si>
    <t>Sazal Batra</t>
  </si>
  <si>
    <t>Director of Growth</t>
  </si>
  <si>
    <t>https://www.linkedin.com/in/sazal-batra-818a5271/</t>
  </si>
  <si>
    <t>sazal@inshorts.group</t>
  </si>
  <si>
    <t>Interview Kickstart</t>
  </si>
  <si>
    <t>Vanda Ferrao</t>
  </si>
  <si>
    <t xml:space="preserve">Arpit Chug
</t>
  </si>
  <si>
    <t>CMO (ex-cmo of wow, licious)</t>
  </si>
  <si>
    <t>https://www.linkedin.com/in/arpit-chug-5928354/?originalSubdomain=in</t>
  </si>
  <si>
    <t>https://www.linkedin.com/in/vanda-ferrao-52368a5/?originalSubdomain=in</t>
  </si>
  <si>
    <t>vanda@interviewkickstart.com</t>
  </si>
  <si>
    <t>arpit.chug@razorpay.com</t>
  </si>
  <si>
    <t>Varun Jha</t>
  </si>
  <si>
    <t>Global CMO</t>
  </si>
  <si>
    <t>kumarvarunuv@gmail.com</t>
  </si>
  <si>
    <t>(+)91 98715 00322</t>
  </si>
  <si>
    <t>https://www.linkedin.com/in/varunjha1/overlay/contact-info/?lipi=urn%3Ali%3Apage%3Ad_flagship3_profile_view_base%3BJyYJdBiYTNiH7WNj1%2BIEHg%3D%3D</t>
  </si>
  <si>
    <t>Abhishek Pipara</t>
  </si>
  <si>
    <t>https://www.linkedin.com/in/abhishek-pipara-40a21a2b/?originalSubdomain=in</t>
  </si>
  <si>
    <t>Vedam Ramprasad</t>
  </si>
  <si>
    <t>abhishek.pipara@unacademy.com</t>
  </si>
  <si>
    <t>https://www.linkedin.com/in/vedam-ramprasad-95124736/?originalSubdomain=in</t>
  </si>
  <si>
    <t>vedam.ramprasad@medgenome.com</t>
  </si>
  <si>
    <t>Sean Blitchok</t>
  </si>
  <si>
    <t>https://www.linkedin.com/in/sblitchok/</t>
  </si>
  <si>
    <t>blitcho2@yahoo.com</t>
  </si>
  <si>
    <t xml:space="preserve">Manish Bajoria </t>
  </si>
  <si>
    <t>https://www.linkedin.com/in/manish-bajoria/?originalSubdomain=in</t>
  </si>
  <si>
    <t>manish.bajoria@bigbasket.com</t>
  </si>
  <si>
    <t>Amit Agarwal</t>
  </si>
  <si>
    <t>https://www.linkedin.com/in/amit-agarwal-027b195/?originalSubdomain=in</t>
  </si>
  <si>
    <t>amit.agarwal@delhivery.com</t>
  </si>
  <si>
    <t>Ex-CMO</t>
  </si>
  <si>
    <t xml:space="preserve">Navin Agarwal
</t>
  </si>
  <si>
    <t>https://www.linkedin.com/in/agarwal-navin/?originalSubdomain=in</t>
  </si>
  <si>
    <t>ex cmo</t>
  </si>
  <si>
    <t>navin.a@dream11.com</t>
  </si>
  <si>
    <t>Rajat Bahri</t>
  </si>
  <si>
    <t>https://www.linkedin.com/in/rajat-bahri-79b5004/</t>
  </si>
  <si>
    <t>Ex-CMO (cuurent cmo at innovapptive)</t>
  </si>
  <si>
    <t>Jagroop Bal</t>
  </si>
  <si>
    <t>https://www.linkedin.com/in/jagroopbal/</t>
  </si>
  <si>
    <t>Ex-cmo</t>
  </si>
  <si>
    <t>jagroop.bal@druva.com</t>
  </si>
  <si>
    <t>G R Arun Kumar</t>
  </si>
  <si>
    <t>https://www.linkedin.com/in/g-r-arun-kumar-86523314/?originalSubdomain=in</t>
  </si>
  <si>
    <t>Head of Growth</t>
  </si>
  <si>
    <t>g_kumar@welspun.com</t>
  </si>
  <si>
    <t>https://www.linkedin.com/in/abhishek-gupta-140ab611/?originalSubdomain=in</t>
  </si>
  <si>
    <t>VP - Growth</t>
  </si>
  <si>
    <t>abhishek@lenskart.com</t>
  </si>
  <si>
    <t>Srinivasu MN</t>
  </si>
  <si>
    <t>https://www.linkedin.com/in/srinivasu/?originalSubdomain=in</t>
  </si>
  <si>
    <t xml:space="preserve">Paytm </t>
  </si>
  <si>
    <t>SVP sales</t>
  </si>
  <si>
    <t xml:space="preserve">Madhur Deora </t>
  </si>
  <si>
    <t>https://www.linkedin.com/in/madhurdeora/?originalSubdomain=in</t>
  </si>
  <si>
    <t>Business head</t>
  </si>
  <si>
    <t>madhur.deora@paytm.com</t>
  </si>
  <si>
    <t>Rakesh Kumar</t>
  </si>
  <si>
    <t>https://www.linkedin.com/in/rakesh-kumar-a672316/?originalSubdomain=in</t>
  </si>
  <si>
    <t>rakesh@prismlife.com</t>
  </si>
  <si>
    <t xml:space="preserve">Tyler Sloat </t>
  </si>
  <si>
    <t>https://www.linkedin.com/in/tylersloat/</t>
  </si>
  <si>
    <t>tyler.sloat@freshworks.com</t>
  </si>
  <si>
    <t>cmo</t>
  </si>
  <si>
    <t xml:space="preserve">Rahul Bothra </t>
  </si>
  <si>
    <t>https://www.linkedin.com/in/rahul-bothra-0231608/</t>
  </si>
  <si>
    <t>Ex cmo</t>
  </si>
  <si>
    <t>rahul.bothra@swiggy.in</t>
  </si>
  <si>
    <t>Director of growth</t>
  </si>
  <si>
    <t>Mandeep Mehta</t>
  </si>
  <si>
    <t>https://www.linkedin.com/in/mandeep-mehta/?originalSubdomain=in</t>
  </si>
  <si>
    <t>mehtamandeep@gmail.com</t>
  </si>
  <si>
    <t>GM - PR, Marketing</t>
  </si>
  <si>
    <t>Aditya Pande</t>
  </si>
  <si>
    <t>Global head of marketing</t>
  </si>
  <si>
    <t>https://www.linkedin.com/in/aditya-pande-0a175980/?originalSubdomain=in</t>
  </si>
  <si>
    <t>aditya.pande@interglobe.com</t>
  </si>
  <si>
    <t>, adityapande006@gmail.com</t>
  </si>
  <si>
    <t>Adarsh Nahata</t>
  </si>
  <si>
    <t>https://www.linkedin.com/in/adarsh-nahata-4a349413/?originalSubdomain=in</t>
  </si>
  <si>
    <t>adarsh.nahata@phonepe.com, adarsh@phonepe.com</t>
  </si>
  <si>
    <t>98331 51394, 99000 93050</t>
  </si>
  <si>
    <t>Capillary Tech</t>
  </si>
  <si>
    <t>Capital Float</t>
  </si>
  <si>
    <t>Kailash Vaswani</t>
  </si>
  <si>
    <t>https://www.linkedin.com/in/kailashvaswani/?originalSubdomain=in</t>
  </si>
  <si>
    <t>kailash@renewpower.in, kailash.vaswani@renewpower.in</t>
  </si>
  <si>
    <t>Drip Capital</t>
  </si>
  <si>
    <t>EatClub Brands</t>
  </si>
  <si>
    <t>https://www.linkedin.com/in/deepak-sharma-6b67818/?originalSubdomain=in</t>
  </si>
  <si>
    <t>Fi.Money</t>
  </si>
  <si>
    <t>FINO PayTech</t>
  </si>
  <si>
    <t>FreshToHome</t>
  </si>
  <si>
    <t>deepak1102a7@gmail.com</t>
  </si>
  <si>
    <t>HealthKart</t>
  </si>
  <si>
    <t>IndMoney</t>
  </si>
  <si>
    <t>https://www.linkedin.com/in/manish-kumar-9bb75856/?originalSubdomain=ae</t>
  </si>
  <si>
    <t>Loco</t>
  </si>
  <si>
    <t xml:space="preserve">manish@hike.in, mk@hike.in, </t>
  </si>
  <si>
    <t>99711 18696</t>
  </si>
  <si>
    <t>Navi Tech</t>
  </si>
  <si>
    <t>Nazara Tech</t>
  </si>
  <si>
    <t>NiYO Solutions</t>
  </si>
  <si>
    <t>Pernia's Pop-Up</t>
  </si>
  <si>
    <t xml:space="preserve">Mohit Kabra </t>
  </si>
  <si>
    <t>https://www.linkedin.com/in/mohit-kabra-5b64615/?originalSubdomain=in</t>
  </si>
  <si>
    <t>mohit.kabra@makemytrip.com</t>
  </si>
  <si>
    <t>Akriti Chopra</t>
  </si>
  <si>
    <t>https://www.linkedin.com/in/akriti-chopra-2a21aa56/?originalSubdomain=in</t>
  </si>
  <si>
    <t>mnc</t>
  </si>
  <si>
    <t>Conglomerates &amp; Large Groups (20)</t>
  </si>
  <si>
    <t>Inderpreet Singh</t>
  </si>
  <si>
    <t>HOM</t>
  </si>
  <si>
    <t>https://www.linkedin.com/in/inderpreet-singh-2900605/</t>
  </si>
  <si>
    <t>inderpreet.singh@adityabirla.com</t>
  </si>
  <si>
    <t>inder.kohli@gmail.com</t>
  </si>
  <si>
    <t>Larsen &amp; Toubro (L&amp;T)</t>
  </si>
  <si>
    <t>Dr Mohammad Kapasi</t>
  </si>
  <si>
    <t>https://www.linkedin.com/in/dr-mohammad-kapasi-7b95b1252/</t>
  </si>
  <si>
    <t>dr.kapasi@larsentoubro.com</t>
  </si>
  <si>
    <t>JSW Group</t>
  </si>
  <si>
    <t>Sanjay Sawhney</t>
  </si>
  <si>
    <t>VP Sales and Marketing</t>
  </si>
  <si>
    <t>https://www.linkedin.com/in/sanjay-sawhney-b55b1558/</t>
  </si>
  <si>
    <t>Kartik Gupta</t>
  </si>
  <si>
    <t>https://www.linkedin.com/in/kartikgupta1/?originalSubdomain=ae</t>
  </si>
  <si>
    <t>sanjay@jsw.in</t>
  </si>
  <si>
    <t>sanjay.sawhney@jsw.in</t>
  </si>
  <si>
    <t>sanjay.sawhney19@gmail.com</t>
  </si>
  <si>
    <t>Tanya Dubash</t>
  </si>
  <si>
    <t>Executive Director and Chief Brand Officer - Godrej Group</t>
  </si>
  <si>
    <t>https://www.linkedin.com/in/tanyadubash/</t>
  </si>
  <si>
    <t>ta.dubash@godrejinds.com</t>
  </si>
  <si>
    <t>InfoEdge</t>
  </si>
  <si>
    <t>Chintan Thakkar</t>
  </si>
  <si>
    <t>https://www.linkedin.com/in/chintan-thakkar/?originalSubdomain=in</t>
  </si>
  <si>
    <t>Adani Group</t>
  </si>
  <si>
    <t>Aroop Chatterjee</t>
  </si>
  <si>
    <t>Building Brand &amp; Marketing Impact @ Adani Group</t>
  </si>
  <si>
    <t>https://www.linkedin.com/in/aroopchatterjee/</t>
  </si>
  <si>
    <t>chatterjee.aroop@gmail.com</t>
  </si>
  <si>
    <t>chintan@infoedge.in</t>
  </si>
  <si>
    <t>Essar Group</t>
  </si>
  <si>
    <t>Sunil Jain</t>
  </si>
  <si>
    <t>Chief Marketing Officer at Essar Projects</t>
  </si>
  <si>
    <t>https://www.linkedin.com/in/sunil-jain-8b385175/</t>
  </si>
  <si>
    <t>L Sivagnana Selvam</t>
  </si>
  <si>
    <t>suniljain2421@gmail.com</t>
  </si>
  <si>
    <t>https://www.linkedin.com/in/l-sivagnana-selvam-16b6375/?originalSubdomain=in</t>
  </si>
  <si>
    <t>·</t>
  </si>
  <si>
    <t>Sumeet Das</t>
  </si>
  <si>
    <t>Ex- CMO INEL/ IMC-Hinduja Group</t>
  </si>
  <si>
    <t>https://www.linkedin.com/in/sumeet-das-3329b1121/</t>
  </si>
  <si>
    <t>exemplarmedia15@gmail.com</t>
  </si>
  <si>
    <t>TVS Group</t>
  </si>
  <si>
    <t>Charandeep Singh Chawla</t>
  </si>
  <si>
    <t>Chief Marketing Officer - TVS Credit</t>
  </si>
  <si>
    <t>https://www.linkedin.com/in/charandeeptvscredit/</t>
  </si>
  <si>
    <t>Vikas Bhasin</t>
  </si>
  <si>
    <t>charan.d.singh@gmail.com</t>
  </si>
  <si>
    <t>https://www.linkedin.com/in/vikas-bhasin-5b673710/?originalSubdomain=in</t>
  </si>
  <si>
    <t>Murugappa Group</t>
  </si>
  <si>
    <t>Parthasarathy Ramanujam</t>
  </si>
  <si>
    <t>https://www.linkedin.com/in/parthasarathy-ramanujam-7b814349/</t>
  </si>
  <si>
    <t>vikasbhasin04@gmail.com</t>
  </si>
  <si>
    <t>parthasarathy.r@indiacements.co.in</t>
  </si>
  <si>
    <t>parthasarathy.r@in.roca.com</t>
  </si>
  <si>
    <t>rajpartha1974@gmail.com</t>
  </si>
  <si>
    <t>Hero Group</t>
  </si>
  <si>
    <t>Rohit Sharma</t>
  </si>
  <si>
    <t>https://www.linkedin.com/in/rohit-sharma-527b722/</t>
  </si>
  <si>
    <t>Marc Steifman</t>
  </si>
  <si>
    <t>https://www.linkedin.com/in/marc-steifman-1237a/</t>
  </si>
  <si>
    <t>rsharma@herocycles.com</t>
  </si>
  <si>
    <t>rohsharma@gmail.com</t>
  </si>
  <si>
    <t>Jindal Group</t>
  </si>
  <si>
    <t>Sanjiv Dheer</t>
  </si>
  <si>
    <t>Head Global - Marketing Seamless Business Jindal Saw Group</t>
  </si>
  <si>
    <t>https://www.linkedin.com/in/sanjiv-dheer-3a54b337/</t>
  </si>
  <si>
    <t>marc.steifman@inmobi.com</t>
  </si>
  <si>
    <t>sanjivdheer2012@gmail.com</t>
  </si>
  <si>
    <t>sanjivdheer@rediffmail.com</t>
  </si>
  <si>
    <t>Ravi Iyer</t>
  </si>
  <si>
    <t>https://www.linkedin.com/in/ravi-iyer-24180a12/?originalSubdomain=in</t>
  </si>
  <si>
    <t>Abhinav Kumar</t>
  </si>
  <si>
    <t>https://www.linkedin.com/in/abkumar/?originalSubdomain=be</t>
  </si>
  <si>
    <t>ravi.iyer@flipkart.com</t>
  </si>
  <si>
    <t>96500 25161</t>
  </si>
  <si>
    <t>abhinav.kumar@tcs.com</t>
  </si>
  <si>
    <t>Prudential Plc</t>
  </si>
  <si>
    <t>Abhishek Shah</t>
  </si>
  <si>
    <t>Senior Director of Marketing</t>
  </si>
  <si>
    <t>abhkshah@gmail.com</t>
  </si>
  <si>
    <t>PocketFM</t>
  </si>
  <si>
    <t>Adityan Kayalakal</t>
  </si>
  <si>
    <t>Head Marketing</t>
  </si>
  <si>
    <t>https://www.linkedin.com/in/adityanmktng/overlay/contact-info/?lipi=urn%3Ali%3Apage%3Ad_flagship3_profile_view_base%3ByOGJn2JlS4C1izXgA6Y1QQ%3D%3D</t>
  </si>
  <si>
    <t>Soonicorns</t>
  </si>
  <si>
    <t>adityan.kayalakal@jupiter.money</t>
  </si>
  <si>
    <t>Neeraj Choudhary</t>
  </si>
  <si>
    <t>https://www.linkedin.com/in/caneeraj-choudhary/</t>
  </si>
  <si>
    <t>Coursera</t>
  </si>
  <si>
    <t>Anshul Sehgal</t>
  </si>
  <si>
    <t>https://www.linkedin.com/in/sehgalanshul/overlay/contact-info/?lipi=urn%3Ali%3Apage%3Ad_flagship3_profile_view_base%3B1WTU0xceQr%2BSjxXgunGvHQ%3D%3D</t>
  </si>
  <si>
    <t>99996 17999</t>
  </si>
  <si>
    <t xml:space="preserve">Dinesh Iyer </t>
  </si>
  <si>
    <t>https://www.linkedin.com/in/dinesh-iyer-a5871520/?originalSubdomain=in</t>
  </si>
  <si>
    <t>asehgal@coursera.org</t>
  </si>
  <si>
    <t>Reliance Industries Limited (RIL) / Reliance Retail</t>
  </si>
  <si>
    <t xml:space="preserve">Anupama Ahluwalia </t>
  </si>
  <si>
    <t xml:space="preserve">ex cmo </t>
  </si>
  <si>
    <t>anupama.ahluwalia@marketersacrossborders.com</t>
  </si>
  <si>
    <t>anupama.ahluwalia@hotmail.com</t>
  </si>
  <si>
    <t>dinesh.iyer@aequs.com</t>
  </si>
  <si>
    <t>Coforge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</si>
  <si>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Anuradha Sehga</t>
    </r>
  </si>
  <si>
    <t>AstroTalk</t>
  </si>
  <si>
    <t>Deepak Khetan</t>
  </si>
  <si>
    <t>https://www.linkedin.com/in/deepak-khetan-6223571/?originalSubdomain=in</t>
  </si>
  <si>
    <t>Chief Brand &amp; Sustainability Officer</t>
  </si>
  <si>
    <t>anuradha.sehgal@coforge.com</t>
  </si>
  <si>
    <t>sehgalanuradha@rediffmail.com</t>
  </si>
  <si>
    <t>Godrej Consumer Products</t>
  </si>
  <si>
    <t>Ashwin Moorthy</t>
  </si>
  <si>
    <t>FMCG</t>
  </si>
  <si>
    <t>Intellect Design Arena</t>
  </si>
  <si>
    <t>deepak.khetan@astrotalk.com</t>
  </si>
  <si>
    <t>Debal Dutt</t>
  </si>
  <si>
    <t>http://linkedin.com/in/debal-dutt-52446393/</t>
  </si>
  <si>
    <t>debal.dutt@intellectdesign.com</t>
  </si>
  <si>
    <t>atlan</t>
  </si>
  <si>
    <t>Deepak Rohida</t>
  </si>
  <si>
    <t>Happiest Minds Technologies</t>
  </si>
  <si>
    <t>https://www.linkedin.com/in/deepakrohida/</t>
  </si>
  <si>
    <t>Dr. Kiran ☆ Veigas</t>
  </si>
  <si>
    <t>https://www.linkedin.com/in/kiranveigas/</t>
  </si>
  <si>
    <t>kiran.veigas@happiestminds.com</t>
  </si>
  <si>
    <t>kveigas@gmail.com</t>
  </si>
  <si>
    <t>kiran.veigas@lntinfotech.com</t>
  </si>
  <si>
    <t>Hindustan Unilever Ltd. (HUL)</t>
  </si>
  <si>
    <t>Harmon Dhillon (Executive Director – Beauty &amp; Wellbeing) / Shiva Krishnamurthy (Executive Director – Foods &amp; Refreshment)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</si>
  <si>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Harshita Kushwaha</t>
    </r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View Harshita Kushwaha’s profile</t>
    </r>
  </si>
  <si>
    <t>Ravi Dugar</t>
  </si>
  <si>
    <t>https://www.linkedin.com/in/ravi-dugar/?originalSubdomain=in</t>
  </si>
  <si>
    <t>CMO Office || Tech Mahindra</t>
  </si>
  <si>
    <t>https://www.linkedin.com/in/harshita-kushwaha28/</t>
  </si>
  <si>
    <t>ravi.dugar@awfis.com</t>
  </si>
  <si>
    <t>harshitakushwaha28@gmail.com</t>
  </si>
  <si>
    <t>Sonata Software</t>
  </si>
  <si>
    <t>Hemant Kumar Bhardwaj</t>
  </si>
  <si>
    <t>Inc42</t>
  </si>
  <si>
    <t>Chief Marketing Officer at Sonata Software</t>
  </si>
  <si>
    <t>https://www.linkedin.com/in/hkbhardwaj/</t>
  </si>
  <si>
    <t>hemantbar@gmail.com</t>
  </si>
  <si>
    <t>kumar@sonata-software.com</t>
  </si>
  <si>
    <t>AYE</t>
  </si>
  <si>
    <t>Krishan Gopal</t>
  </si>
  <si>
    <t>https://www.linkedin.com/in/krishan-gopal-66916916/?originalSubdomain=in</t>
  </si>
  <si>
    <t>Jayati Singh</t>
  </si>
  <si>
    <t>https://www.linkedin.com/in/jayati-singh-b3b5572/</t>
  </si>
  <si>
    <t>krishan.gopal@ayefin.com</t>
  </si>
  <si>
    <t>singh.jayati@gmail.com</t>
  </si>
  <si>
    <t>jayati.singh@tallysolutions.com</t>
  </si>
  <si>
    <t>126. Sun Pharmaceutical Industries</t>
  </si>
  <si>
    <t>Jaydeep Shah</t>
  </si>
  <si>
    <t>https://www.linkedin.com/in/jaydeeps/?originalSubdomain=in</t>
  </si>
  <si>
    <t>Sreeram Ramachandran</t>
  </si>
  <si>
    <t>https://www.linkedin.com/in/sreeram-ramachandran-9b70b029/?originalSubdomain=in</t>
  </si>
  <si>
    <t>shahjaydeep@gmail.com</t>
  </si>
  <si>
    <t>Zensar Technologies</t>
  </si>
  <si>
    <t>Jennifer Cruz</t>
  </si>
  <si>
    <t>Brand &amp; Comms - Operations Manager at Zensar Technologies</t>
  </si>
  <si>
    <t>https://www.linkedin.com/in/jennifer-cruz-508272107/</t>
  </si>
  <si>
    <t>sreeram@bankbazaar.com</t>
  </si>
  <si>
    <t>j.cruz@zensar.com</t>
  </si>
  <si>
    <t>Mahindra &amp; Mahindra (Automotive)</t>
  </si>
  <si>
    <t>Manjari Upadhye (CMO, Automotive Division)</t>
  </si>
  <si>
    <t>BatterySmart</t>
  </si>
  <si>
    <t>Automotive</t>
  </si>
  <si>
    <t xml:space="preserve">Amit Bhardwaj </t>
  </si>
  <si>
    <t>https://www.linkedin.com/in/amit-bhardwaj-89365244/?originalSubdomain=in</t>
  </si>
  <si>
    <t xml:space="preserve"> HCLTech</t>
  </si>
  <si>
    <t>Mansi Saxena</t>
  </si>
  <si>
    <t>Manager, Office of the CMO | HCLTech</t>
  </si>
  <si>
    <t>https://www.linkedin.com/in/mansi-saxena-07610b1ab/</t>
  </si>
  <si>
    <t>amit.bhardwaj@batterysmart.in</t>
  </si>
  <si>
    <t>saxena.mansi231@gmail.com</t>
  </si>
  <si>
    <t>Route Mobile</t>
  </si>
  <si>
    <t>Milind PathakView Milind Pathak’s profile</t>
  </si>
  <si>
    <t>Rumit Dugar</t>
  </si>
  <si>
    <t>https://www.linkedin.com/in/rumitd/?originalSubdomain=in</t>
  </si>
  <si>
    <t>milind@routemobile.com</t>
  </si>
  <si>
    <t>Mohit Kochar</t>
  </si>
  <si>
    <t>rumit.dugar@bluestone.com</t>
  </si>
  <si>
    <t>CMO &amp; Head Global Alliances@ KPIT</t>
  </si>
  <si>
    <t>https://www.linkedin.com/in/mohitkochar/</t>
  </si>
  <si>
    <t>mohit.kochar@kpit.com</t>
  </si>
  <si>
    <t>mohitkochar@yahoo.com</t>
  </si>
  <si>
    <t>bookmyshow</t>
  </si>
  <si>
    <t>kochar.mohit@gmail.com</t>
  </si>
  <si>
    <t>Mitesh Shah</t>
  </si>
  <si>
    <t>Tanla Platforms</t>
  </si>
  <si>
    <t>https://www.linkedin.com/in/mitesh-shah-0627873/?originalSubdomain=in</t>
  </si>
  <si>
    <t>Muskan Singh</t>
  </si>
  <si>
    <t>https://www.linkedin.com/in/muskan-singh/</t>
  </si>
  <si>
    <t>muskansinghdy@gmail.com</t>
  </si>
  <si>
    <t>muskan.singh@tanla.com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</si>
  <si>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Neha Kathuria</t>
    </r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View Neha Kathuria’s profile</t>
    </r>
  </si>
  <si>
    <t>mitesh@ipventures.in</t>
  </si>
  <si>
    <t>brightCHAMPS</t>
  </si>
  <si>
    <t xml:space="preserve">Amit Kumar </t>
  </si>
  <si>
    <t>Chief Marketing Officer, LTIMindtree</t>
  </si>
  <si>
    <t>https://www.linkedin.com/in/amit-kumar-45459a15/?originalSubdomain=in</t>
  </si>
  <si>
    <t>neha@ltimindtree.com</t>
  </si>
  <si>
    <t>kathuria.neha@gmail.com</t>
  </si>
  <si>
    <t>Hexaware Technologies</t>
  </si>
  <si>
    <t>Nidhi Alexander</t>
  </si>
  <si>
    <t>Chief Marketing Officer &amp; Growth Leader</t>
  </si>
  <si>
    <t>https://www.linkedin.com/in/nidhialexander/</t>
  </si>
  <si>
    <t>amit.kumar@hdworks.in</t>
  </si>
  <si>
    <t>nidhia@hexaware.com</t>
  </si>
  <si>
    <t>nidhialexander@gmail.com</t>
  </si>
  <si>
    <t xml:space="preserve">Tata Elxsi 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</si>
  <si>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Nitin Pai</t>
    </r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View Nitin Pai’s profile</t>
    </r>
  </si>
  <si>
    <t>Capillary</t>
  </si>
  <si>
    <t>https://www.linkedin.com/in/sunil-jain-bordia/?originalSubdomain=in</t>
  </si>
  <si>
    <t>nitinpai@tataelxsi.com</t>
  </si>
  <si>
    <t>sunil.jain@capillarytech.com</t>
  </si>
  <si>
    <t>nitinpai@tataelxsi.co.in</t>
  </si>
  <si>
    <t>Maruti Suzuki India</t>
  </si>
  <si>
    <t>Partho Banerjee (Head of Marketing &amp; Sales)</t>
  </si>
  <si>
    <t>Subex</t>
  </si>
  <si>
    <t>Poonam WadhwaView Poonam Wadhwa’s profile</t>
  </si>
  <si>
    <t>poonamkhanna1@gmail.com</t>
  </si>
  <si>
    <t>poonam.wadhwa@subex.com</t>
  </si>
  <si>
    <t>poonam.wadhwa@comviva.com</t>
  </si>
  <si>
    <t>Mathew George</t>
  </si>
  <si>
    <t>123. VIP Industries</t>
  </si>
  <si>
    <t>Praful Gupta</t>
  </si>
  <si>
    <t>https://www.linkedin.com/in/mathew-george-2b23569/?originalSubdomain=in</t>
  </si>
  <si>
    <t>VP - Sales</t>
  </si>
  <si>
    <t>https://www.linkedin.com/in/prafulg/</t>
  </si>
  <si>
    <t>mathew.george@captainfresh.in</t>
  </si>
  <si>
    <t>guptapraful@hotmail.com</t>
  </si>
  <si>
    <t>MRF</t>
  </si>
  <si>
    <t>Pratip Francis</t>
  </si>
  <si>
    <t>Head of Brand Marketing</t>
  </si>
  <si>
    <t>https://www.linkedin.com/in/pratip-francis-82ab537/?originalSubdomain=in</t>
  </si>
  <si>
    <t>Vikas Guru</t>
  </si>
  <si>
    <t>https://www.linkedin.com/in/vikas-guru-42745b13/?originalSubdomain=in</t>
  </si>
  <si>
    <t>pratip.francis@mrfmail.com</t>
  </si>
  <si>
    <t xml:space="preserve"> Wipro Limited</t>
  </si>
  <si>
    <t>Ranjita Ghosh</t>
  </si>
  <si>
    <t>Global Chief Marketing Officer, Wipro</t>
  </si>
  <si>
    <t>https://www.linkedin.com/in/ranjita-ghosh-24137120/</t>
  </si>
  <si>
    <t>vikas.guru@cashfree.com</t>
  </si>
  <si>
    <t>ranjitaghosh@gmail.com</t>
  </si>
  <si>
    <t>Amazon India</t>
  </si>
  <si>
    <t>Ravi Desai (Director, Brand Marketing &amp; APAC)</t>
  </si>
  <si>
    <t>E-commerce</t>
  </si>
  <si>
    <t>CASHIFY .IN</t>
  </si>
  <si>
    <t>HDFC Bank</t>
  </si>
  <si>
    <t>Ravi Santhanam</t>
  </si>
  <si>
    <t>https://www.linkedin.com/in/ravi-santhanam-089b065/</t>
  </si>
  <si>
    <t>Subodh Garg</t>
  </si>
  <si>
    <r>
      <rPr>
        <color rgb="FF1155CC"/>
        <u/>
      </rPr>
      <t>https://www.linkedin.com/in/subodh-garg-4364487/?originalSubdomain=in</t>
    </r>
    <r>
      <rPr/>
      <t>n</t>
    </r>
  </si>
  <si>
    <t>subodh.g@cashify.in</t>
  </si>
  <si>
    <t>laravis69@gmail.com</t>
  </si>
  <si>
    <t>CASHKARO</t>
  </si>
  <si>
    <t>laravis@rediffmail.com</t>
  </si>
  <si>
    <t xml:space="preserve">Akash Gupta </t>
  </si>
  <si>
    <t>Sasken Technologies</t>
  </si>
  <si>
    <t>https://www.linkedin.com/in/akash-gupta-1b773816/?originalSubdomain=in</t>
  </si>
  <si>
    <t>Rekha Sahay</t>
  </si>
  <si>
    <t>https://www.linkedin.com/in/rekha-sahay-3aa6961/</t>
  </si>
  <si>
    <t>akash.gupta@cashkaro.com</t>
  </si>
  <si>
    <t>rekhasahay@gmail.com</t>
  </si>
  <si>
    <t>Kotak Mahindra Group</t>
  </si>
  <si>
    <t>Rohit Bhasin (President &amp; Head of Marketing)</t>
  </si>
  <si>
    <t>Banking &amp; Financial Services</t>
  </si>
  <si>
    <t>rohit.bhasin@kotak.com</t>
  </si>
  <si>
    <t>rohitb23dec@gmail.com</t>
  </si>
  <si>
    <t>chaayos</t>
  </si>
  <si>
    <t>Newgen Software</t>
  </si>
  <si>
    <t xml:space="preserve">Pranav Dahiya </t>
  </si>
  <si>
    <t>Runki Goswami</t>
  </si>
  <si>
    <t>https://www.linkedin.com/in/pranav-dahiya-4a06725/?originalSubdomain=in</t>
  </si>
  <si>
    <t>https://www.linkedin.com/in/runkigoswami/</t>
  </si>
  <si>
    <t>pranav.dahiya@yum.com</t>
  </si>
  <si>
    <t>runki.goswami@newgensoft.com</t>
  </si>
  <si>
    <t>runkig@yahoo.com</t>
  </si>
  <si>
    <t>Wipro Consumer Care</t>
  </si>
  <si>
    <t>S. Prasanna Rai (CMO &amp; Head - Ecommerce Business)</t>
  </si>
  <si>
    <t>CHALO</t>
  </si>
  <si>
    <t>Suman Jaisinghani</t>
  </si>
  <si>
    <t>Samir Bagga</t>
  </si>
  <si>
    <t>https://www.linkedin.com/in/suman-jaisinghani-67557856/?originalSubdomain=in</t>
  </si>
  <si>
    <t>CMO, L&amp;T Technology Services</t>
  </si>
  <si>
    <t>https://www.linkedin.com/in/samirbagga/</t>
  </si>
  <si>
    <t>samir.bagga@ltts.com</t>
  </si>
  <si>
    <t>suman.j@chalo.com</t>
  </si>
  <si>
    <t>samir_bagga@yahoo.com</t>
  </si>
  <si>
    <t>Titan Company (Eyewear)</t>
  </si>
  <si>
    <t>Shalini Gupta (CMO, Titan Eye Wear)</t>
  </si>
  <si>
    <t>Retail / Consumer Goods</t>
  </si>
  <si>
    <t>kevan.anand@gmail.com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</si>
  <si>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Kevan Anand</t>
    </r>
  </si>
  <si>
    <t>CITYMALL</t>
  </si>
  <si>
    <t>Angad K.</t>
  </si>
  <si>
    <t>Shimona Chadha</t>
  </si>
  <si>
    <t>cmo Office || Tech Mahindra</t>
  </si>
  <si>
    <t>https://www.linkedin.com/in/shimona-chadha-7879288/</t>
  </si>
  <si>
    <t>shimona.chadha@gmail.com</t>
  </si>
  <si>
    <t>shimona_chadha@persistent.com</t>
  </si>
  <si>
    <t>Tata Motors (CVBU)</t>
  </si>
  <si>
    <t>Shubhranshu Singh (CMO - Commercial Vehicle Business Unit)</t>
  </si>
  <si>
    <t>Shuvadip Banerjee (Chief Digital Marketing Officer) / Kavita Chaturvedi (COO, Snacks Business)</t>
  </si>
  <si>
    <t>https://www.linkedin.com/in/shuvadip-banerjee-1667725/</t>
  </si>
  <si>
    <t>Sankalp Aggarwal</t>
  </si>
  <si>
    <t>https://www.linkedin.com/in/sankalp-aggarwal-26866748/?originalSubdomain=in</t>
  </si>
  <si>
    <t>shuvadip@gmail.com</t>
  </si>
  <si>
    <t>shuvadip.banerjee@up-online.org</t>
  </si>
  <si>
    <t xml:space="preserve">Quick heal </t>
  </si>
  <si>
    <t>Sudhanshu Tripathi</t>
  </si>
  <si>
    <t>Chief Marketing Officer | Marketing 40U40 | Top 100 CMO | ESG | Policy Advocacy | IPO | AI &amp; Cybersecurity | P&amp;L Growth</t>
  </si>
  <si>
    <t>https://www.linkedin.com/in/tripathisudhanshu/</t>
  </si>
  <si>
    <t>CLEAR</t>
  </si>
  <si>
    <t>Jen Hsu</t>
  </si>
  <si>
    <t>https://www.linkedin.com/in/jen-hsu-b2459716/</t>
  </si>
  <si>
    <t>sudhanshu.tripathi@quickheal.com</t>
  </si>
  <si>
    <t>sudhanshut@gmail.com</t>
  </si>
  <si>
    <t>ICICI Bank</t>
  </si>
  <si>
    <t>jen.hsu@clearme.com</t>
  </si>
  <si>
    <t>Sujit Ganguli</t>
  </si>
  <si>
    <t>https://www.linkedin.com/in/sujit-ganguli-9072a3a/</t>
  </si>
  <si>
    <t>EAT. CLUB</t>
  </si>
  <si>
    <t>Alla Arkhipova</t>
  </si>
  <si>
    <t>https://www.linkedin.com/in/alla-arkhipova/</t>
  </si>
  <si>
    <t>alla@eatclub.com.au</t>
  </si>
  <si>
    <t>sujitganguli@rediffmail.com</t>
  </si>
  <si>
    <t xml:space="preserve">Nishi Agrawal </t>
  </si>
  <si>
    <t>https://www.linkedin.com/in/nishiagrawal01/?originalSubdomain=in</t>
  </si>
  <si>
    <t>Birlasoft</t>
  </si>
  <si>
    <t>Sumit Dave [L.I.O.N]</t>
  </si>
  <si>
    <t>https://www.linkedin.com/in/sumitdave/</t>
  </si>
  <si>
    <t>nishi.agrawal@credgenics.com</t>
  </si>
  <si>
    <t>sumit.dave@gmail.com</t>
  </si>
  <si>
    <t>cue math</t>
  </si>
  <si>
    <t>Samir Kulshrestha</t>
  </si>
  <si>
    <t>https://www.linkedin.com/in/samir-kulshrestha-b83a2814/?originalSubdomain=in</t>
  </si>
  <si>
    <t>Sumit Virmani</t>
  </si>
  <si>
    <t>https://www.linkedin.com/in/virmanisumit/</t>
  </si>
  <si>
    <t>samir.k@qnulabs.com</t>
  </si>
  <si>
    <t>s_virmani27@yahoo.com</t>
  </si>
  <si>
    <t>Myntra</t>
  </si>
  <si>
    <t>Sunder Balasubramanian</t>
  </si>
  <si>
    <t>sunderb@gmail.com</t>
  </si>
  <si>
    <t>PepsiCo India</t>
  </si>
  <si>
    <t>Tarun Bhagat (Chief Marketing Officer)</t>
  </si>
  <si>
    <t>Aashish Agarwal</t>
  </si>
  <si>
    <t>Food &amp; Beverages</t>
  </si>
  <si>
    <t>https://www.linkedin.com/in/caagarwalaashish/?originalSubdomain=in</t>
  </si>
  <si>
    <t>Ramco Systems</t>
  </si>
  <si>
    <t>Tarun Devasia</t>
  </si>
  <si>
    <t>https://www.linkedin.com/in/tarun-devasia-2483074/</t>
  </si>
  <si>
    <t>aashish.agarwal@agrevolution.in</t>
  </si>
  <si>
    <t>tarun.devasia@ramco.com</t>
  </si>
  <si>
    <t>tarundevasia@yahoo.com</t>
  </si>
  <si>
    <t>Cyient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</si>
  <si>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Utkarsh Srivastav</t>
    </r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View Utkarsh Srivastav’s profile</t>
    </r>
  </si>
  <si>
    <t>dhan</t>
  </si>
  <si>
    <t>AMIT GUPTA</t>
  </si>
  <si>
    <t>https://www.linkedin.com/in/amit-gupta-10876115/</t>
  </si>
  <si>
    <t>amit.gupta@raiseholding.co</t>
  </si>
  <si>
    <t>utkarsh.srivastav@cyient.com</t>
  </si>
  <si>
    <t>utkarsh.srivastav@ltts.com</t>
  </si>
  <si>
    <t>utkarsh.dei@gmail.com</t>
  </si>
  <si>
    <t>Mphasis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</si>
  <si>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Veda Iyer</t>
    </r>
  </si>
  <si>
    <t>DRIP</t>
  </si>
  <si>
    <t>veda.iyr@gmail.com</t>
  </si>
  <si>
    <t>vedaiyer@yahoo.co.in</t>
  </si>
  <si>
    <t>EXOTEL</t>
  </si>
  <si>
    <t>Adarsh Dikshith</t>
  </si>
  <si>
    <t>https://www.linkedin.com/in/ksadarsh/?originalSubdomain=in</t>
  </si>
  <si>
    <t>Automotive, Auto Components &amp; Engineering (25)</t>
  </si>
  <si>
    <t>ksadarsh@yahoo.com</t>
  </si>
  <si>
    <t>rohit.sharma@herocycles.com</t>
  </si>
  <si>
    <t xml:space="preserve"> Bajaj Auto</t>
  </si>
  <si>
    <t>Shakti Upadhyay</t>
  </si>
  <si>
    <t>Vice President - Brands</t>
  </si>
  <si>
    <t>https://www.linkedin.com/in/shaktiu/</t>
  </si>
  <si>
    <t>FortEye</t>
  </si>
  <si>
    <t>shakti.hmil@gmail.com</t>
  </si>
  <si>
    <t xml:space="preserve">TVS Motor Company </t>
  </si>
  <si>
    <t>rajan babu</t>
  </si>
  <si>
    <t>cmo at TVS Motor Company</t>
  </si>
  <si>
    <t>https://www.linkedin.com/in/rajan-babu-91852447/</t>
  </si>
  <si>
    <t>fibe</t>
  </si>
  <si>
    <t xml:space="preserve">Ashish Goyal </t>
  </si>
  <si>
    <t>https://www.linkedin.com/in/ashishgoyalearlysalary/?originalSubdomain=in</t>
  </si>
  <si>
    <t>rajan.babu@tvsmotor.co.in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</si>
  <si>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Rajesh Mani</t>
    </r>
  </si>
  <si>
    <t>ashish@fibe.in</t>
  </si>
  <si>
    <t>Head Marketing and Corporate Communication Ashok Leyland</t>
  </si>
  <si>
    <t>https://www.linkedin.com/in/rajeshrajmani/?originalSubdomain=in</t>
  </si>
  <si>
    <t>Ketan Merchant</t>
  </si>
  <si>
    <t>https://www.linkedin.com/in/ketan-merchant-6a955824/?originalSubdomain=in</t>
  </si>
  <si>
    <t>rajeshrajmani@gmail.com</t>
  </si>
  <si>
    <t>Eicher Motors (Royal Enfield)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</si>
  <si>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Yadvinder Singh Guleria</t>
    </r>
  </si>
  <si>
    <t>ketan.merchant@fino.bank.in</t>
  </si>
  <si>
    <t>INOVA CAPITAL</t>
  </si>
  <si>
    <t>Magdalena Pasecka</t>
  </si>
  <si>
    <t>Chief Commercial Officer (CCO) - Royal Enfield, Spearheading Sales, Marketing and Aftermarket functions across India &amp; all international markets as a part of management team</t>
  </si>
  <si>
    <t>guleria72@yahoo.co.in</t>
  </si>
  <si>
    <t>https://www.linkedin.com/in/magdalena-pasecka-749104196/?originalSubdomain=pl</t>
  </si>
  <si>
    <t>Force Motors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</si>
  <si>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Kshitij Saxena</t>
    </r>
  </si>
  <si>
    <t>mpasecka@innovacap.com</t>
  </si>
  <si>
    <t>Automotive Sales &amp; Marketing | Premium Automotive (Ex-Audi OEM &amp; Retail) |</t>
  </si>
  <si>
    <t>saxenakshitij6@gmail.com</t>
  </si>
  <si>
    <t>Escorts Kubota (Escorts Group)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</si>
  <si>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Nidhi Nagpal</t>
    </r>
  </si>
  <si>
    <t>Fresh home</t>
  </si>
  <si>
    <t>Chief Marketing Manager at Escorts Kubota Limited | EAA-ASEAN</t>
  </si>
  <si>
    <t>nagpalnidhi86@gmail.com</t>
  </si>
  <si>
    <t>SML Isuzu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</si>
  <si>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Prashant Kumar</t>
    </r>
  </si>
  <si>
    <t>GIVA.</t>
  </si>
  <si>
    <t xml:space="preserve">Aditya Todi </t>
  </si>
  <si>
    <t>https://www.linkedin.com/in/aditya-todi-4b01887/?originalSubdomain=in</t>
  </si>
  <si>
    <t>CV Sales I Chief General Manager</t>
  </si>
  <si>
    <t>prashantkumar7t@gmail.com</t>
  </si>
  <si>
    <t xml:space="preserve"> JBM Auto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</si>
  <si>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Dushyant Sharma</t>
    </r>
  </si>
  <si>
    <t>aditya@giva.co</t>
  </si>
  <si>
    <t>General Manager &amp; Group Head, Marketing Communications &amp;</t>
  </si>
  <si>
    <t>dddsss05@gmail.com</t>
  </si>
  <si>
    <t>dushyantsharma@outlook.com</t>
  </si>
  <si>
    <t>dushyant.sharma@jbmgroup.com</t>
  </si>
  <si>
    <t xml:space="preserve"> CEAT Limited 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</si>
  <si>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Lakshmi Narayanan B</t>
    </r>
  </si>
  <si>
    <t xml:space="preserve">Guido Frantzen </t>
  </si>
  <si>
    <t>https://www.linkedin.com/in/gfrantzen/</t>
  </si>
  <si>
    <t>guido.f@greyorange.com</t>
  </si>
  <si>
    <t>Marketing &amp; Brand Leader | Consumer Experience in Retail</t>
  </si>
  <si>
    <t>narayanan_b@ceat.com</t>
  </si>
  <si>
    <t>lakshminarayanan.b@gmail.com</t>
  </si>
  <si>
    <t>JK Tyre &amp; Industries</t>
  </si>
  <si>
    <t>HACKER RANK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</si>
  <si>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Amit Gujral</t>
    </r>
  </si>
  <si>
    <t xml:space="preserve">Ramesh S. </t>
  </si>
  <si>
    <t>https://www.linkedin.com/in/rameshsethuraman/</t>
  </si>
  <si>
    <t>CxO Leadership | Brand Growth Driven Strategy</t>
  </si>
  <si>
    <t>amitgujral2@gmail.com</t>
  </si>
  <si>
    <t>ramesh@hackerrank.com</t>
  </si>
  <si>
    <t>Sundaram Clayton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</si>
  <si>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Rajender Dagar</t>
    </r>
  </si>
  <si>
    <t>Healthify</t>
  </si>
  <si>
    <t xml:space="preserve">Pawan Agrawal </t>
  </si>
  <si>
    <t>Head Sales &amp; Marketing at Sundaram Clayton Ltd</t>
  </si>
  <si>
    <r>
      <rPr>
        <color rgb="FF1155CC"/>
        <u/>
      </rPr>
      <t>https://www.linkedin.com/in/pawan-aggrawal-pa/?originalSubdomain=in</t>
    </r>
    <r>
      <rPr/>
      <t xml:space="preserve"> </t>
    </r>
  </si>
  <si>
    <t>rdagar@scl.co.in</t>
  </si>
  <si>
    <t xml:space="preserve"> Amara Raja Batteries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</si>
  <si>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Rajesh Jindal</t>
    </r>
  </si>
  <si>
    <t>pawan@healthifyme.com</t>
  </si>
  <si>
    <t>rajeshjin@gmail.com</t>
  </si>
  <si>
    <t>rj@amararaja.co.in</t>
  </si>
  <si>
    <t>Exide Industries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</si>
  <si>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Uttio Majumdar</t>
    </r>
  </si>
  <si>
    <t>HEALTHKART</t>
  </si>
  <si>
    <t xml:space="preserve">Kamal Deep Singh
</t>
  </si>
  <si>
    <t>https://www.linkedin.com/in/kamal-deep-singh-429239104/?originalSubdomain=in</t>
  </si>
  <si>
    <t>uttiom@gmail.com</t>
  </si>
  <si>
    <t>Bharat Forge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</si>
  <si>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Sarita Prakash</t>
    </r>
  </si>
  <si>
    <t>Kaliyuga Easwarasamy V.</t>
  </si>
  <si>
    <t>https://www.linkedin.com/in/kaliyuga/?originalSubdomain=in</t>
  </si>
  <si>
    <t>AVP Corporate Communications at Bharat Forge Ltd</t>
  </si>
  <si>
    <t>swats002000@yahoo.com</t>
  </si>
  <si>
    <t>Sundram Fasteners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</si>
  <si>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Krishnan Ramanujan</t>
    </r>
  </si>
  <si>
    <t>hopscotch</t>
  </si>
  <si>
    <t>Nilesh Gupta</t>
  </si>
  <si>
    <t>https://www.linkedin.com/in/nilesh-gupta-8a310147/?originalSubdomain=in</t>
  </si>
  <si>
    <t>Vice President Marketing at Sundram Fasteners Limited - India</t>
  </si>
  <si>
    <t>krishnan_ramanujan@yahoo.co.in</t>
  </si>
  <si>
    <t>Samvardhana Motherson International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</si>
  <si>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Mukul Malik</t>
    </r>
  </si>
  <si>
    <t>nilesh@hopscotch.in</t>
  </si>
  <si>
    <t>memukulmalik@gmail.com</t>
  </si>
  <si>
    <t>mukul.malik@motherson.com</t>
  </si>
  <si>
    <t xml:space="preserve">Vipul Joshi 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</si>
  <si>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R Venkatesh</t>
    </r>
  </si>
  <si>
    <t>https://www.linkedin.com/in/vipul-joshi-924b261/?originalSubdomain=in</t>
  </si>
  <si>
    <t>venky_rahul@yahoo.com</t>
  </si>
  <si>
    <t>Kirloskar Oil Engines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</si>
  <si>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Sarvesh Dayal</t>
    </r>
  </si>
  <si>
    <t>INDIGOUE</t>
  </si>
  <si>
    <t>sarveshdayal@gmail.com</t>
  </si>
  <si>
    <t>Kirloskar Brothers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</si>
  <si>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Shravan Bhumkar</t>
    </r>
  </si>
  <si>
    <t>IND money</t>
  </si>
  <si>
    <t xml:space="preserve">Vinay Saraf </t>
  </si>
  <si>
    <t>https://www.linkedin.com/in/cavinaysaraf/?originalSubdomain=in</t>
  </si>
  <si>
    <t>Strategic Marketing Leader | DGM – Marketing at Kirloskar Brothers Ltd |</t>
  </si>
  <si>
    <t>vinay.saraf@indmoney.com</t>
  </si>
  <si>
    <t>shravanbhumkar@gmail.com</t>
  </si>
  <si>
    <t>shravan.bhumkar@kbl.co.in</t>
  </si>
  <si>
    <t>Greaves Cotton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</si>
  <si>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Jaylaxmi Kumar</t>
    </r>
  </si>
  <si>
    <t xml:space="preserve">Chintan Thakkar </t>
  </si>
  <si>
    <t>chintan.thakkar@infoedge.in</t>
  </si>
  <si>
    <t>happyjaya@gmail.com</t>
  </si>
  <si>
    <t>jaylaxmi.kumar@greavescotton.com</t>
  </si>
  <si>
    <t>Sunil Bhagat</t>
  </si>
  <si>
    <t>Blue Star</t>
  </si>
  <si>
    <t>https://www.linkedin.com/in/sunil-bhagat-405a4097/?originalSubdomain=in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</si>
  <si>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8.0"/>
        <u/>
      </rPr>
      <t>Girish Hingorani</t>
    </r>
  </si>
  <si>
    <t>sunil.bhagat@ia.ooo</t>
  </si>
  <si>
    <t>Vice President - Marketing (Consumer Products) &amp; Corporate Communications</t>
  </si>
  <si>
    <t>girishhingorani@bluestarindia.com</t>
  </si>
  <si>
    <t>Banking, NBFC &amp; Financial Services (25)</t>
  </si>
  <si>
    <t xml:space="preserve">76. State Bank of India </t>
  </si>
  <si>
    <t>Simrandeep Singh</t>
  </si>
  <si>
    <t>Chief Manager (Marketing) at State Bank of India</t>
  </si>
  <si>
    <t>ssaidans@yahoo.co.in</t>
  </si>
  <si>
    <t>innoviti</t>
  </si>
  <si>
    <t>77. Bank of Baroda</t>
  </si>
  <si>
    <t>Adithya U G</t>
  </si>
  <si>
    <t>Aniruddha Sohoni</t>
  </si>
  <si>
    <t>https://www.linkedin.com/in/adithya-u-g-8b848414/?originalSubdomain=in</t>
  </si>
  <si>
    <t>Head Of Marketing at Bank of Baroda</t>
  </si>
  <si>
    <t>aniruddha.sohoni@bankofbaroda.com</t>
  </si>
  <si>
    <t>79. Canara Bank</t>
  </si>
  <si>
    <t>GAURAV BHARGAVA</t>
  </si>
  <si>
    <t>Senior Marketing Manager at Canara Bank</t>
  </si>
  <si>
    <t>gbh1984@gmail.com</t>
  </si>
  <si>
    <t>adithyaug@liminalcustody.com</t>
  </si>
  <si>
    <t>inshorts</t>
  </si>
  <si>
    <t xml:space="preserve">Rajan Joshi
 </t>
  </si>
  <si>
    <t>https://www.linkedin.com/in/rajan-joshi-17a70476/?originalSubdomain=in</t>
  </si>
  <si>
    <t>Prabhat Agarwal</t>
  </si>
  <si>
    <t>gbhargava84@gmail.com</t>
  </si>
  <si>
    <t>80. Union Bank of India</t>
  </si>
  <si>
    <t>Mohit Main</t>
  </si>
  <si>
    <t>Marketing Officer at Union Bank of India</t>
  </si>
  <si>
    <t>mohitmain37@gmail.com</t>
  </si>
  <si>
    <t>81. Indian Bank</t>
  </si>
  <si>
    <t>ANTONY CHRISTOPHER M</t>
  </si>
  <si>
    <t>Chief Manager - Marketing at Indian Bank</t>
  </si>
  <si>
    <t>chrisanto1987@gmail.com</t>
  </si>
  <si>
    <t>82. Bank of India</t>
  </si>
  <si>
    <t>PIYUSH PATHAK</t>
  </si>
  <si>
    <t>jupiter</t>
  </si>
  <si>
    <t>Abhay Maheshwari</t>
  </si>
  <si>
    <t>https://www.linkedin.com/in/piyush-pathak-35465b27/</t>
  </si>
  <si>
    <t>https://www.linkedin.com/in/abhaymaheshwari07/?originalSubdomain=in</t>
  </si>
  <si>
    <t>piyushpathak2@in.com</t>
  </si>
  <si>
    <t>piyush.pathak@bankofindia.co.in</t>
  </si>
  <si>
    <t>a.maheshwari@jupitercapital.in</t>
  </si>
  <si>
    <t>85. IDBI Bank</t>
  </si>
  <si>
    <t>RAHUL JAISWAL</t>
  </si>
  <si>
    <t>https://www.linkedin.com/in/rahul-jaiswal-2504b121/</t>
  </si>
  <si>
    <t xml:space="preserve">Raghavendra G S </t>
  </si>
  <si>
    <t>rahul.jaiswal29@rediffmail.com</t>
  </si>
  <si>
    <t>https://www.linkedin.com/in/raghavendra-g-s-6092012/?originalSubdomain=in</t>
  </si>
  <si>
    <t>86. IndusInd Bank</t>
  </si>
  <si>
    <t>Sheran Mendiratta Mehra</t>
  </si>
  <si>
    <t>https://www.linkedin.com/in/sheranmehra/</t>
  </si>
  <si>
    <t>raghavendra.gs@juspay.io</t>
  </si>
  <si>
    <t>sheran.mehra@tatadigital.in</t>
  </si>
  <si>
    <t>sheran.mehra@gmail.com</t>
  </si>
  <si>
    <t>87. Yes Bank</t>
  </si>
  <si>
    <t>Nipun Kaushal</t>
  </si>
  <si>
    <t>https://www.linkedin.com/in/nipun-kaushal-4818039/</t>
  </si>
  <si>
    <t>KISSHT</t>
  </si>
  <si>
    <t>https://www.linkedin.com/in/ranvir-singh-23701719/?originalSubdomain=in</t>
  </si>
  <si>
    <t>nipun.kaushal@yesbank.in</t>
  </si>
  <si>
    <t>nipun.kaushal@gmail.com</t>
  </si>
  <si>
    <t>88. Federal Bank</t>
  </si>
  <si>
    <t>M V S Murthy ( MVS )</t>
  </si>
  <si>
    <t>http://linkedin.com/in/mvsmurthy/</t>
  </si>
  <si>
    <t>ranvir.singh@kissht.com</t>
  </si>
  <si>
    <t>himvs@hotmail.com</t>
  </si>
  <si>
    <t>89. IDFC First Bank</t>
  </si>
  <si>
    <t>Shreepad Shende</t>
  </si>
  <si>
    <t>https://www.linkedin.com/in/shreepadshende/</t>
  </si>
  <si>
    <t>Vivek Veda</t>
  </si>
  <si>
    <t>https://www.linkedin.com/in/vivek-veda-0aa162a/?original_referer=https%3A%2F%2Fwww%2Egoogle%2Ecom%2F&amp;originalSubdomain=in</t>
  </si>
  <si>
    <t>shreepad_shende@yahoo.co.in</t>
  </si>
  <si>
    <t>90. Bandhan Bank</t>
  </si>
  <si>
    <t>Prasann Shrivastava</t>
  </si>
  <si>
    <t>https://www.linkedin.com/in/prasann-shrivastava-6396b3b/</t>
  </si>
  <si>
    <t>prasann707@gmail.com</t>
  </si>
  <si>
    <t>vivek@kreditbee.in</t>
  </si>
  <si>
    <t>91. RBL Bank</t>
  </si>
  <si>
    <t>Abhijit Somvanshi</t>
  </si>
  <si>
    <t>https://www.linkedin.com/in/abhijitsomvanshi/</t>
  </si>
  <si>
    <t>abhijit.somvanshi@rblbank.com</t>
  </si>
  <si>
    <t xml:space="preserve">Naveen Gupta </t>
  </si>
  <si>
    <t>abhijit_44@hotmail.com</t>
  </si>
  <si>
    <t>https://www.linkedin.com/in/naveen-gupta-a61910/?originalSubdomain=in</t>
  </si>
  <si>
    <t>92. City Union Bank</t>
  </si>
  <si>
    <t>Vijay Anandh</t>
  </si>
  <si>
    <t>https://www.linkedin.com/in/vijay-anandh-888a9612/</t>
  </si>
  <si>
    <t>vijay_anandh_us@yahoo.com</t>
  </si>
  <si>
    <t>naveeng@lambdatest.com</t>
  </si>
  <si>
    <t>93. South Indian Bank</t>
  </si>
  <si>
    <t>Azmat (Attari) Habibulla</t>
  </si>
  <si>
    <t>https://www.linkedin.com/in/azmat-habibulla62765911/</t>
  </si>
  <si>
    <t>LEAP</t>
  </si>
  <si>
    <t>azmoiz@gmail.com</t>
  </si>
  <si>
    <t>Gianni Pesce</t>
  </si>
  <si>
    <t>96. SBI Life Insurance</t>
  </si>
  <si>
    <t>https://www.linkedin.com/in/gianni-pesce-89827940/</t>
  </si>
  <si>
    <t>Rathin Lahiri</t>
  </si>
  <si>
    <t>Head Marketing &amp; CSR SBI General Insurance Ltd.CMO l BUSINESS HEAD l ANGEL INVESTOR l KEYNOTE SPEAKER</t>
  </si>
  <si>
    <t>rathin.lahiri@sbigeneral.in</t>
  </si>
  <si>
    <t>rathin300@gmail.com</t>
  </si>
  <si>
    <t>97. HDFC Life Insurance</t>
  </si>
  <si>
    <t>gpesce@leaptodigital.com</t>
  </si>
  <si>
    <t>Pritika Shah</t>
  </si>
  <si>
    <t>Head-Marketing (Brand | Product Mktg | Channel Mktg | Research | Comms | Digital | Events | CRM | CSR)</t>
  </si>
  <si>
    <t>pritikashah@gmail.com</t>
  </si>
  <si>
    <t>pshah@hdfclife.com</t>
  </si>
  <si>
    <t>Dhruvil Sanghvi</t>
  </si>
  <si>
    <t>https://www.linkedin.com/in/dhruvilsanghvi/</t>
  </si>
  <si>
    <t>98. ICICI Prudential Life Insurance</t>
  </si>
  <si>
    <t>Sumit Mohindra</t>
  </si>
  <si>
    <t>Chief Executive Officer at ICICI PRUDENTIAL PENSION FUNDS MANAGEMENT COMPANY LIMITED</t>
  </si>
  <si>
    <t>sumit.mohindra@iciciprupension.com</t>
  </si>
  <si>
    <t>sumit.mohindra@rediffmail.com</t>
  </si>
  <si>
    <t>99. Bajaj Finance</t>
  </si>
  <si>
    <t>Vishesh Sharma</t>
  </si>
  <si>
    <t>mygate</t>
  </si>
  <si>
    <t>Praveen Boda</t>
  </si>
  <si>
    <t>Former CMO - Bajaj Broking I FinTech Marketing Leader I Organic Growth Expert I Marketing Person of The Year by Nasscom</t>
  </si>
  <si>
    <t>https://www.linkedin.com/in/praveenboda/?originalSubdomain=in</t>
  </si>
  <si>
    <t>vishesh.sr@gmail.com</t>
  </si>
  <si>
    <t>100. Bajaj Finserv</t>
  </si>
  <si>
    <t>Gourav sharma</t>
  </si>
  <si>
    <t>Chief Marketing Officer at Bajaj Finserv</t>
  </si>
  <si>
    <t>gourav.sharma@bajajfinserv.in</t>
  </si>
  <si>
    <t>praveen.boda@mygate.com</t>
  </si>
  <si>
    <t>FMCG, Food, Beverage &amp; Consumer Brands (25)</t>
  </si>
  <si>
    <t xml:space="preserve"> Dabur India</t>
  </si>
  <si>
    <t>Head of Marketing, Foods at Dabur India Limited</t>
  </si>
  <si>
    <t>mayankadi@gmail.com</t>
  </si>
  <si>
    <t>mayank.kumar@dabur.com</t>
  </si>
  <si>
    <t>102. Marico</t>
  </si>
  <si>
    <t>Somasree Bose Awasthi</t>
  </si>
  <si>
    <t>Ex-Chief Marketing Officer at MARICO | Ex-CMO Godrej Consumer Products Ltd</t>
  </si>
  <si>
    <t>https://www.linkedin.com/in/somasreebose/</t>
  </si>
  <si>
    <t>Vivek Venkatesan</t>
  </si>
  <si>
    <t>https://www.linkedin.com/in/vivek-venkatesan-1562758/?originalSubdomain=in</t>
  </si>
  <si>
    <t>bosesheher@marico.com</t>
  </si>
  <si>
    <t>somasreebose@gmail.com</t>
  </si>
  <si>
    <t>venkatesan@ninjacart.com</t>
  </si>
  <si>
    <t>103. Emami</t>
  </si>
  <si>
    <t>Soumyajit Mukherjee</t>
  </si>
  <si>
    <t>https://www.linkedin.com/in/soumyajit-mukherjee-9771b827/</t>
  </si>
  <si>
    <t>NIYO</t>
  </si>
  <si>
    <t>Gourav Kumar</t>
  </si>
  <si>
    <t>https://www.linkedin.com/in/gourav-kumar-58091a7/?originalSubdomain=in</t>
  </si>
  <si>
    <t>somu723@gmail.com</t>
  </si>
  <si>
    <t>104. Britannia Industries</t>
  </si>
  <si>
    <t>Siddharth Gupta</t>
  </si>
  <si>
    <t>https://www.linkedin.com/in/siddharth-gupta-65609214/</t>
  </si>
  <si>
    <t>gourav.kumar@goniyo.com</t>
  </si>
  <si>
    <t>siddharthgupta82@gmail.com</t>
  </si>
  <si>
    <t>105. Parle Products</t>
  </si>
  <si>
    <t>pepperfry</t>
  </si>
  <si>
    <t>Mayank Pravinchandra Shah</t>
  </si>
  <si>
    <t>Madhusudan Bihani</t>
  </si>
  <si>
    <t>https://www.linkedin.com/in/mayank-pravinchandra-shah-bb38a61b/</t>
  </si>
  <si>
    <t>https://www.linkedin.com/in/madhusudan-bihani-535a1814/?originalSubdomain=in</t>
  </si>
  <si>
    <t>madhusudan.b@pepperfry.com</t>
  </si>
  <si>
    <t>mayank_73@yahoo.com</t>
  </si>
  <si>
    <t xml:space="preserve">106. Amul / Gujarat Cooperative Milk Marketing Federation (GCMMF) </t>
  </si>
  <si>
    <t>107. Mother Dairy</t>
  </si>
  <si>
    <t>108. Parag Milk Foods</t>
  </si>
  <si>
    <t>109. Hatsun Agro Product</t>
  </si>
  <si>
    <t>110. Heritage Foods</t>
  </si>
  <si>
    <t xml:space="preserve">                  Ritesh Agarwal</t>
  </si>
  <si>
    <t>111. Zydus Wellness</t>
  </si>
  <si>
    <t>https://www.linkedin.com/in/ritesh-agarwal-59972195/?originalSubdomain=ae</t>
  </si>
  <si>
    <t>112. Jyothy Labs</t>
  </si>
  <si>
    <t>113. Godrej Agrovet</t>
  </si>
  <si>
    <r>
      <t xml:space="preserve">114. Karnataka Milk Federation (Nandini) </t>
    </r>
    <r>
      <rPr>
        <color rgb="FF1155CC"/>
        <sz val="14.0"/>
        <u/>
      </rPr>
      <t>The Times of India</t>
    </r>
  </si>
  <si>
    <t>ritesh@pixis.ai</t>
  </si>
  <si>
    <t>pixxel</t>
  </si>
  <si>
    <t>Srishti Bajpai</t>
  </si>
  <si>
    <t>https://www.linkedin.com/in/srishti-bajpai-02578039/?originalSubdomain=in</t>
  </si>
  <si>
    <t>115. Wagh Bakri Tea Group</t>
  </si>
  <si>
    <r>
      <t xml:space="preserve">116. Tata Consumer Products </t>
    </r>
    <r>
      <rPr>
        <color rgb="FF1155CC"/>
        <sz val="14.0"/>
        <u/>
      </rPr>
      <t>Tickertape</t>
    </r>
  </si>
  <si>
    <t>117. Page Industries (Jockey India)</t>
  </si>
  <si>
    <t>118. Raymond</t>
  </si>
  <si>
    <t>piom</t>
  </si>
  <si>
    <t>Will Briggs</t>
  </si>
  <si>
    <t>119. V-Guard Industries</t>
  </si>
  <si>
    <t>https://www.linkedin.com/in/will-briggs-51994021/?originalSubdomain=uk</t>
  </si>
  <si>
    <t>120. Relaxo Footwears</t>
  </si>
  <si>
    <t>121. Campus Activewear</t>
  </si>
  <si>
    <t>122. Safari Industries</t>
  </si>
  <si>
    <t>124. United Spirits</t>
  </si>
  <si>
    <t>125. United Breweries</t>
  </si>
  <si>
    <r>
      <t xml:space="preserve">Pharma, Biotech &amp; Healthcare (30) </t>
    </r>
    <r>
      <rPr>
        <rFont val="Arial"/>
        <color rgb="FF1155CC"/>
        <sz val="14.0"/>
        <u/>
      </rPr>
      <t>Wikipedia</t>
    </r>
    <r>
      <rPr>
        <rFont val="Arial"/>
        <color rgb="FF1155CC"/>
        <sz val="14.0"/>
        <u/>
      </rPr>
      <t>+1</t>
    </r>
  </si>
  <si>
    <t>will.briggs@wearepion.com</t>
  </si>
  <si>
    <t>Anurag Sharma</t>
  </si>
  <si>
    <t>https://www.linkedin.com/in/anurag-sharma-2aa57854/?originalSubdomain=in</t>
  </si>
  <si>
    <t>anurag.sharma@pocketfm.com</t>
  </si>
  <si>
    <t>127. Dr. Reddy’s Laboratories</t>
  </si>
  <si>
    <t>PROGCAP</t>
  </si>
  <si>
    <t>Sushil Thaker</t>
  </si>
  <si>
    <t>https://www.linkedin.com/in/sushilthaker/?originalSubdomain=in</t>
  </si>
  <si>
    <t>128. Cipla</t>
  </si>
  <si>
    <t>sushil@avantifinance.in</t>
  </si>
  <si>
    <t>Narendra Choudhari</t>
  </si>
  <si>
    <t>Sr. Marketing Head</t>
  </si>
  <si>
    <t>https://www.linkedin.com/in/narendra-choudhari-1a97231a/?originalSubdomain=in</t>
  </si>
  <si>
    <t>Krishan Agarwal</t>
  </si>
  <si>
    <t>https://www.linkedin.com/in/krishan-agarwal-2a167a18/?originalSubdomain=in</t>
  </si>
  <si>
    <t>narendra.choudhari@cipla.com</t>
  </si>
  <si>
    <t>krishan.agarwal@ondc.org</t>
  </si>
  <si>
    <t>129. Lupin</t>
  </si>
  <si>
    <t>Supratik Sengupta</t>
  </si>
  <si>
    <t>Chief Marketing Officer at LupinLife Consumer Healthcare</t>
  </si>
  <si>
    <t>https://www.linkedin.com/in/supratiksengupta/</t>
  </si>
  <si>
    <t>Rahul Verman</t>
  </si>
  <si>
    <t>https://www.linkedin.com/in/rahul-vermani-6b5162102/?originalSubdomain=in</t>
  </si>
  <si>
    <t>supratiksengupta@gmail.com</t>
  </si>
  <si>
    <t>rahul.vermani@renewbuy.com</t>
  </si>
  <si>
    <t>130. Aurobindo Pharma</t>
  </si>
  <si>
    <t>Ripple</t>
  </si>
  <si>
    <t>Senior Vice President and Head Emerging Markets at AUROBINDO PHARMA LTD</t>
  </si>
  <si>
    <t>Jon Bilich</t>
  </si>
  <si>
    <t>https://www.linkedin.com/in/debashis-sarkar-416b2713/</t>
  </si>
  <si>
    <t>https://www.linkedin.com/in/jbilich/</t>
  </si>
  <si>
    <t>jon@ripple.com</t>
  </si>
  <si>
    <t>debus2k@gmail.com</t>
  </si>
  <si>
    <t xml:space="preserve">SCALER </t>
  </si>
  <si>
    <t xml:space="preserve">               Abhinav Vijayvargiya</t>
  </si>
  <si>
    <t>https://www.linkedin.com/in/abhinav-vijayvargiya-2812672b/?originalSubdomain=in</t>
  </si>
  <si>
    <t>131. Biocon</t>
  </si>
  <si>
    <t>Saurabh Narain</t>
  </si>
  <si>
    <t>Global Branding, Digital, Product &amp; Marketing Communications at Biocon Biologics</t>
  </si>
  <si>
    <t>https://www.linkedin.com/in/saurabhnarain007/</t>
  </si>
  <si>
    <t>abhinav.vijayvargiya@scaler.com</t>
  </si>
  <si>
    <t>narainsaurabh@gmail.com</t>
  </si>
  <si>
    <t>narainsaurabh@yahoo.com</t>
  </si>
  <si>
    <t>scriptbox</t>
  </si>
  <si>
    <t xml:space="preserve">Sanjiv Singhal </t>
  </si>
  <si>
    <t>https://www.linkedin.com/in/sanjivsinghal/?originalSubdomain=in</t>
  </si>
  <si>
    <t>132. Divi’s Laboratories</t>
  </si>
  <si>
    <t>Nagbhushan Rao</t>
  </si>
  <si>
    <t>Asst. General Manager Marketing at Divis Laboratories Limited</t>
  </si>
  <si>
    <t>https://www.linkedin.com/in/nagbhushan-rao-41670215/</t>
  </si>
  <si>
    <t>sanjiv.singhal@scripbox.com</t>
  </si>
  <si>
    <t>ylnrao@divislaboratories.com</t>
  </si>
  <si>
    <t>SERVIFY</t>
  </si>
  <si>
    <t>Alok Vaish</t>
  </si>
  <si>
    <t>https://www.linkedin.com/in/alok-vaish-14a69617/?originalSubdomain=in</t>
  </si>
  <si>
    <t>133. Torrent Pharmaceuticals</t>
  </si>
  <si>
    <t>Managing Director at Torrent Pharma</t>
  </si>
  <si>
    <t>https://www.linkedin.com/in/aman-mehta-25170960/</t>
  </si>
  <si>
    <t>alok.v@servify.in</t>
  </si>
  <si>
    <t>SHADOWFAx</t>
  </si>
  <si>
    <t xml:space="preserve">Praveen Kumar KJ
</t>
  </si>
  <si>
    <t>https://www.linkedin.com/in/praveen-kumar-kj-78476b1/?originalSubdomain=in</t>
  </si>
  <si>
    <t>amanmehta91@gmail.com</t>
  </si>
  <si>
    <t>praveen.kumar@shadowfax.in</t>
  </si>
  <si>
    <t>134. Glenmark Pharmaceuticals</t>
  </si>
  <si>
    <t>Parimol Balsaraf</t>
  </si>
  <si>
    <t>Head of Marketing at Glenmark Pharmaceuticals</t>
  </si>
  <si>
    <t>https://www.linkedin.com/in/parimol-balsaraf-47277321/</t>
  </si>
  <si>
    <t xml:space="preserve">                     Pratik Lohiya</t>
  </si>
  <si>
    <t>https://www.linkedin.com/in/pratik-lohiya-01619311a/?originalSubdomain=in</t>
  </si>
  <si>
    <t>parimol.balsaraf@glenmarkpharma.com</t>
  </si>
  <si>
    <t>parimol.balsaraf@sunpharma.com</t>
  </si>
  <si>
    <t>pratik.lohiya@smallcase.com</t>
  </si>
  <si>
    <t>pratiklohiya01@gmail.com</t>
  </si>
  <si>
    <t>Aniket Singh</t>
  </si>
  <si>
    <t>135. Zydus Lifesciences</t>
  </si>
  <si>
    <t>https://www.linkedin.com/in/singhaniketkr/?originalSubdomain=in</t>
  </si>
  <si>
    <t>Snehit Ashok Joshi</t>
  </si>
  <si>
    <t>Dy General Manager - Zydus Lifesciences -Vaccines &amp; Biologics</t>
  </si>
  <si>
    <t>https://www.linkedin.com/in/snehit-ashok-joshi-1ba0875b/</t>
  </si>
  <si>
    <t>aniket@snitch.com</t>
  </si>
  <si>
    <t>snehitjoshi@gmail.com</t>
  </si>
  <si>
    <t>snehit.joshi@zyduslife.com</t>
  </si>
  <si>
    <t>square yards</t>
  </si>
  <si>
    <t>Piyush Bothra</t>
  </si>
  <si>
    <t>https://www.linkedin.com/in/piyushbothtra/?originalSubdomain=in</t>
  </si>
  <si>
    <t>136. Alkem Laboratories</t>
  </si>
  <si>
    <t>Nishant Kumar</t>
  </si>
  <si>
    <t>AGM - Marketing Head at Alkem Laboratories Ltd.</t>
  </si>
  <si>
    <t>http://linkedin.com/in/nishant-kumar-99240b3a/</t>
  </si>
  <si>
    <t>piyush.bothra@squareyards.com</t>
  </si>
  <si>
    <t>nishant.ishan@gmail.com</t>
  </si>
  <si>
    <t>CA ASHISH KUMAR</t>
  </si>
  <si>
    <t>https://www.linkedin.com/in/caashishkr/?originalSubdomain=in</t>
  </si>
  <si>
    <t>137. Jubilant Pharmova (Jubilant Life Sciences)</t>
  </si>
  <si>
    <t>ashishk_209@yahoo.co.in</t>
  </si>
  <si>
    <t>Srinivas Pramodh Emany</t>
  </si>
  <si>
    <t>https://www.linkedin.com/in/srinivas-pramodh-emany-606216b/?originalSubdomain=in</t>
  </si>
  <si>
    <t>138. Natco Pharma</t>
  </si>
  <si>
    <t>emany_p@yahoo.com</t>
  </si>
  <si>
    <t>139. Ajanta Pharma</t>
  </si>
  <si>
    <t xml:space="preserve">Naveen Bhadada </t>
  </si>
  <si>
    <t>https://www.linkedin.com/in/naveen-bhadada/?originalSubdomain=in</t>
  </si>
  <si>
    <t>140. Cadila Pharmaceuticals</t>
  </si>
  <si>
    <t>naveen_bhadada@colpal.com</t>
  </si>
  <si>
    <t>true balance</t>
  </si>
  <si>
    <t>Anupam Vasdani</t>
  </si>
  <si>
    <t>https://www.linkedin.com/in/anupam-vasdani-14594a6/?originalSubdomain=in</t>
  </si>
  <si>
    <t>141. Serum Institute of India</t>
  </si>
  <si>
    <t>anupam.vasdani@tfsin.co.in</t>
  </si>
  <si>
    <t>142. Bharat Biotech</t>
  </si>
  <si>
    <t>turtle mint</t>
  </si>
  <si>
    <t>Badri Sanjeevi</t>
  </si>
  <si>
    <t>https://www.linkedin.com/in/badrisanjeevi/?originalSubdomain=in</t>
  </si>
  <si>
    <t>143. Wockhardt</t>
  </si>
  <si>
    <t>badri.sanjeevi@turtlemint.com</t>
  </si>
  <si>
    <t xml:space="preserve">                   Navesh Gupta</t>
  </si>
  <si>
    <t>https://www.linkedin.com/in/navesh-gupta/?originalSubdomain=in</t>
  </si>
  <si>
    <t>144. Alembic Pharmaceuticals</t>
  </si>
  <si>
    <t>navesh.gupta@wakefit.co</t>
  </si>
  <si>
    <t>145. IPCA Laboratories</t>
  </si>
  <si>
    <t>way cool</t>
  </si>
  <si>
    <t xml:space="preserve">Sidhartha Patnaik </t>
  </si>
  <si>
    <t>https://www.linkedin.com/in/sidhartha-patnaik-273a9925/?originalSubdomain=in</t>
  </si>
  <si>
    <t>146. FDC Limited</t>
  </si>
  <si>
    <t>siddharth.patnaik@wrigley.com</t>
  </si>
  <si>
    <t xml:space="preserve">                    Clifford Lobo </t>
  </si>
  <si>
    <t>147. Strides Pharma Science</t>
  </si>
  <si>
    <t>https://www.linkedin.com/in/cliffordlobo/?originalSubdomain=in</t>
  </si>
  <si>
    <t>clifford.lobo@wework.co.in</t>
  </si>
  <si>
    <r>
      <t xml:space="preserve">148. Dishman Carbogen Amcis </t>
    </r>
    <r>
      <rPr>
        <rFont val="Arial"/>
        <color rgb="FF1155CC"/>
        <sz val="14.0"/>
        <u/>
      </rPr>
      <t>Wikipedia</t>
    </r>
  </si>
  <si>
    <t>whatfix</t>
  </si>
  <si>
    <t xml:space="preserve">                    Nidhish Patni</t>
  </si>
  <si>
    <t>https://www.linkedin.com/in/nidhish-patni-881b0453/?originalSubdomain=in</t>
  </si>
  <si>
    <t>149. Laurus Labs</t>
  </si>
  <si>
    <t>nidhish.patni@gohighlevel.com</t>
  </si>
  <si>
    <t>WINZO</t>
  </si>
  <si>
    <t>https://www.linkedin.com/in/saumya-singh-rathore-winzo2212/?originalSubdomain=in</t>
  </si>
  <si>
    <t>150. Suven Pharmaceuticals</t>
  </si>
  <si>
    <t>saumya@winzogames.com</t>
  </si>
  <si>
    <t>151. Granules India</t>
  </si>
  <si>
    <t>WOW</t>
  </si>
  <si>
    <t>Vikas Lal</t>
  </si>
  <si>
    <t>https://www.linkedin.com/in/vikas-lal-0240015/?originalSubdomain=in</t>
  </si>
  <si>
    <t>vikas.lal@mensabrands.com</t>
  </si>
  <si>
    <t>152. Eris Lifesciences</t>
  </si>
  <si>
    <t>vikas_lal@whirlpool.com</t>
  </si>
  <si>
    <t>yulu</t>
  </si>
  <si>
    <t xml:space="preserve">                       Anuj Tewari </t>
  </si>
  <si>
    <t>https://www.linkedin.com/in/anuj-tewari-363140b/?originalSubdomain=in</t>
  </si>
  <si>
    <t>153. Glenmark Life Sciences</t>
  </si>
  <si>
    <t>anuj@yulu.bike</t>
  </si>
  <si>
    <t>154. Caplin Point Laboratories</t>
  </si>
  <si>
    <t xml:space="preserve">Aditya Kumar </t>
  </si>
  <si>
    <t>https://www.linkedin.com/in/aditya-kumar-73980358/?originalSubdomain=in</t>
  </si>
  <si>
    <t>155. Nectar Lifesciences</t>
  </si>
  <si>
    <t>aditya.kumar@zaggle.in</t>
  </si>
  <si>
    <t>ZENWORK</t>
  </si>
  <si>
    <t>William McNamara</t>
  </si>
  <si>
    <t>https://www.linkedin.com/in/wmcnamara/</t>
  </si>
  <si>
    <t>william@zenwork.com</t>
  </si>
  <si>
    <r>
      <t xml:space="preserve">Metals, Mining, Cement, Chemicals &amp; Materials (30) </t>
    </r>
    <r>
      <rPr>
        <rFont val="Arial"/>
        <color rgb="FF1155CC"/>
        <sz val="14.0"/>
        <u/>
      </rPr>
      <t>Screener</t>
    </r>
    <r>
      <rPr>
        <rFont val="Arial"/>
        <color rgb="FF1155CC"/>
        <sz val="14.0"/>
        <u/>
      </rPr>
      <t>+2</t>
    </r>
    <r>
      <rPr>
        <rFont val="Arial"/>
        <color rgb="FF1155CC"/>
        <sz val="14.0"/>
        <u/>
      </rPr>
      <t>Screener</t>
    </r>
    <r>
      <rPr>
        <rFont val="Arial"/>
        <color rgb="FF1155CC"/>
        <sz val="14.0"/>
        <u/>
      </rPr>
      <t>+2</t>
    </r>
  </si>
  <si>
    <t>https://www.linkedin.com/in/manish-sharma-63aaa814/?originalSubdomain=in</t>
  </si>
  <si>
    <t>manish@zolve.com</t>
  </si>
  <si>
    <t>156. Tata Steel</t>
  </si>
  <si>
    <t>SATYAJIT MAITY</t>
  </si>
  <si>
    <t>Chief Marketing &amp; Sales, Long Products (Retail) , TATA STEEL LTD</t>
  </si>
  <si>
    <t>https://www.linkedin.com/in/satyajit-maity-617980b/</t>
  </si>
  <si>
    <t>ZUPEE</t>
  </si>
  <si>
    <t>https://www.linkedin.com/in/ankit-maheshwari-7629a573/?originalSubdomain=in</t>
  </si>
  <si>
    <t>maity.satyajit@gmail.com</t>
  </si>
  <si>
    <t>ankit.maheshwari@zupee.com</t>
  </si>
  <si>
    <t>157. JSW Steel</t>
  </si>
  <si>
    <t>Tarun Jha</t>
  </si>
  <si>
    <t>ZYPP</t>
  </si>
  <si>
    <t>Mukesh Singla</t>
  </si>
  <si>
    <t>Award-winning Marketing, Growth and Revival Strategist. Head - Marketing, JSW Steel. (Previously, CEO - Havas Creative India; CMO - Škoda Auto India; Ex - Mahindra; Ogilvy &amp; Mudra). Views are personal.</t>
  </si>
  <si>
    <t>https://www.linkedin.com/in/mukesh-singla-4855411a/?originalSubdomain=in</t>
  </si>
  <si>
    <t>https://www.linkedin.com/in/tarun-jha-2823161b/</t>
  </si>
  <si>
    <t>mukesh.singla@zypp.app</t>
  </si>
  <si>
    <t>tarunjha@yahoo.com</t>
  </si>
  <si>
    <t>Corporate</t>
  </si>
  <si>
    <t>158. Hindalco Industries</t>
  </si>
  <si>
    <t>Devotosh Kumar Das</t>
  </si>
  <si>
    <t>Ex - Chief Marketing Officer - Hindalco</t>
  </si>
  <si>
    <t>https://www.linkedin.com/in/devotosh-kumar-das/</t>
  </si>
  <si>
    <t>Emma Jindal</t>
  </si>
  <si>
    <t>CFO (India)</t>
  </si>
  <si>
    <t>linkedin.com/m/in/emmajindal</t>
  </si>
  <si>
    <t>devotosh@rediffmail.com</t>
  </si>
  <si>
    <t>emma.jindal@accenture.com</t>
  </si>
  <si>
    <t>159. Vedanta Limited</t>
  </si>
  <si>
    <t>Jugeshinder (Robbie) Singh</t>
  </si>
  <si>
    <t>Group Chief Financial Officer</t>
  </si>
  <si>
    <t>https://www.linkedin.com/in/jugeshinder-robbie-singh-maicd-217473a</t>
  </si>
  <si>
    <t>160. NMDC</t>
  </si>
  <si>
    <t>jugeshinder.singh@adani.com</t>
  </si>
  <si>
    <t>Saurabh Shah</t>
  </si>
  <si>
    <t>161. Steel Authority of India (SAIL)</t>
  </si>
  <si>
    <t>Chief Financial Officer</t>
  </si>
  <si>
    <t>https://www.linkedin.com/in/saurabh-shah-9a19a92b4</t>
  </si>
  <si>
    <t>saurabh.shah1@adani.com</t>
  </si>
  <si>
    <t>162. Jindal Steel &amp; Power</t>
  </si>
  <si>
    <t>Dilip Kumar Jha</t>
  </si>
  <si>
    <t>https://www.linkedin.com/in/dilip-jha-11586b29/?originalSubdomain=in</t>
  </si>
  <si>
    <t>163. National Aluminium Company (NALCO)</t>
  </si>
  <si>
    <t>dilip.jha@adani.com</t>
  </si>
  <si>
    <t>164. Coal India</t>
  </si>
  <si>
    <t>https://www.linkedin.com/in/sushil-agarwal/?originalSubdomain=in</t>
  </si>
  <si>
    <t>sushil.agarwal@adityabirla.com</t>
  </si>
  <si>
    <t>165. NLC India (Neyveli Lignite)</t>
  </si>
  <si>
    <t>Apple</t>
  </si>
  <si>
    <t>Kevan Parekh</t>
  </si>
  <si>
    <t>https://www.linkedin.com/in/kevan-parekh-231377/</t>
  </si>
  <si>
    <t>kparekh@apple.com</t>
  </si>
  <si>
    <t>167. Shree Cement</t>
  </si>
  <si>
    <t>Dinesh Thapar</t>
  </si>
  <si>
    <t>https://www.linkedin.com/in/dinesh-thapar-3265a31</t>
  </si>
  <si>
    <t>168. Dalmia Bharat</t>
  </si>
  <si>
    <t>dthapar@bajajauto.co.in</t>
  </si>
  <si>
    <t>169. ACC Limited</t>
  </si>
  <si>
    <t>E.C. Prasad</t>
  </si>
  <si>
    <t>https://www.linkedin.com/in/ec-prasad-847393b/?originalSubdomain=in</t>
  </si>
  <si>
    <t>ec.prasad@bajajelectricals.com</t>
  </si>
  <si>
    <t>166. UltraTech Cement</t>
  </si>
  <si>
    <t>Ajay Dang</t>
  </si>
  <si>
    <t>Head - Marketing</t>
  </si>
  <si>
    <t>https://www.linkedin.com/in/ajaymdang/?originalSubdomain=in</t>
  </si>
  <si>
    <t>S. Sreenivasan</t>
  </si>
  <si>
    <t>https://www.linkedin.com/in/s-sreenivasan-548460118/</t>
  </si>
  <si>
    <t>ajay.dang@adityabirla.com</t>
  </si>
  <si>
    <t>s.sreenivasan@bajajfinserv.in</t>
  </si>
  <si>
    <t>172. JK Cement</t>
  </si>
  <si>
    <t>Pushp Raj Singh</t>
  </si>
  <si>
    <t>Group President - Marketing at JK Cement Ltd.</t>
  </si>
  <si>
    <t>BCG (Boston Consulting Group)</t>
  </si>
  <si>
    <t>https://www.linkedin.com/in/pushp-raj-singh-4103a013/</t>
  </si>
  <si>
    <t>Paul Tranter</t>
  </si>
  <si>
    <t>Global Chief Financial Officer</t>
  </si>
  <si>
    <t>https://www.linkedin.com/in/paul-tranter-324738/</t>
  </si>
  <si>
    <t>tranter.paul@bcg.com</t>
  </si>
  <si>
    <t>prsingh16@gmail.com</t>
  </si>
  <si>
    <t>Soumen Ray</t>
  </si>
  <si>
    <t>173. India Cements</t>
  </si>
  <si>
    <t>https://www.linkedin.com/in/soumen-ray-61142499</t>
  </si>
  <si>
    <t>President/CMO</t>
  </si>
  <si>
    <t>soumen.ray@airtel.com</t>
  </si>
  <si>
    <t>174. Grasim Industries</t>
  </si>
  <si>
    <t>Shailendra Deshpande</t>
  </si>
  <si>
    <t>Chief Marketing Officer and Joint President at Grasim Industries Limited : Chemicals Division</t>
  </si>
  <si>
    <t>Pankaj Pawar</t>
  </si>
  <si>
    <t>https://www.linkedin.com/in/shailendra-deshpande-8447517/</t>
  </si>
  <si>
    <t>anusanu23@yahoo.co.in</t>
  </si>
  <si>
    <t>Indranil Sen</t>
  </si>
  <si>
    <t>https://www.linkedin.com/in/indranil-sen-b3a0bba/?originalSubdomain=in</t>
  </si>
  <si>
    <t>indranil.sen@elgi.com</t>
  </si>
  <si>
    <t>175. UPL Limited</t>
  </si>
  <si>
    <t>Jagdish Nainwal</t>
  </si>
  <si>
    <t>Global Chief Marketing officer for UPL&amp; Head of global NPP business unit for UPL, Harvard Business School Alumni , Founder President &amp; Board Member for India Mexico Trade and Commerce council (INDMEX)</t>
  </si>
  <si>
    <t>https://www.linkedin.com/in/jagdish-nainwal-48382815/</t>
  </si>
  <si>
    <t>Martin Small</t>
  </si>
  <si>
    <t>https://www.linkedin.com/in/martin-small-69438213/</t>
  </si>
  <si>
    <t>nain_wal@rediffmail.com</t>
  </si>
  <si>
    <t>martin.small@blackrock.com</t>
  </si>
  <si>
    <t>176. Pidilite Industries</t>
  </si>
  <si>
    <t>Sandeep tanwani</t>
  </si>
  <si>
    <t>https://www.linkedin.com/in/sandeep-tanwani-771797/?originalSubdomain=in</t>
  </si>
  <si>
    <t>Ashish Adukia</t>
  </si>
  <si>
    <t>https://www.linkedin.com/in/ashish-adukia</t>
  </si>
  <si>
    <t>sandeep.tanwani@pidilite.com</t>
  </si>
  <si>
    <t>ashish.adukia@cipla.com</t>
  </si>
  <si>
    <t>177. Asian Paints</t>
  </si>
  <si>
    <t>Nitin Kore</t>
  </si>
  <si>
    <t>Project Coordinator| Delivering High Impact client’s projects on time”</t>
  </si>
  <si>
    <t>http://linkedin.com/in/nitin-kore-b30214338/</t>
  </si>
  <si>
    <t>Mukesh Agrawal</t>
  </si>
  <si>
    <t>Kaleeswaran Arunachalam</t>
  </si>
  <si>
    <t>https://www.linkedin.com/in/kaleeswaran-a-4282969/details/experience/</t>
  </si>
  <si>
    <t>178. Berger Paints India</t>
  </si>
  <si>
    <t>kaleeswaram.arunachalan@mdlz.com</t>
  </si>
  <si>
    <t>Abhimanyu Roy</t>
  </si>
  <si>
    <t>Chief Marketing Manager at Berger Paint India Limited | Ex Pidilite Industries Ltd | Ex Lavazza Inc.</t>
  </si>
  <si>
    <t>https://www.linkedin.com/in/abhimanyu-roy-5983b914/</t>
  </si>
  <si>
    <t>https://www.linkedin.com/in/ankush-jain-25534630/?originalSubdomain=in</t>
  </si>
  <si>
    <t>ankushjain@dabur.com</t>
  </si>
  <si>
    <t>179. Kansai Nerolac Paints</t>
  </si>
  <si>
    <t>Dharmender Tuteja</t>
  </si>
  <si>
    <t>https://www.linkedin.com/in/dharmender-tuteja-069345a</t>
  </si>
  <si>
    <t>tuteja.dharmender@dalmiabharat.com</t>
  </si>
  <si>
    <t>180. SRF Limited</t>
  </si>
  <si>
    <t>Parag Agarwal</t>
  </si>
  <si>
    <t>Ex- CFO, Advisor to the chairman</t>
  </si>
  <si>
    <t>https://www.linkedin.com/in/parag-agarwal-63b89a45/?originalSubdomain=in</t>
  </si>
  <si>
    <t>parag.agarwal@rb.com</t>
  </si>
  <si>
    <t>181. Aarti Industries</t>
  </si>
  <si>
    <t>Rakesh Kumar Jain</t>
  </si>
  <si>
    <t>https://www.linkedin.com/in/cma-rakesh-kumar-jain-a28810141/?originalSubdomain=in</t>
  </si>
  <si>
    <t>182. Deepak Nitrite</t>
  </si>
  <si>
    <t>rakesh.kumar@gail.co.in</t>
  </si>
  <si>
    <t>Godrej Industries Ltd</t>
  </si>
  <si>
    <t>Clement Pinto</t>
  </si>
  <si>
    <t>https://www.linkedin.com/in/clement-pinto-0276bba4/?originalSubdomain=in</t>
  </si>
  <si>
    <t>183. Atul Ltd</t>
  </si>
  <si>
    <t>cg.pinto@godrejinds.com</t>
  </si>
  <si>
    <t>Google (Alphabet Inc.)</t>
  </si>
  <si>
    <t>Anat Ashkenazi</t>
  </si>
  <si>
    <t>https://www.linkedin.com/in/anat-a-a334433/</t>
  </si>
  <si>
    <t>184. GHCL</t>
  </si>
  <si>
    <t>anat.ashkenazi@google.com</t>
  </si>
  <si>
    <t>Pavan Jain</t>
  </si>
  <si>
    <t>https://www.linkedin.com/in/pavan-kumar-jain-2a15b714/?originalSubdomain=in</t>
  </si>
  <si>
    <t>185. Gujarat Fluorochemicals</t>
  </si>
  <si>
    <t>pavan.jain@adityabirla.com</t>
  </si>
  <si>
    <t>Shiv Walia</t>
  </si>
  <si>
    <t>https://www.linkedin.com/in/shiv-walia-886790a0/?originalSubdomain=in</t>
  </si>
  <si>
    <t>shiv.walia@hcltech.com</t>
  </si>
  <si>
    <r>
      <t xml:space="preserve">Power, Energy, Logistics, Infra, Retail, Hospitality &amp; Misc (15) </t>
    </r>
    <r>
      <rPr>
        <rFont val="Arial"/>
        <color rgb="FF1155CC"/>
        <sz val="14.0"/>
        <u/>
      </rPr>
      <t>Companies Market Cap</t>
    </r>
    <r>
      <rPr>
        <rFont val="Arial"/>
        <color rgb="FF1155CC"/>
        <sz val="14.0"/>
        <u/>
      </rPr>
      <t>+1</t>
    </r>
  </si>
  <si>
    <t>Bharat Goenka</t>
  </si>
  <si>
    <t>https://www.linkedin.com/in/bharat-goenka-270b7b12/?originalSubdomain=in</t>
  </si>
  <si>
    <t>bharat.goenka@adityabirla.com</t>
  </si>
  <si>
    <t>Gopal Mahadevan</t>
  </si>
  <si>
    <t>https://www.linkedin.com/in/gopal-mahadevan-170a6b/?originalSubdomain=in</t>
  </si>
  <si>
    <t>gopal@ashokleyland.com</t>
  </si>
  <si>
    <t>186. NTPC Limited</t>
  </si>
  <si>
    <t>Rajneesh Narang</t>
  </si>
  <si>
    <t>https://www.linkedin.com/in/rajneesh-narang-94383b125/?originalSubdomain=in</t>
  </si>
  <si>
    <t>narangr@hpcl.in</t>
  </si>
  <si>
    <t>187. Power Grid Corporation of India</t>
  </si>
  <si>
    <t>188. GAIL India</t>
  </si>
  <si>
    <t>https://www.linkedin.com/in/anuj-jain-32076a31/?originalSubdomain=in</t>
  </si>
  <si>
    <t>189. Oil and Natural Gas Corporation (ONGC)</t>
  </si>
  <si>
    <t>cajaina@gmail.com</t>
  </si>
  <si>
    <t>98736 77736</t>
  </si>
  <si>
    <t>190. Indian Oil Corporation</t>
  </si>
  <si>
    <t>IndiGo (InterGlobe Aviation Ltd)</t>
  </si>
  <si>
    <t>Gaurav Negi</t>
  </si>
  <si>
    <t>https://www.linkedin.com/in/gaurav-negi-432b08</t>
  </si>
  <si>
    <t>gaurav.negi@goindigo.in</t>
  </si>
  <si>
    <t>191. Bharat Petroleum Corporation (BPCL)</t>
  </si>
  <si>
    <t>Jayesh Sanghrajka</t>
  </si>
  <si>
    <t>https://www.linkedin.com/in/jayeshsanghrajka06</t>
  </si>
  <si>
    <t>jayesh_sanghrajka@infosys.com</t>
  </si>
  <si>
    <t>192. Hindustan Petroleum Corporation (HPCL)</t>
  </si>
  <si>
    <t>Supratim Dutta</t>
  </si>
  <si>
    <t>Executive Director &amp; CFO</t>
  </si>
  <si>
    <t>https://www.linkedin.com/in/supratim-dutta-b74a1776</t>
  </si>
  <si>
    <t>193. Torrent Power</t>
  </si>
  <si>
    <t>supratim.dutta@itc.in</t>
  </si>
  <si>
    <t>Pritesh Vinay</t>
  </si>
  <si>
    <t>https://www.linkedin.com/in/pritesh-vinay-774812169/?originalSubdomain=in</t>
  </si>
  <si>
    <t>194. Adani Green Energy</t>
  </si>
  <si>
    <t>pritesh.vinay@jsw.in</t>
  </si>
  <si>
    <t>195. Adani Ports and Special Economic Zone</t>
  </si>
  <si>
    <t>196. Container Corporation of India</t>
  </si>
  <si>
    <t>Lalit Singhvi</t>
  </si>
  <si>
    <t>https://www.linkedin.com/in/lalit-singhvi-6b851513/?originalSubdomain=in</t>
  </si>
  <si>
    <t>197. Blue Dart Express</t>
  </si>
  <si>
    <t>lalit.singhvi@jsw.in</t>
  </si>
  <si>
    <t>Chief Financial Officer &amp; Whole-time Director</t>
  </si>
  <si>
    <t>198. Allcargo Logistics</t>
  </si>
  <si>
    <t>199. Transport Corporation of India</t>
  </si>
  <si>
    <t>Ramesh Swaminathan</t>
  </si>
  <si>
    <t>Executive Director &amp; Global CFO</t>
  </si>
  <si>
    <t>https://www.linkedin.com/in/ramesh-swaminathan-861a683/?originalSubdomain=in</t>
  </si>
  <si>
    <t>200. Avenue Supermarts (DMart)</t>
  </si>
  <si>
    <t>rameshswaminathan@lupin.com</t>
  </si>
  <si>
    <t>Pradeep Agrawal</t>
  </si>
  <si>
    <t>https://www.linkedin.com/in/pradeep-agrawal-9514341a/?originalSubdomain=in</t>
  </si>
  <si>
    <t>pradeep.agrawal@mahindrafinance.com</t>
  </si>
  <si>
    <t>Amarjyoti Barua</t>
  </si>
  <si>
    <t>https://www.linkedin.com/in/amarjyoti-barua-9b22222/?originalSubdomain=in</t>
  </si>
  <si>
    <t>barua.amarjyoti@mahindra.com</t>
  </si>
  <si>
    <t>Amy Hood</t>
  </si>
  <si>
    <t>Executive VP &amp; Chief Financial Officer</t>
  </si>
  <si>
    <t>https://www.linkedin.com/in/amyhood1/</t>
  </si>
  <si>
    <t>amyhood@microsoft.com</t>
  </si>
  <si>
    <t>Madhu P. Nainan</t>
  </si>
  <si>
    <t>Vice President - Finance</t>
  </si>
  <si>
    <t>https://www.linkedin.com/in/madhu-nainan-46430923/?originalSubdomain=in</t>
  </si>
  <si>
    <t>madhu.nainan@mrfmail.com</t>
  </si>
  <si>
    <t>madhu_nainan@yahoo.com</t>
  </si>
  <si>
    <t>Svetlana Boldina</t>
  </si>
  <si>
    <t>Executive Director - Finance &amp; Control</t>
  </si>
  <si>
    <t>https://www.linkedin.com/in/svetlana-boldina-45343115/?originalSubdomain=in</t>
  </si>
  <si>
    <t>svetlana.boldina@us.nestle.com</t>
  </si>
  <si>
    <t>svetlanaboldina71@gmail.com</t>
  </si>
  <si>
    <t>Jaikumar Srinivasan</t>
  </si>
  <si>
    <t>https://www.linkedin.com/in/jaikumar-srinivasan-70055a3/?originalSubdomain=in</t>
  </si>
  <si>
    <t>jaikumar@ntpc.co.in</t>
  </si>
  <si>
    <t>Kallol Kundu</t>
  </si>
  <si>
    <t>https://www.linkedin.com/in/kallolkundu/?originalSubdomain=ae</t>
  </si>
  <si>
    <t>kallol.kundu@fiveglobalholdings.com</t>
  </si>
  <si>
    <t>Vivek Chandrakant Tongaonkar</t>
  </si>
  <si>
    <t>https://www.linkedin.com/in/vivek-tongaonkar-0856451/?originalSubdomain=in</t>
  </si>
  <si>
    <t>tongaonkar_v@ongc.co.in</t>
  </si>
  <si>
    <t>Abhijit Majumder</t>
  </si>
  <si>
    <t>ONGC Videsh Ltd</t>
  </si>
  <si>
    <t>Anupam Aggarwal</t>
  </si>
  <si>
    <t>Vinod Kumar Mishra</t>
  </si>
  <si>
    <t>Ravisankar Ganesan</t>
  </si>
  <si>
    <t>V. Krishnan</t>
  </si>
  <si>
    <t>Whole-Time Director &amp; CFO</t>
  </si>
  <si>
    <t>Srikanth Venkatachari</t>
  </si>
  <si>
    <t>Vijesh Babu</t>
  </si>
  <si>
    <t>Kunal Malani</t>
  </si>
  <si>
    <t>https://www.linkedin.com/in/kunal-malani-2817b41/?originalSubdomain=in</t>
  </si>
  <si>
    <t>kunal.malani@motherson.com</t>
  </si>
  <si>
    <t>Rahul Jain</t>
  </si>
  <si>
    <t>https://www.linkedin.com/in/rahul-jain-a02736154/?originalSubdomain=in</t>
  </si>
  <si>
    <t>rahul.jain@srf.com</t>
  </si>
  <si>
    <t>Ashok Kumar Panda</t>
  </si>
  <si>
    <t>https://www.linkedin.com/in/dr-ashok-kumar-panda-2884a726/?originalSubdomain=in</t>
  </si>
  <si>
    <t>ashokpandarsp@gmail.com</t>
  </si>
  <si>
    <t>C.S. Muralidharan</t>
  </si>
  <si>
    <t>https://www.linkedin.com/in/c-s-muralidharan-225408138/?originalSubdomain=in</t>
  </si>
  <si>
    <t>c.muralidharan@sunpharma.com</t>
  </si>
  <si>
    <t>V.C. Unnikrishnan</t>
  </si>
  <si>
    <t>https://www.linkedin.com/in/unnivc/?originalSubdomain=in</t>
  </si>
  <si>
    <t>unnivc@sunnetwork.in</t>
  </si>
  <si>
    <t>Nandakumar S. Tirumalai</t>
  </si>
  <si>
    <t>https://www.linkedin.com/in/nandakumartirumalai/</t>
  </si>
  <si>
    <t>nandu@tatachemicals.com</t>
  </si>
  <si>
    <t>Ashish Goenka</t>
  </si>
  <si>
    <t>https://www.linkedin.com/in/ashish-goenka-aa680a8/?originalSubdomain=in</t>
  </si>
  <si>
    <t>ashish.goenka@tataconsumer.com</t>
  </si>
  <si>
    <t>Samir Seksaria</t>
  </si>
  <si>
    <t>https://www.linkedin.com/in/samir-seksaria-3526244/?originalSubdomain=in</t>
  </si>
  <si>
    <t>samir.seksaria@tcs.com</t>
  </si>
  <si>
    <t>Gaurav Bajaj</t>
  </si>
  <si>
    <t>https://www.linkedin.com/in/gaurav-bajaj-1431085/?originalSubdomain=in</t>
  </si>
  <si>
    <t>gaurav.bajaj@tataelxsi.co.in</t>
  </si>
  <si>
    <t>P.B. Balaji</t>
  </si>
  <si>
    <t>Sanjeev Churiwala</t>
  </si>
  <si>
    <t>Koushik Chatterjee</t>
  </si>
  <si>
    <t>https://www.linkedin.com/in/koushik-chatterjee-2910b31</t>
  </si>
  <si>
    <t>koushik.chatterjee@tatasteel.com</t>
  </si>
  <si>
    <t>98212 23705</t>
  </si>
  <si>
    <t>Sudhir Menon</t>
  </si>
  <si>
    <t>https://www.linkedin.com/in/sudhir-menon-7a58a697/?originalSubdomain=in</t>
  </si>
  <si>
    <t>sudhirmenon@torrentpharma.com</t>
  </si>
  <si>
    <t>Atul Daga</t>
  </si>
  <si>
    <t>Whole-time Director &amp; CFO</t>
  </si>
  <si>
    <t>https://www.linkedin.com/in/atul-daga/?originalSubdomain=in</t>
  </si>
  <si>
    <t>atul.daga@adityabirla.com</t>
  </si>
  <si>
    <t>atuldaga23@gmail.com</t>
  </si>
  <si>
    <t>Ajay Goel</t>
  </si>
  <si>
    <t>https://www.linkedin.com/in/ajay-goel-767b2215/?originalSubdomain=in</t>
  </si>
  <si>
    <t>ajay.goel@vedanta.co.in</t>
  </si>
  <si>
    <t>VIP Industries Ltd.</t>
  </si>
  <si>
    <t>Manish Desai</t>
  </si>
  <si>
    <t>https://www.linkedin.com/in/manish-desai-2a554262/?originalSubdomain=in</t>
  </si>
  <si>
    <t>manish.desai@vipbags.com</t>
  </si>
  <si>
    <t>Aparna Iyer</t>
  </si>
  <si>
    <t>https://www.linkedin.com/m/in/aparna-iyer-7a6a135?originalSubdomain=in</t>
  </si>
  <si>
    <t>genieaps@gmail.com</t>
  </si>
  <si>
    <t>Mukund Galgali</t>
  </si>
  <si>
    <t>https://www.linkedin.com/in/mukundvgalgali/?originalSubdomain=in</t>
  </si>
  <si>
    <t>mukund.galgali@zee.com</t>
  </si>
  <si>
    <t>mvgalgali@gmail.com</t>
  </si>
  <si>
    <t>Hindustan Unilever Ltd (HUL)</t>
  </si>
  <si>
    <t>https://www.linkedin.com/in/niranjan-gupta-8b981619/?original_referer=https%3A%2F%2Fwww%2Egoogle%2Ecom%2F&amp;originalSubdomain=in</t>
  </si>
  <si>
    <t>Procter &amp; Gamble (P&amp;G) India</t>
  </si>
  <si>
    <t>Gaurav Bhartia</t>
  </si>
  <si>
    <t>Head of Sales and Finance</t>
  </si>
  <si>
    <t>https://www.linkedin.com/in/gaurav-bhartia-247a428/?originalSubdomain=in</t>
  </si>
  <si>
    <t>gauravbhartia@gmail.com</t>
  </si>
  <si>
    <t>Jindal Power</t>
  </si>
  <si>
    <t>Amit Dang</t>
  </si>
  <si>
    <t>https://www.linkedin.com/in/amit-dang-7472628/?originalSubdomain=in</t>
  </si>
  <si>
    <t>amit.dang@jindalpower.com</t>
  </si>
  <si>
    <t>https://www.linkedin.com/in/ankit-agarwal-a1904930/?originalSubdomain=in</t>
  </si>
  <si>
    <t>ankit.agarwal@navi.com</t>
  </si>
  <si>
    <t>PayU</t>
  </si>
  <si>
    <t>Arvind Agarwal</t>
  </si>
  <si>
    <t>https://www.linkedin.com/in/arvindgagarwal/?originalSubdomain=in</t>
  </si>
  <si>
    <t>arvind.agarwal@payu.in</t>
  </si>
  <si>
    <t>Titan Company</t>
  </si>
  <si>
    <t>Ashok Sonthalia</t>
  </si>
  <si>
    <t>https://www.linkedin.com/in/ashok-sonthalia/?originalSubdomain=in</t>
  </si>
  <si>
    <t>ashoksonthalia@gmail.com</t>
  </si>
  <si>
    <t>Shoppers Stop</t>
  </si>
  <si>
    <t>Karunakaran Mohanasundaram</t>
  </si>
  <si>
    <t>https://www.linkedin.com/in/karunakaran-mohanasundaram-5165586/?originalSubdomain=in</t>
  </si>
  <si>
    <t>karunakaranm@shoppersstop.co.in</t>
  </si>
  <si>
    <t>Trent</t>
  </si>
  <si>
    <t>Neeraj Basur</t>
  </si>
  <si>
    <t>https://www.linkedin.com/in/neerajbasur/?originalSubdomain=in</t>
  </si>
  <si>
    <t>neeraj.basur@trent-tata.com</t>
  </si>
  <si>
    <t>Blue Star Limited</t>
  </si>
  <si>
    <t>Nikhil Sohoni</t>
  </si>
  <si>
    <t>https://www.linkedin.com/in/nikhil-s-a4751114/</t>
  </si>
  <si>
    <t>Nishay Ag</t>
  </si>
  <si>
    <t>https://www.linkedin.com/in/nishchay-ag-904b325/?originalSubdomain=in</t>
  </si>
  <si>
    <t>nishchay@changejar.in</t>
  </si>
  <si>
    <t>Rohit Agrawal</t>
  </si>
  <si>
    <t>https://www.linkedin.com/in/rohit-agrawal-20720815/?originalSubdomain=in</t>
  </si>
  <si>
    <t>rohit.agrawal@mswipe.com</t>
  </si>
  <si>
    <t>https://www.linkedin.com/in/sujithnarayanan/?originalSubdomain=in</t>
  </si>
  <si>
    <t>Clear (formerly ClearTax)</t>
  </si>
  <si>
    <t>Sumit Kawariya</t>
  </si>
  <si>
    <t>Head of Business and Finance</t>
  </si>
  <si>
    <t>https://www.linkedin.com/in/sumit-kawariya/?originalSubdomain=in</t>
  </si>
  <si>
    <t>sumit.kawariya@clear.in</t>
  </si>
  <si>
    <t>JSW Steel</t>
  </si>
  <si>
    <t>Swayam Saurabh</t>
  </si>
  <si>
    <t>http://linkedin.com/in/swayam/?originalSubdomain=in</t>
  </si>
  <si>
    <t>swayam.saurabh@jsw.in</t>
  </si>
  <si>
    <t>swayamsaurabh@gmail.com</t>
  </si>
  <si>
    <t>Vivek Anand</t>
  </si>
  <si>
    <t>https://www.linkedin.com/in/vivek-anand-314a7833/?originalSubdomain=in</t>
  </si>
  <si>
    <t>vivek1693anand@gmail.com</t>
  </si>
  <si>
    <t>Kaushik Mitra</t>
  </si>
  <si>
    <t>https://www.linkedin.com/in/kmitra/?originalSubdomain=in</t>
  </si>
  <si>
    <t>kaushik.mitra@pepsico.com</t>
  </si>
  <si>
    <t>Kapil Hathi</t>
  </si>
  <si>
    <t>https://www.linkedin.com/in/kapil-hathi-3747006/?originalSubdomain=in</t>
  </si>
  <si>
    <t>hathik@amazon.com</t>
  </si>
  <si>
    <t>Britannia Industries</t>
  </si>
  <si>
    <t>Venkataraman</t>
  </si>
  <si>
    <t>https://www.linkedin.com/in/venkataraman-n-53ba985/?originalSubdomain=in</t>
  </si>
  <si>
    <t>natarajanvenkataraman@yahoo.com</t>
  </si>
  <si>
    <t>Pawan Garg</t>
  </si>
  <si>
    <t>https://www.linkedin.com/in/pawan-agrawal-7855a46/?originalSubdomain=in</t>
  </si>
  <si>
    <t>pawangarg@rediffmail.com</t>
  </si>
  <si>
    <t>Colgate Palmolitive</t>
  </si>
  <si>
    <t xml:space="preserve">Jacob </t>
  </si>
  <si>
    <t>http://linkedin.com/in/jacob-m-s-7b453184/?originalSubdomain=in</t>
  </si>
  <si>
    <t>jacobmkzy@gmail.com</t>
  </si>
  <si>
    <t>KPIT</t>
  </si>
  <si>
    <t>Priya Hardikar</t>
  </si>
  <si>
    <t>https://www.linkedin.com/in/priya-hardikar-1626ab7/?originalSubdomain=in</t>
  </si>
  <si>
    <t>priya.hardikar@yahoo.co.in</t>
  </si>
  <si>
    <t>Aditya Birla Capital</t>
  </si>
  <si>
    <t>Pinky Mehta</t>
  </si>
  <si>
    <t>https://www.linkedin.com/in/pinky-mehta/?originalSubdomain=in</t>
  </si>
  <si>
    <t>pinky.mehta@adityabirlacapital.com</t>
  </si>
  <si>
    <t>Power Finance Corporation</t>
  </si>
  <si>
    <t>Sandeep Kumar</t>
  </si>
  <si>
    <t>https://www.linkedin.com/in/sandeep-kumar-96b3201a/?originalSubdomain=in</t>
  </si>
  <si>
    <t>sandeepkgarg@hotmail.com</t>
  </si>
  <si>
    <t>Tenneco</t>
  </si>
  <si>
    <t>Mahender Chabbra</t>
  </si>
  <si>
    <t>https://www.linkedin.com/in/mahender-chhabra-a45b055/?originalSubdomain=in</t>
  </si>
  <si>
    <t>mahender.chhabra@tenneco.com</t>
  </si>
  <si>
    <t>mahenderchhabra99@gmail.com</t>
  </si>
  <si>
    <t>Havells India</t>
  </si>
  <si>
    <t>https://www.linkedin.com/in/rajesh-gupta-49027925/?originalSubdomain=in</t>
  </si>
  <si>
    <t>rajesh.gupta@havells.com</t>
  </si>
  <si>
    <t>Milind Kulkarni</t>
  </si>
  <si>
    <t>Ex-CFO</t>
  </si>
  <si>
    <t>https://www.linkedin.com/in/milind-kulkarni-1ba13426/?originalSubdomain=in</t>
  </si>
  <si>
    <t>Muthoot Group</t>
  </si>
  <si>
    <t>Alexander George Muthoot</t>
  </si>
  <si>
    <t>Joint MD</t>
  </si>
  <si>
    <t>https://www.linkedin.com/in/alexander-george-muthoot-91a0451b0/?originalSubdomain=in</t>
  </si>
  <si>
    <t>alexander@muthootgroup.com</t>
  </si>
  <si>
    <t>Jio Financial Services</t>
  </si>
  <si>
    <t>HItesh Sethia</t>
  </si>
  <si>
    <t>http://linkedin.com/in/hitesh03/?originalSubdomain=in</t>
  </si>
  <si>
    <t>sethiahitesh@gmail.com</t>
  </si>
  <si>
    <t>Kaushik Ghosh</t>
  </si>
  <si>
    <t>Berger Paints</t>
  </si>
  <si>
    <t>https://www.linkedin.com/in/kaushikghosh1972/?originalSubdomain=in</t>
  </si>
  <si>
    <t>kghosh1972@gmail.com</t>
  </si>
  <si>
    <t>UTI Asset Management</t>
  </si>
  <si>
    <t>Vinay Lakhotia</t>
  </si>
  <si>
    <t>https://www.linkedin.com/in/vinay-lakhotia/?originalSubdomain=in</t>
  </si>
  <si>
    <t>vinay.lakhotia@uti.co.in</t>
  </si>
  <si>
    <t>United Breweries</t>
  </si>
  <si>
    <t>Jorn Kernsten</t>
  </si>
  <si>
    <t>https://www.linkedin.com/in/jorn-kersten-a69739b/?originalSubdomain=in</t>
  </si>
  <si>
    <t>jorn.kersten@ubmail.com</t>
  </si>
  <si>
    <t>Mahindra Lifespace Developers</t>
  </si>
  <si>
    <t>Vimalendra Singh</t>
  </si>
  <si>
    <t>https://www.linkedin.com/in/vimalendrasingh/?originalSubdomain=in</t>
  </si>
  <si>
    <t>vimalendrasingh@yahoo.com</t>
  </si>
  <si>
    <t>Royal Enfield (Eicher Motors)</t>
  </si>
  <si>
    <t>Vidhya Srinivasan</t>
  </si>
  <si>
    <t>https://www.linkedin.com/in/vidhyasrinivasan1/?originalSubdomain=in</t>
  </si>
  <si>
    <t>vidhya2504@gmail.com</t>
  </si>
  <si>
    <t>Ajay Aggarwal</t>
  </si>
  <si>
    <t>https://www.linkedin.com/in/ajayaggarwalcyient/?original_referer=https%3A%2F%2Fwww%2Egoogle%2Ecom%2F&amp;originalSubdomain=in</t>
  </si>
  <si>
    <t>ajay.aggarwal@cyient.com</t>
  </si>
  <si>
    <t>Vinit Teredesai</t>
  </si>
  <si>
    <t>https://www.linkedin.com/in/vinit-teredesai-0682b12/?originalSubdomain=in</t>
  </si>
  <si>
    <t>v_teredesai@hotmail.com</t>
  </si>
  <si>
    <t>Vipul Chandra</t>
  </si>
  <si>
    <t>https://www.linkedin.com/in/vipul-chandra-0b7b904/?originalSubdomain=in</t>
  </si>
  <si>
    <t>vipul.chandra@ltimindtree.com</t>
  </si>
  <si>
    <t>Varun Beverages</t>
  </si>
  <si>
    <t>Pankaj Madan</t>
  </si>
  <si>
    <t>https://www.linkedin.com/in/pankaj-madan-a5a9451a/?originalSubdomain=in</t>
  </si>
  <si>
    <t>pankajmadan@hotmail.com</t>
  </si>
  <si>
    <t>Atul Dag</t>
  </si>
  <si>
    <t>Ajay Goe</t>
  </si>
  <si>
    <t>Manisha Desai</t>
  </si>
  <si>
    <t>Aparna Ier</t>
  </si>
  <si>
    <t>Mukud Galgali</t>
  </si>
  <si>
    <t>Niranjana Gupta</t>
  </si>
  <si>
    <t>Gaurav Bharti</t>
  </si>
  <si>
    <t xml:space="preserve">Amit </t>
  </si>
  <si>
    <t>Ankita Agarwal</t>
  </si>
  <si>
    <t>Siemens India</t>
  </si>
  <si>
    <t>Ram Swaminathan</t>
  </si>
  <si>
    <t>ABB India</t>
  </si>
  <si>
    <t>Pradeep Agarwal</t>
  </si>
  <si>
    <t>Bosch Ltd</t>
  </si>
  <si>
    <t>Amarjyoti Baruwa</t>
  </si>
  <si>
    <t>Cummins India</t>
  </si>
  <si>
    <t>Amie Hood</t>
  </si>
  <si>
    <t>Madhu P. Nain</t>
  </si>
  <si>
    <t>Polycab India</t>
  </si>
  <si>
    <t>Svetlana Boldi</t>
  </si>
  <si>
    <t>Balkrishna Industries (BKT)</t>
  </si>
  <si>
    <t>Jai kumar Srinivasan</t>
  </si>
  <si>
    <t>BSE Ltd (Bombay Stock Exchange)</t>
  </si>
  <si>
    <t>Anit Ashkenazi</t>
  </si>
  <si>
    <t>CDSL (Central Depository Services)</t>
  </si>
  <si>
    <t>Pawan Jain</t>
  </si>
  <si>
    <t>MCX (Multi Commodity Exchange)</t>
  </si>
  <si>
    <t>Shiv Waliaa</t>
  </si>
  <si>
    <t>CAMS (Computer Age Mgmt)</t>
  </si>
  <si>
    <t>Bharat Goenkaa</t>
  </si>
  <si>
    <t>KFin Technologies</t>
  </si>
  <si>
    <t>CRISIL (S&amp;P Global)</t>
  </si>
  <si>
    <t>ICRA (Moody’s)</t>
  </si>
  <si>
    <t>CARE Ratings</t>
  </si>
  <si>
    <t>Angel One</t>
  </si>
  <si>
    <t>Motilal Oswal Financial Services</t>
  </si>
  <si>
    <t>IIFL Finance</t>
  </si>
  <si>
    <t>Sundaram Finance</t>
  </si>
  <si>
    <t>Cholamandalam Investment</t>
  </si>
  <si>
    <t>AU Small Finance Bank</t>
  </si>
  <si>
    <t>Central Bank of India</t>
  </si>
  <si>
    <t>ICICI Lombard</t>
  </si>
  <si>
    <t>HDFC ERGO</t>
  </si>
  <si>
    <t>Bajaj Allianz General Insurance</t>
  </si>
  <si>
    <t>GIC Re (General Insurance Corp)</t>
  </si>
  <si>
    <t>Avenue Supermarts (DMart)</t>
  </si>
  <si>
    <t>Jubilant Foodworks</t>
  </si>
  <si>
    <t>Westlife Foodworld</t>
  </si>
  <si>
    <t>Devyani International</t>
  </si>
  <si>
    <t>Metro Brands</t>
  </si>
  <si>
    <t>Vedant Fashions (Manyavar)</t>
  </si>
  <si>
    <t>Aditya Birla Fashion (ABFRL)</t>
  </si>
  <si>
    <t>Dixon Technologies</t>
  </si>
  <si>
    <t>Amber Enterprises</t>
  </si>
  <si>
    <t>Honeywell Automation</t>
  </si>
  <si>
    <t>3M India</t>
  </si>
  <si>
    <t>Schaeffler India</t>
  </si>
  <si>
    <t>SKF India</t>
  </si>
  <si>
    <t>Timken India</t>
  </si>
  <si>
    <t>Voltas (Tata Group)</t>
  </si>
  <si>
    <t>Whirlpool of India</t>
  </si>
  <si>
    <t>Coromandel International</t>
  </si>
  <si>
    <t>UPL Ltd</t>
  </si>
  <si>
    <t>PI Industries</t>
  </si>
  <si>
    <t>Bayer CropScience</t>
  </si>
  <si>
    <t>Apollo Tyres</t>
  </si>
  <si>
    <t>CEAT Tyres</t>
  </si>
  <si>
    <t>Amara Raja Energy</t>
  </si>
  <si>
    <t>Sona BLW Precision (Sona Comstar)</t>
  </si>
  <si>
    <t>Endurance Technologies</t>
  </si>
  <si>
    <t>UNO Minda</t>
  </si>
  <si>
    <t>Phoenix Mills</t>
  </si>
  <si>
    <t>Brigade Enterprises</t>
  </si>
  <si>
    <t>Oberoi Realty</t>
  </si>
  <si>
    <t>GMR Airports Infrastructure</t>
  </si>
  <si>
    <t>IRB Infrastructure</t>
  </si>
  <si>
    <t>Container Corp of India (CONCOR)</t>
  </si>
  <si>
    <t>Blue Dart Express</t>
  </si>
  <si>
    <t>TCI Express</t>
  </si>
  <si>
    <t>PVR INOX</t>
  </si>
  <si>
    <t>MapmyIndia (CE Info Systems)</t>
  </si>
  <si>
    <t>Tejas Networks</t>
  </si>
  <si>
    <t>Tata Communications</t>
  </si>
  <si>
    <t>Fintech</t>
  </si>
  <si>
    <t>indifi</t>
  </si>
  <si>
    <t xml:space="preserve">Priyanka Seth Wadhera </t>
  </si>
  <si>
    <t>https://www.linkedin.com/in/priyanka-seth-wadhera-0a70582/?originalSubdomain=in</t>
  </si>
  <si>
    <t>priyanka.wadhera@arya.ag</t>
  </si>
  <si>
    <t>LENDINGKART</t>
  </si>
  <si>
    <t>Mukunda Barrsagade</t>
  </si>
  <si>
    <t>https://www.linkedin.com/in/mukunda-barrsagade-160a80b/</t>
  </si>
  <si>
    <t>mukunda.barrsagade@utkarsh.bank</t>
  </si>
  <si>
    <t>NEOGROWTH</t>
  </si>
  <si>
    <t>Deepak Goswami</t>
  </si>
  <si>
    <t>https://www.linkedin.com/in/deepak-goswami-12465214/?originalSubdomain=in</t>
  </si>
  <si>
    <t>deepak.goswami@neogrowth.in</t>
  </si>
  <si>
    <t>cadg1976@gmail.com</t>
  </si>
  <si>
    <t>FLEXILOANS</t>
  </si>
  <si>
    <t>Ritesh Jain</t>
  </si>
  <si>
    <t>https://www.linkedin.com/in/ritesh-jain-0b52425/?originalSubdomain=in</t>
  </si>
  <si>
    <t>ritesh@flexiloans.com</t>
  </si>
  <si>
    <t>arthan</t>
  </si>
  <si>
    <t>Kunal Mehta</t>
  </si>
  <si>
    <t>https://www.linkedin.com/in/kunalmehta85/?originalSubdomain=in</t>
  </si>
  <si>
    <t>kunal32@gmail.com</t>
  </si>
  <si>
    <t>CLIX</t>
  </si>
  <si>
    <t>Gagan Aggarwal</t>
  </si>
  <si>
    <t>https://www.linkedin.com/in/cagaganaggarwal/?originalSubdomain=in</t>
  </si>
  <si>
    <t>gagan.aggarwal@clix.capital</t>
  </si>
  <si>
    <t>cagaganaggarwal@gmail.com</t>
  </si>
  <si>
    <t>FINOVA CAPITAL</t>
  </si>
  <si>
    <t>Ravi Sharma</t>
  </si>
  <si>
    <t>https://www.linkedin.com/in/caravisharma/?originalSubdomain=in</t>
  </si>
  <si>
    <t>ravi@finova.in</t>
  </si>
  <si>
    <t>CREDABLE</t>
  </si>
  <si>
    <t>https://www.linkedin.com/in/ketan-mehta-5a462b16b/</t>
  </si>
  <si>
    <t>ketan.mehta@credable.in</t>
  </si>
  <si>
    <t>Banks</t>
  </si>
  <si>
    <t>Srinivasan Vaidyanathan</t>
  </si>
  <si>
    <t>https://www.linkedin.com/in/srinivasan-vaidyanathan-1027735/</t>
  </si>
  <si>
    <t>srini.vasan@hdfcbank.com</t>
  </si>
  <si>
    <t>Devang Gheewalla</t>
  </si>
  <si>
    <t>https://www.linkedin.com/in/devang-gheewalla-a9184a323/</t>
  </si>
  <si>
    <t>devang.gheewalla@kotak.com</t>
  </si>
  <si>
    <t>Dilip Kumar Jain</t>
  </si>
  <si>
    <t>https://www.linkedin.com/in/dilip-kumar-jain-3ba2bb1a5/</t>
  </si>
  <si>
    <t>jaindk@pnb.co.in</t>
  </si>
  <si>
    <t>Debadatta Chand</t>
  </si>
  <si>
    <t>https://www.linkedin.com/in/dr-debadatta-chand-0208b711a/?original_referer=https%3A%2F%2Fwww.google.com%2F</t>
  </si>
  <si>
    <t>ed.dc@bankofbaroda.com</t>
  </si>
  <si>
    <t>Gobind Jain</t>
  </si>
  <si>
    <t>https://www.linkedin.com/in/gobindjain/</t>
  </si>
  <si>
    <t>gobind.jain@indusind.com</t>
  </si>
  <si>
    <t>Avinash Prabhu</t>
  </si>
  <si>
    <t>https://www.linkedin.com/in/avinash-prabhu-89838b49/</t>
  </si>
  <si>
    <t>avinash.prabhu@db.com</t>
  </si>
  <si>
    <t>Bajaj Finance</t>
  </si>
  <si>
    <t>Sandeep Jain</t>
  </si>
  <si>
    <t>https://www.linkedin.com/in/sandeep-jain-80141317/</t>
  </si>
  <si>
    <t>casvjain@gmail.com</t>
  </si>
  <si>
    <t>IDFC FIRST Bank</t>
  </si>
  <si>
    <t>Sudhanshu Jain</t>
  </si>
  <si>
    <t>https://www.linkedin.com/in/sudhanshu-jain-bba59634/?originalSubdomain=in</t>
  </si>
  <si>
    <t>sudhanshujain79@gmail.com</t>
  </si>
  <si>
    <t>Niranjan Barodkar</t>
  </si>
  <si>
    <t>https://www.linkedin.com/in/niranjan-banodkar-a8b0666/?originalSubdomain=in</t>
  </si>
  <si>
    <t>niranjan.banodkar@yesbank.in</t>
  </si>
  <si>
    <t>Manian KVS</t>
  </si>
  <si>
    <t>http://linkedin.com/in/manian-kvs-6798b5/</t>
  </si>
  <si>
    <t>kvs.manian@federalbank.co.in</t>
  </si>
  <si>
    <t>Manappuram Finance</t>
  </si>
  <si>
    <t>Nandakumar</t>
  </si>
  <si>
    <t>https://www.linkedin.com/in/v-p-nandakumar/?originalSubdomain=in</t>
  </si>
  <si>
    <t>chairman@manappuram.com</t>
  </si>
  <si>
    <t>Shriram Finance</t>
  </si>
  <si>
    <t>Piramal Enterprises</t>
  </si>
  <si>
    <t>LIC</t>
  </si>
  <si>
    <t>Sagramjit Sarangi</t>
  </si>
  <si>
    <t>President and CFO</t>
  </si>
  <si>
    <t>https://www.linkedin.com/in/sangramjit-sarangi-0b762462/?originalSubdomain=in</t>
  </si>
  <si>
    <t>sangramjit.sarangi@sbilife.co.in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</si>
</sst>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"/>
  </numFmts>
  <fonts count="204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sz val="11.0"/>
      <color rgb="FF000000"/>
      <name val="&quot;ABC Diatype&quot;"/>
    </font>
    <font>
      <sz val="10.0"/>
      <color rgb="FF000000"/>
      <name val="&quot;ABC Diatype&quot;"/>
    </font>
    <font>
      <u/>
      <sz val="12.0"/>
      <color rgb="FF0000FF"/>
    </font>
    <font>
      <u/>
      <color rgb="FF0000FF"/>
    </font>
    <font>
      <u/>
      <color rgb="FF0000FF"/>
    </font>
    <font>
      <u/>
      <sz val="12.0"/>
      <color rgb="FF0000FF"/>
    </font>
    <font>
      <u/>
      <sz val="10.0"/>
      <color rgb="FF1155CC"/>
      <name val="Arial"/>
    </font>
    <font>
      <sz val="11.0"/>
      <color rgb="FF000000"/>
    </font>
    <font>
      <sz val="10.0"/>
      <color rgb="FF000000"/>
      <name val="-apple-system"/>
    </font>
    <font>
      <sz val="11.0"/>
      <color rgb="FF000000"/>
      <name val="Arial"/>
    </font>
    <font>
      <u/>
      <sz val="12.0"/>
      <color rgb="FF1155CC"/>
    </font>
    <font>
      <u/>
      <color rgb="FF0000FF"/>
    </font>
    <font>
      <sz val="11.0"/>
      <color rgb="FF000000"/>
      <name val="-apple-system"/>
    </font>
    <font>
      <sz val="10.0"/>
      <color rgb="FF000000"/>
      <name val="&quot;Fira Sans&quot;"/>
    </font>
    <font>
      <u/>
      <sz val="12.0"/>
      <color rgb="FF1155CC"/>
      <name val="Arial"/>
      <scheme val="minor"/>
    </font>
    <font>
      <u/>
      <sz val="10.0"/>
      <color rgb="FF1155CC"/>
      <name val="Arial"/>
    </font>
    <font>
      <sz val="10.0"/>
      <color rgb="FF000000"/>
      <name val="Arial"/>
    </font>
    <font>
      <sz val="11.0"/>
      <color rgb="FF000000"/>
      <name val="Muli"/>
    </font>
    <font>
      <sz val="11.0"/>
      <color rgb="FF5E5E5E"/>
      <name val="&quot;Google Sans&quot;"/>
    </font>
    <font>
      <sz val="12.0"/>
      <color rgb="FF1A1A1A"/>
      <name val="Arial"/>
      <scheme val="minor"/>
    </font>
    <font>
      <u/>
      <color rgb="FF0000FF"/>
    </font>
    <font>
      <sz val="12.0"/>
      <color rgb="FF424C60"/>
      <name val="Arial"/>
    </font>
    <font>
      <sz val="12.0"/>
      <color rgb="FF424C60"/>
      <name val="-apple-system"/>
    </font>
    <font>
      <sz val="11.0"/>
      <color rgb="FF000000"/>
      <name val="Arial"/>
      <scheme val="minor"/>
    </font>
    <font>
      <sz val="10.0"/>
      <color rgb="FF000000"/>
    </font>
    <font>
      <sz val="10.0"/>
      <color rgb="FF000000"/>
      <name val="Muli"/>
    </font>
    <font>
      <u/>
      <sz val="12.0"/>
      <color theme="1"/>
      <name val="Arial"/>
      <scheme val="minor"/>
    </font>
    <font>
      <sz val="12.0"/>
      <color rgb="FF313131"/>
      <name val="-apple-system"/>
    </font>
    <font>
      <sz val="12.0"/>
      <color rgb="FF000000"/>
      <name val="-apple-system"/>
    </font>
    <font>
      <sz val="12.0"/>
      <color rgb="FF414C58"/>
      <name val="Muli"/>
    </font>
    <font>
      <sz val="12.0"/>
      <color rgb="FF000000"/>
      <name val="Arial"/>
    </font>
    <font>
      <u/>
      <color rgb="FF0000FF"/>
    </font>
    <font>
      <sz val="12.0"/>
      <color rgb="FF272835"/>
      <name val="&quot;Inter var&quot;"/>
    </font>
    <font>
      <sz val="11.0"/>
      <color rgb="FF666D80"/>
      <name val="&quot;Inter var&quot;"/>
    </font>
    <font>
      <sz val="11.0"/>
      <color theme="1"/>
      <name val="Muli"/>
    </font>
    <font>
      <color theme="1"/>
      <name val="Muli"/>
    </font>
    <font>
      <u/>
      <color rgb="FF1155CC"/>
      <name val="Arial"/>
    </font>
    <font>
      <u/>
      <color rgb="FF1155CC"/>
      <name val="Arial"/>
    </font>
    <font>
      <sz val="11.0"/>
      <color rgb="FF1F1F1F"/>
      <name val="Roboto"/>
    </font>
    <font>
      <sz val="12.0"/>
      <color rgb="FF001D35"/>
      <name val="Google Sans"/>
    </font>
    <font>
      <sz val="12.0"/>
      <color rgb="FF000000"/>
      <name val="Arial"/>
      <scheme val="minor"/>
    </font>
    <font>
      <u/>
      <sz val="11.0"/>
      <color rgb="FF1155CC"/>
      <name val="Arial"/>
    </font>
    <font>
      <color theme="1"/>
      <name val="Google Sans"/>
    </font>
    <font>
      <u/>
      <color rgb="FF1155CC"/>
      <name val="Arial"/>
    </font>
    <font>
      <u/>
      <sz val="11.0"/>
      <color rgb="FF0000FF"/>
      <name val="Arial"/>
    </font>
    <font>
      <sz val="12.0"/>
      <color rgb="FF0A0A0A"/>
      <name val="Google Sans"/>
    </font>
    <font>
      <color rgb="FF222222"/>
      <name val="Arial"/>
    </font>
    <font>
      <sz val="11.0"/>
      <color theme="1"/>
      <name val="-apple-system"/>
    </font>
    <font>
      <b/>
      <color theme="1"/>
      <name val="Arial"/>
    </font>
    <font>
      <u/>
      <sz val="12.0"/>
      <color rgb="FF1155CC"/>
    </font>
    <font>
      <u/>
      <sz val="12.0"/>
      <color rgb="FF1155CC"/>
      <name val="Arial"/>
      <scheme val="minor"/>
    </font>
    <font>
      <u/>
      <color rgb="FF0000FF"/>
    </font>
    <font>
      <u/>
      <sz val="12.0"/>
      <color rgb="FF1155CC"/>
      <name val="Arial"/>
      <scheme val="minor"/>
    </font>
    <font>
      <color rgb="FF000000"/>
      <name val="Arial"/>
    </font>
    <font>
      <u/>
      <color rgb="FF0000FF"/>
    </font>
    <font>
      <u/>
      <color rgb="FF0000FF"/>
    </font>
    <font>
      <b/>
      <color rgb="FF1F1F1F"/>
      <name val="&quot;Google Sans Text&quot;"/>
    </font>
    <font>
      <color rgb="FF1F1F1F"/>
      <name val="&quot;Google Sans Text&quot;"/>
    </font>
    <font>
      <u/>
      <sz val="12.0"/>
      <color rgb="FF1155CC"/>
    </font>
    <font>
      <u/>
      <color rgb="FF0000FF"/>
    </font>
    <font>
      <u/>
      <sz val="12.0"/>
      <color rgb="FF1155CC"/>
      <name val="Arial"/>
      <scheme val="minor"/>
    </font>
    <font>
      <sz val="12.0"/>
      <color rgb="FF000000"/>
      <name val="Inter"/>
    </font>
    <font>
      <u/>
      <sz val="12.0"/>
      <color rgb="FF000000"/>
      <name val="-apple-system"/>
    </font>
    <font>
      <u/>
      <sz val="12.0"/>
      <color rgb="FF0000FF"/>
    </font>
    <font>
      <u/>
      <sz val="10.0"/>
      <color rgb="FF1155CC"/>
      <name val="Arial"/>
    </font>
    <font>
      <sz val="12.0"/>
      <color rgb="FF888F97"/>
      <name val="Muli"/>
    </font>
    <font>
      <sz val="12.0"/>
      <color rgb="FF888F97"/>
      <name val="Arial"/>
    </font>
    <font>
      <u/>
      <sz val="12.0"/>
      <color rgb="FF1155CC"/>
      <name val="Arial"/>
    </font>
    <font>
      <sz val="10.0"/>
      <color theme="1"/>
      <name val="Arial"/>
      <scheme val="minor"/>
    </font>
    <font>
      <u/>
      <sz val="10.0"/>
      <color rgb="FF0000FF"/>
    </font>
    <font>
      <sz val="12.0"/>
      <color rgb="FF414C58"/>
      <name val="Arial"/>
    </font>
    <font>
      <sz val="12.0"/>
      <color theme="1"/>
      <name val="Inter"/>
    </font>
    <font>
      <u/>
      <sz val="12.0"/>
      <color rgb="FF3C78D8"/>
      <name val="&quot;ABC Diatype&quot;"/>
    </font>
    <font>
      <sz val="12.0"/>
      <color rgb="FF001D35"/>
      <name val="Arial"/>
    </font>
    <font>
      <u/>
      <color rgb="FF0000FF"/>
    </font>
    <font>
      <b/>
      <sz val="12.0"/>
      <color theme="1"/>
      <name val="Arial"/>
    </font>
    <font>
      <b/>
      <u/>
      <sz val="12.0"/>
      <color rgb="FF0000FF"/>
      <name val="Arial"/>
    </font>
    <font>
      <u/>
      <sz val="12.0"/>
      <color theme="1"/>
      <name val="Arial"/>
    </font>
    <font>
      <b/>
      <color theme="1"/>
      <name val="Arial"/>
      <scheme val="minor"/>
    </font>
    <font>
      <u/>
      <sz val="12.0"/>
      <color rgb="FF0000FF"/>
      <name val="Arial"/>
    </font>
    <font>
      <u/>
      <sz val="12.0"/>
      <color rgb="FF1155CC"/>
      <name val="Arial"/>
    </font>
    <font>
      <sz val="12.0"/>
      <color rgb="FF000000"/>
    </font>
    <font>
      <sz val="12.0"/>
      <color rgb="FF000000"/>
      <name val="Muli"/>
    </font>
    <font>
      <sz val="12.0"/>
      <color theme="1"/>
      <name val="FkGroteskNeue"/>
    </font>
    <font>
      <u/>
      <color rgb="FF1155CC"/>
      <name val="Arial"/>
    </font>
    <font>
      <u/>
      <color rgb="FF1155CC"/>
      <name val="Arial"/>
    </font>
    <font>
      <sz val="11.0"/>
      <color theme="1"/>
      <name val="Inter"/>
    </font>
    <font>
      <u/>
      <sz val="12.0"/>
      <color rgb="FF0000FF"/>
      <name val="Arial"/>
    </font>
    <font>
      <u/>
      <sz val="12.0"/>
      <color theme="1"/>
      <name val="Arial"/>
    </font>
    <font>
      <u/>
      <color rgb="FF444746"/>
      <name val="&quot;Google Sans Text&quot;"/>
    </font>
    <font>
      <color rgb="FF444746"/>
      <name val="&quot;Google Sans Text&quot;"/>
    </font>
    <font>
      <u/>
      <color rgb="FF444746"/>
      <name val="&quot;Google Sans Text&quot;"/>
    </font>
    <font>
      <u/>
      <sz val="12.0"/>
      <color rgb="FF4A86E8"/>
      <name val="Arial"/>
    </font>
    <font>
      <u/>
      <sz val="12.0"/>
      <color rgb="FF1155CC"/>
      <name val="FkGroteskNeue"/>
    </font>
    <font>
      <sz val="12.0"/>
      <color theme="1"/>
      <name val="Calibri"/>
    </font>
    <font>
      <sz val="14.0"/>
      <color rgb="FFE6E8F0"/>
      <name val="Arial"/>
    </font>
    <font>
      <sz val="12.0"/>
      <color rgb="FFE6E8F0"/>
      <name val="&quot;Google Sans&quot;"/>
    </font>
    <font>
      <u/>
      <sz val="12.0"/>
      <color rgb="FF0000FF"/>
      <name val="FkGroteskNeue"/>
    </font>
    <font>
      <u/>
      <color rgb="FF0000FF"/>
    </font>
    <font>
      <u/>
      <sz val="12.0"/>
      <color rgb="FF1155CC"/>
      <name val="Inter"/>
    </font>
    <font>
      <sz val="12.0"/>
      <color rgb="FF272835"/>
      <name val="Arial"/>
    </font>
    <font>
      <u/>
      <color rgb="FF0000FF"/>
      <name val="&quot;Google Sans Text&quot;"/>
    </font>
    <font>
      <u/>
      <color rgb="FF1F1F1F"/>
      <name val="&quot;Google Sans Text&quot;"/>
    </font>
    <font>
      <b/>
      <color rgb="FF1F1F1F"/>
      <name val="Google Sans Text"/>
    </font>
    <font>
      <sz val="12.0"/>
      <color rgb="FF18181B"/>
      <name val="Inter"/>
    </font>
    <font>
      <u/>
      <sz val="12.0"/>
      <color rgb="FF0A66C2"/>
      <name val="-apple-system"/>
    </font>
    <font>
      <u/>
      <sz val="12.0"/>
      <color rgb="FF000000"/>
      <name val="-apple-system"/>
    </font>
    <font>
      <sz val="12.0"/>
      <color rgb="FF000000"/>
      <name val="System-ui"/>
    </font>
    <font>
      <b/>
      <sz val="18.0"/>
      <color rgb="FF000000"/>
      <name val="System-ui"/>
    </font>
    <font>
      <u/>
      <color rgb="FF0000FF"/>
    </font>
    <font>
      <b/>
      <sz val="12.0"/>
      <color rgb="FF18181B"/>
      <name val="Inter"/>
    </font>
    <font>
      <u/>
      <color rgb="FF1155CC"/>
      <name val="Arial"/>
    </font>
    <font>
      <u/>
      <color rgb="FF0000FF"/>
    </font>
    <font>
      <sz val="11.0"/>
      <color rgb="FF888F97"/>
      <name val="Muli"/>
    </font>
    <font>
      <u/>
      <sz val="11.0"/>
      <color rgb="FF3C78D8"/>
      <name val="&quot;ABC Diatype&quot;"/>
    </font>
    <font>
      <sz val="11.0"/>
      <color rgb="FF3C78D8"/>
      <name val="&quot;ABC Diatype&quot;"/>
    </font>
    <font>
      <u/>
      <sz val="11.0"/>
      <color rgb="FF3C78D8"/>
      <name val="&quot;ABC Diatype&quot;"/>
    </font>
    <font>
      <sz val="10.0"/>
      <color rgb="FF000000"/>
      <name val="&quot;Inter var&quot;"/>
    </font>
    <font>
      <sz val="11.0"/>
      <color rgb="FF000000"/>
      <name val="&quot;Inter var&quot;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  <font>
      <sz val="11.0"/>
      <color rgb="FF000000"/>
      <name val="Inter"/>
    </font>
    <font>
      <u/>
      <color rgb="FF0000FF"/>
    </font>
    <font>
      <sz val="15.0"/>
      <color rgb="FF414C58"/>
      <name val="Muli"/>
    </font>
    <font>
      <u/>
      <color theme="1"/>
      <name val="Arial"/>
      <scheme val="minor"/>
    </font>
    <font>
      <sz val="10.0"/>
      <color rgb="FF000000"/>
      <name val="&quot;Google Sans&quot;"/>
    </font>
    <font>
      <color rgb="FF222222"/>
      <name val="-apple-system"/>
    </font>
    <font>
      <color rgb="FF000000"/>
      <name val="Arial"/>
      <scheme val="minor"/>
    </font>
    <font>
      <u/>
      <color rgb="FF000000"/>
      <name val="-apple-system"/>
    </font>
    <font>
      <sz val="11.0"/>
      <color rgb="FF000000"/>
      <name val="&quot;Google Sans&quot;"/>
    </font>
    <font>
      <sz val="9.0"/>
      <color rgb="FF000000"/>
      <name val="Google Sans Mono"/>
    </font>
    <font>
      <color theme="1"/>
      <name val="FkGroteskNeue"/>
    </font>
    <font>
      <u/>
      <sz val="10.0"/>
      <color rgb="FF000000"/>
    </font>
    <font>
      <u/>
      <color rgb="FF0000FF"/>
      <name val="FkGroteskNeue"/>
    </font>
    <font>
      <u/>
      <color rgb="FF0000FF"/>
      <name val="-apple-system"/>
    </font>
    <font>
      <sz val="12.0"/>
      <color theme="1"/>
      <name val="-apple-system"/>
    </font>
    <font>
      <sz val="10.0"/>
      <color theme="1"/>
      <name val="-apple-system"/>
    </font>
    <font>
      <u/>
      <color rgb="FF0000FF"/>
      <name val="Arial"/>
    </font>
    <font>
      <color theme="1"/>
      <name val="Unset"/>
    </font>
    <font>
      <u/>
      <color rgb="FF0000FF"/>
    </font>
    <font>
      <sz val="12.0"/>
      <color rgb="FF0A0A0A"/>
      <name val="&quot;Google Sans&quot;"/>
    </font>
    <font>
      <b/>
      <sz val="12.0"/>
      <color rgb="FF0A0A0A"/>
      <name val="&quot;Google Sans&quot;"/>
    </font>
    <font>
      <b/>
      <u/>
      <sz val="12.0"/>
      <color rgb="FF0A0A0A"/>
      <name val="&quot;Google Sans&quot;"/>
    </font>
    <font>
      <sz val="11.0"/>
      <color rgb="FF666D80"/>
      <name val="Arial"/>
      <scheme val="minor"/>
    </font>
    <font>
      <sz val="9.0"/>
      <color rgb="FF3F3F46"/>
      <name val="Inter"/>
    </font>
    <font>
      <sz val="12.0"/>
      <color rgb="FF001D35"/>
      <name val="&quot;Google Sans&quot;"/>
    </font>
    <font>
      <u/>
      <sz val="12.0"/>
      <color rgb="FF0000FF"/>
      <name val="Arial"/>
    </font>
    <font>
      <u/>
      <sz val="12.0"/>
      <color rgb="FF000000"/>
      <name val="-apple-system"/>
    </font>
    <font>
      <color rgb="FF18181B"/>
      <name val="Inter"/>
    </font>
    <font>
      <u/>
      <color rgb="FF0000FF"/>
    </font>
    <font>
      <sz val="11.0"/>
      <color rgb="FF888F97"/>
      <name val="Arial"/>
    </font>
    <font>
      <b/>
      <sz val="12.0"/>
      <color rgb="FF001D35"/>
      <name val="&quot;Google Sans&quot;"/>
    </font>
    <font>
      <u/>
      <sz val="11.0"/>
      <color rgb="FF888F97"/>
      <name val="Muli"/>
    </font>
    <font>
      <sz val="15.0"/>
      <color rgb="FF414C58"/>
      <name val="Arial"/>
    </font>
    <font>
      <u/>
      <color rgb="FF0000FF"/>
    </font>
    <font>
      <b/>
      <u/>
      <sz val="12.0"/>
      <color rgb="FF0A0A0A"/>
      <name val="&quot;Google Sans&quot;"/>
    </font>
    <font>
      <u/>
      <sz val="11.0"/>
      <color rgb="FF0000FF"/>
    </font>
    <font>
      <u/>
      <color rgb="FF0000FF"/>
    </font>
    <font>
      <u/>
      <color rgb="FF0000FF"/>
    </font>
    <font>
      <u/>
      <sz val="12.0"/>
      <color rgb="FF0000FF"/>
    </font>
    <font>
      <sz val="11.0"/>
      <color theme="1"/>
      <name val="Calibri"/>
    </font>
    <font>
      <u/>
      <color rgb="FF0000FF"/>
    </font>
    <font>
      <b/>
      <u/>
      <sz val="12.0"/>
      <color rgb="FF001D35"/>
      <name val="&quot;Google Sans&quot;"/>
    </font>
    <font>
      <u/>
      <sz val="12.0"/>
      <color rgb="FF0A0A0A"/>
      <name val="&quot;Google Sans&quot;"/>
    </font>
    <font>
      <sz val="11.0"/>
      <color rgb="FF2B2926"/>
      <name val="&quot;ABC Diatype&quot;"/>
    </font>
    <font>
      <u/>
      <sz val="13.0"/>
      <color rgb="FF0000FF"/>
    </font>
    <font>
      <color rgb="FF000000"/>
      <name val="&quot;Google Sans Text&quot;"/>
    </font>
    <font>
      <u/>
      <sz val="12.0"/>
      <color rgb="FF0A0A0A"/>
      <name val="&quot;Google Sans&quot;"/>
    </font>
    <font>
      <b/>
      <u/>
      <sz val="12.0"/>
      <color rgb="FF0A0A0A"/>
      <name val="&quot;Google Sans&quot;"/>
    </font>
    <font>
      <u/>
      <color rgb="FF1155CC"/>
      <name val="Arial"/>
    </font>
    <font>
      <b/>
      <sz val="11.0"/>
      <color theme="1"/>
      <name val="Arial"/>
    </font>
    <font>
      <u/>
      <sz val="12.0"/>
      <color rgb="FF0000FF"/>
      <name val="Inter"/>
    </font>
    <font>
      <u/>
      <color rgb="FF0000FF"/>
      <name val="Arial"/>
    </font>
    <font>
      <sz val="14.0"/>
      <color theme="1"/>
      <name val="Arial"/>
      <scheme val="minor"/>
    </font>
    <font>
      <sz val="18.0"/>
      <color rgb="FF000000"/>
      <name val="System-ui"/>
    </font>
    <font>
      <sz val="11.0"/>
      <color rgb="FF000000"/>
      <name val="System-ui"/>
    </font>
    <font>
      <u/>
      <sz val="12.0"/>
      <color rgb="FF000000"/>
      <name val="-apple-system"/>
    </font>
    <font>
      <u/>
      <sz val="11.0"/>
      <color rgb="FF000000"/>
      <name val="-apple-system"/>
    </font>
    <font>
      <u/>
      <sz val="12.0"/>
      <color rgb="FF000000"/>
      <name val="Arial"/>
    </font>
    <font>
      <b/>
      <u/>
      <color rgb="FF0000FF"/>
      <name val="Arial"/>
    </font>
    <font>
      <u/>
      <color rgb="FF1F1F1F"/>
      <name val="&quot;Google Sans Text&quot;"/>
    </font>
    <font>
      <u/>
      <sz val="12.0"/>
      <color rgb="FF000000"/>
      <name val="-apple-system"/>
    </font>
    <font>
      <u/>
      <sz val="12.0"/>
      <color rgb="FF000000"/>
      <name val="Inter"/>
    </font>
    <font>
      <u/>
      <sz val="14.0"/>
      <color rgb="FF0000FF"/>
    </font>
    <font>
      <u/>
      <sz val="14.0"/>
      <color rgb="FF1155CC"/>
      <name val="Arial"/>
    </font>
    <font>
      <sz val="14.0"/>
      <color theme="1"/>
      <name val="Arial"/>
    </font>
    <font>
      <b/>
      <color rgb="FF000000"/>
      <name val="Arial"/>
    </font>
    <font>
      <b/>
      <u/>
      <color rgb="FF1155CC"/>
      <name val="Arial"/>
    </font>
    <font>
      <u/>
      <sz val="14.0"/>
      <color rgb="FF1155CC"/>
      <name val="Arial"/>
    </font>
    <font>
      <u/>
      <color rgb="FF0000FF"/>
      <name val="Arial"/>
    </font>
    <font>
      <u/>
      <color rgb="FF0000FF"/>
    </font>
    <font>
      <u/>
      <sz val="12.0"/>
      <color rgb="FF0000FF"/>
      <name val="Inter"/>
    </font>
    <font>
      <sz val="10.0"/>
      <color rgb="FF000000"/>
      <name val="Inter"/>
    </font>
    <font>
      <sz val="11.0"/>
      <color rgb="FF3F3C39"/>
      <name val="&quot;ABC Diatype&quot;"/>
    </font>
    <font>
      <sz val="11.0"/>
      <color rgb="FF3F3C3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AFCFF"/>
        <bgColor rgb="FFFAFCFF"/>
      </patternFill>
    </fill>
    <fill>
      <patternFill patternType="solid">
        <fgColor rgb="FF1F1F1F"/>
        <bgColor rgb="FF1F1F1F"/>
      </patternFill>
    </fill>
    <fill>
      <patternFill patternType="solid">
        <fgColor rgb="FF3C78D8"/>
        <bgColor rgb="FF3C78D8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F8F7F7"/>
        <bgColor rgb="FFF8F7F7"/>
      </patternFill>
    </fill>
  </fills>
  <borders count="1">
    <border/>
  </borders>
  <cellStyleXfs count="1">
    <xf borderId="0" fillId="0" fontId="0" numFmtId="0" applyAlignment="1" applyFont="1"/>
  </cellStyleXfs>
  <cellXfs count="5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3" fontId="2" numFmtId="0" xfId="0" applyAlignment="1" applyFill="1" applyFont="1">
      <alignment readingOrder="0" vertical="bottom"/>
    </xf>
    <xf borderId="0" fillId="3" fontId="3" numFmtId="0" xfId="0" applyAlignment="1" applyFont="1">
      <alignment readingOrder="0"/>
    </xf>
    <xf borderId="0" fillId="3" fontId="4" numFmtId="0" xfId="0" applyAlignment="1" applyFont="1">
      <alignment vertical="bottom"/>
    </xf>
    <xf borderId="0" fillId="2" fontId="5" numFmtId="0" xfId="0" applyAlignment="1" applyFont="1">
      <alignment horizontal="left" readingOrder="0"/>
    </xf>
    <xf borderId="0" fillId="3" fontId="2" numFmtId="0" xfId="0" applyAlignment="1" applyFont="1">
      <alignment vertical="bottom"/>
    </xf>
    <xf borderId="0" fillId="2" fontId="1" numFmtId="0" xfId="0" applyAlignment="1" applyFont="1">
      <alignment horizontal="left"/>
    </xf>
    <xf borderId="0" fillId="4" fontId="6" numFmtId="0" xfId="0" applyAlignment="1" applyFill="1" applyFont="1">
      <alignment horizontal="left" vertical="bottom"/>
    </xf>
    <xf borderId="0" fillId="3" fontId="2" numFmtId="0" xfId="0" applyAlignment="1" applyFont="1">
      <alignment horizontal="left" vertical="bottom"/>
    </xf>
    <xf borderId="0" fillId="5" fontId="6" numFmtId="0" xfId="0" applyAlignment="1" applyFill="1" applyFont="1">
      <alignment horizontal="left" vertical="bottom"/>
    </xf>
    <xf borderId="0" fillId="5" fontId="6" numFmtId="0" xfId="0" applyAlignment="1" applyFont="1">
      <alignment horizontal="left" shrinkToFit="0" vertical="bottom" wrapText="1"/>
    </xf>
    <xf borderId="0" fillId="3" fontId="2" numFmtId="164" xfId="0" applyAlignment="1" applyFont="1" applyNumberFormat="1">
      <alignment readingOrder="0" vertical="bottom"/>
    </xf>
    <xf borderId="0" fillId="2" fontId="1" numFmtId="0" xfId="0" applyAlignment="1" applyFont="1">
      <alignment horizontal="left" vertical="bottom"/>
    </xf>
    <xf borderId="0" fillId="5" fontId="3" numFmtId="0" xfId="0" applyAlignment="1" applyFont="1">
      <alignment horizontal="left"/>
    </xf>
    <xf borderId="0" fillId="2" fontId="1" numFmtId="0" xfId="0" applyAlignment="1" applyFont="1">
      <alignment horizontal="left" readingOrder="0" vertical="bottom"/>
    </xf>
    <xf borderId="0" fillId="2" fontId="3" numFmtId="0" xfId="0" applyAlignment="1" applyFont="1">
      <alignment readingOrder="0"/>
    </xf>
    <xf borderId="0" fillId="0" fontId="3" numFmtId="0" xfId="0" applyFont="1"/>
    <xf borderId="0" fillId="2" fontId="7" numFmtId="0" xfId="0" applyAlignment="1" applyFont="1">
      <alignment horizontal="left" readingOrder="0" shrinkToFit="0" wrapText="0"/>
    </xf>
    <xf borderId="0" fillId="2" fontId="8" numFmtId="0" xfId="0" applyAlignment="1" applyFont="1">
      <alignment horizontal="left" readingOrder="0" shrinkToFit="0" wrapText="0"/>
    </xf>
    <xf borderId="0" fillId="2" fontId="9" numFmtId="0" xfId="0" applyAlignment="1" applyFont="1">
      <alignment horizontal="left" readingOrder="0" vertical="bottom"/>
    </xf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horizontal="left" readingOrder="0" shrinkToFit="0" wrapText="1"/>
    </xf>
    <xf borderId="0" fillId="3" fontId="3" numFmtId="0" xfId="0" applyAlignment="1" applyFont="1">
      <alignment horizontal="left"/>
    </xf>
    <xf borderId="0" fillId="2" fontId="10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2" fontId="3" numFmtId="0" xfId="0" applyFont="1"/>
    <xf borderId="0" fillId="0" fontId="11" numFmtId="0" xfId="0" applyFont="1"/>
    <xf borderId="0" fillId="2" fontId="6" numFmtId="0" xfId="0" applyAlignment="1" applyFont="1">
      <alignment horizontal="left" vertical="bottom"/>
    </xf>
    <xf borderId="0" fillId="2" fontId="3" numFmtId="0" xfId="0" applyAlignment="1" applyFont="1">
      <alignment readingOrder="0" shrinkToFit="0" wrapText="1"/>
    </xf>
    <xf borderId="0" fillId="5" fontId="6" numFmtId="0" xfId="0" applyAlignment="1" applyFont="1">
      <alignment horizontal="left" vertical="bottom"/>
    </xf>
    <xf borderId="0" fillId="2" fontId="6" numFmtId="0" xfId="0" applyAlignment="1" applyFont="1">
      <alignment horizontal="left" shrinkToFit="0" vertical="bottom" wrapText="1"/>
    </xf>
    <xf borderId="0" fillId="2" fontId="12" numFmtId="0" xfId="0" applyAlignment="1" applyFont="1">
      <alignment horizontal="left" readingOrder="0"/>
    </xf>
    <xf borderId="0" fillId="2" fontId="1" numFmtId="0" xfId="0" applyAlignment="1" applyFont="1">
      <alignment horizontal="left" readingOrder="0" vertical="bottom"/>
    </xf>
    <xf borderId="0" fillId="2" fontId="13" numFmtId="0" xfId="0" applyAlignment="1" applyFont="1">
      <alignment horizontal="left" vertical="bottom"/>
    </xf>
    <xf borderId="0" fillId="3" fontId="14" numFmtId="0" xfId="0" applyAlignment="1" applyFont="1">
      <alignment horizontal="left" readingOrder="0"/>
    </xf>
    <xf borderId="0" fillId="3" fontId="15" numFmtId="0" xfId="0" applyAlignment="1" applyFont="1">
      <alignment horizontal="left" readingOrder="0"/>
    </xf>
    <xf borderId="0" fillId="3" fontId="16" numFmtId="0" xfId="0" applyAlignment="1" applyFont="1">
      <alignment horizontal="left" readingOrder="0"/>
    </xf>
    <xf borderId="0" fillId="2" fontId="17" numFmtId="0" xfId="0" applyAlignment="1" applyFont="1">
      <alignment horizontal="left" vertical="bottom"/>
    </xf>
    <xf borderId="0" fillId="2" fontId="6" numFmtId="0" xfId="0" applyAlignment="1" applyFont="1">
      <alignment horizontal="left" vertical="bottom"/>
    </xf>
    <xf borderId="0" fillId="0" fontId="3" numFmtId="0" xfId="0" applyAlignment="1" applyFont="1">
      <alignment horizontal="left"/>
    </xf>
    <xf borderId="0" fillId="3" fontId="18" numFmtId="0" xfId="0" applyAlignment="1" applyFont="1">
      <alignment readingOrder="0"/>
    </xf>
    <xf borderId="0" fillId="3" fontId="3" numFmtId="0" xfId="0" applyFont="1"/>
    <xf borderId="0" fillId="3" fontId="3" numFmtId="0" xfId="0" applyAlignment="1" applyFont="1">
      <alignment readingOrder="0" shrinkToFit="0" wrapText="1"/>
    </xf>
    <xf borderId="0" fillId="2" fontId="19" numFmtId="0" xfId="0" applyAlignment="1" applyFont="1">
      <alignment horizontal="left" readingOrder="0"/>
    </xf>
    <xf borderId="0" fillId="2" fontId="20" numFmtId="0" xfId="0" applyAlignment="1" applyFont="1">
      <alignment horizontal="left" readingOrder="0"/>
    </xf>
    <xf borderId="0" fillId="2" fontId="21" numFmtId="0" xfId="0" applyAlignment="1" applyFont="1">
      <alignment horizontal="left" vertical="bottom"/>
    </xf>
    <xf borderId="0" fillId="2" fontId="3" numFmtId="0" xfId="0" applyAlignment="1" applyFont="1">
      <alignment shrinkToFit="0" wrapText="1"/>
    </xf>
    <xf borderId="0" fillId="2" fontId="6" numFmtId="0" xfId="0" applyAlignment="1" applyFont="1">
      <alignment horizontal="left" shrinkToFit="0" vertical="bottom" wrapText="1"/>
    </xf>
    <xf borderId="0" fillId="3" fontId="19" numFmtId="0" xfId="0" applyAlignment="1" applyFont="1">
      <alignment horizontal="left" readingOrder="0"/>
    </xf>
    <xf borderId="0" fillId="3" fontId="8" numFmtId="0" xfId="0" applyAlignment="1" applyFont="1">
      <alignment horizontal="left" readingOrder="0" shrinkToFit="0" wrapText="0"/>
    </xf>
    <xf borderId="0" fillId="2" fontId="22" numFmtId="0" xfId="0" applyAlignment="1" applyFont="1">
      <alignment horizontal="left" vertical="bottom"/>
    </xf>
    <xf borderId="0" fillId="2" fontId="6" numFmtId="0" xfId="0" applyAlignment="1" applyFont="1">
      <alignment horizontal="left" readingOrder="0" vertical="bottom"/>
    </xf>
    <xf borderId="0" fillId="3" fontId="3" numFmtId="0" xfId="0" applyAlignment="1" applyFont="1">
      <alignment shrinkToFit="0" wrapText="1"/>
    </xf>
    <xf borderId="0" fillId="3" fontId="23" numFmtId="0" xfId="0" applyAlignment="1" applyFont="1">
      <alignment horizontal="left" readingOrder="0" shrinkToFit="0" wrapText="0"/>
    </xf>
    <xf borderId="0" fillId="3" fontId="24" numFmtId="0" xfId="0" applyAlignment="1" applyFont="1">
      <alignment horizontal="left" readingOrder="0"/>
    </xf>
    <xf borderId="0" fillId="3" fontId="25" numFmtId="0" xfId="0" applyAlignment="1" applyFont="1">
      <alignment readingOrder="0"/>
    </xf>
    <xf borderId="0" fillId="2" fontId="26" numFmtId="0" xfId="0" applyAlignment="1" applyFont="1">
      <alignment horizontal="left" vertical="bottom"/>
    </xf>
    <xf borderId="0" fillId="2" fontId="15" numFmtId="0" xfId="0" applyAlignment="1" applyFont="1">
      <alignment horizontal="left" readingOrder="0"/>
    </xf>
    <xf borderId="0" fillId="2" fontId="26" numFmtId="0" xfId="0" applyAlignment="1" applyFont="1">
      <alignment horizontal="left" readingOrder="0" vertical="bottom"/>
    </xf>
    <xf borderId="0" fillId="2" fontId="27" numFmtId="0" xfId="0" applyAlignment="1" applyFont="1">
      <alignment readingOrder="0"/>
    </xf>
    <xf borderId="0" fillId="2" fontId="28" numFmtId="0" xfId="0" applyAlignment="1" applyFont="1">
      <alignment horizontal="left" readingOrder="0"/>
    </xf>
    <xf borderId="0" fillId="2" fontId="29" numFmtId="0" xfId="0" applyAlignment="1" applyFont="1">
      <alignment readingOrder="0"/>
    </xf>
    <xf borderId="0" fillId="2" fontId="30" numFmtId="0" xfId="0" applyAlignment="1" applyFont="1">
      <alignment horizontal="left" readingOrder="0"/>
    </xf>
    <xf borderId="0" fillId="2" fontId="31" numFmtId="0" xfId="0" applyAlignment="1" applyFont="1">
      <alignment horizontal="left" readingOrder="0"/>
    </xf>
    <xf borderId="0" fillId="2" fontId="3" numFmtId="0" xfId="0" applyAlignment="1" applyFont="1">
      <alignment horizontal="left"/>
    </xf>
    <xf borderId="0" fillId="2" fontId="32" numFmtId="0" xfId="0" applyAlignment="1" applyFont="1">
      <alignment horizontal="left" readingOrder="0" shrinkToFit="0" wrapText="0"/>
    </xf>
    <xf borderId="0" fillId="2" fontId="16" numFmtId="0" xfId="0" applyAlignment="1" applyFont="1">
      <alignment horizontal="left" readingOrder="0"/>
    </xf>
    <xf borderId="0" fillId="0" fontId="3" numFmtId="0" xfId="0" applyAlignment="1" applyFont="1">
      <alignment shrinkToFit="0" wrapText="1"/>
    </xf>
    <xf borderId="0" fillId="2" fontId="33" numFmtId="0" xfId="0" applyAlignment="1" applyFont="1">
      <alignment horizontal="left" vertical="bottom"/>
    </xf>
    <xf borderId="0" fillId="2" fontId="24" numFmtId="0" xfId="0" applyAlignment="1" applyFont="1">
      <alignment readingOrder="0"/>
    </xf>
    <xf borderId="0" fillId="0" fontId="34" numFmtId="0" xfId="0" applyAlignment="1" applyFont="1">
      <alignment readingOrder="0"/>
    </xf>
    <xf borderId="0" fillId="2" fontId="35" numFmtId="0" xfId="0" applyAlignment="1" applyFont="1">
      <alignment horizontal="left" readingOrder="0"/>
    </xf>
    <xf borderId="0" fillId="2" fontId="36" numFmtId="0" xfId="0" applyAlignment="1" applyFont="1">
      <alignment horizontal="left" readingOrder="0" shrinkToFit="0" wrapText="0"/>
    </xf>
    <xf borderId="0" fillId="2" fontId="37" numFmtId="0" xfId="0" applyAlignment="1" applyFont="1">
      <alignment horizontal="left" readingOrder="0"/>
    </xf>
    <xf borderId="0" fillId="6" fontId="3" numFmtId="0" xfId="0" applyAlignment="1" applyFill="1" applyFont="1">
      <alignment readingOrder="0"/>
    </xf>
    <xf borderId="0" fillId="2" fontId="23" numFmtId="0" xfId="0" applyAlignment="1" applyFont="1">
      <alignment horizontal="left" vertical="bottom"/>
    </xf>
    <xf borderId="0" fillId="6" fontId="19" numFmtId="0" xfId="0" applyAlignment="1" applyFont="1">
      <alignment horizontal="left" readingOrder="0"/>
    </xf>
    <xf borderId="0" fillId="6" fontId="15" numFmtId="0" xfId="0" applyAlignment="1" applyFont="1">
      <alignment horizontal="left" readingOrder="0"/>
    </xf>
    <xf borderId="0" fillId="6" fontId="38" numFmtId="0" xfId="0" applyAlignment="1" applyFont="1">
      <alignment readingOrder="0"/>
    </xf>
    <xf borderId="0" fillId="6" fontId="29" numFmtId="0" xfId="0" applyAlignment="1" applyFont="1">
      <alignment horizontal="left" readingOrder="0"/>
    </xf>
    <xf borderId="0" fillId="6" fontId="29" numFmtId="0" xfId="0" applyAlignment="1" applyFont="1">
      <alignment readingOrder="0"/>
    </xf>
    <xf borderId="0" fillId="2" fontId="23" numFmtId="0" xfId="0" applyAlignment="1" applyFont="1">
      <alignment horizontal="left" vertical="bottom"/>
    </xf>
    <xf borderId="0" fillId="6" fontId="3" numFmtId="0" xfId="0" applyFont="1"/>
    <xf borderId="0" fillId="2" fontId="35" numFmtId="0" xfId="0" applyAlignment="1" applyFont="1">
      <alignment readingOrder="0"/>
    </xf>
    <xf borderId="0" fillId="2" fontId="39" numFmtId="0" xfId="0" applyAlignment="1" applyFont="1">
      <alignment horizontal="center" readingOrder="0"/>
    </xf>
    <xf borderId="0" fillId="2" fontId="40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41" numFmtId="0" xfId="0" applyAlignment="1" applyFont="1">
      <alignment vertical="bottom"/>
    </xf>
    <xf borderId="0" fillId="2" fontId="42" numFmtId="0" xfId="0" applyAlignment="1" applyFont="1">
      <alignment vertical="bottom"/>
    </xf>
    <xf borderId="0" fillId="2" fontId="43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3" fontId="42" numFmtId="0" xfId="0" applyAlignment="1" applyFont="1">
      <alignment vertical="bottom"/>
    </xf>
    <xf borderId="0" fillId="3" fontId="41" numFmtId="0" xfId="0" applyAlignment="1" applyFont="1">
      <alignment vertical="bottom"/>
    </xf>
    <xf borderId="0" fillId="3" fontId="44" numFmtId="0" xfId="0" applyAlignment="1" applyFont="1">
      <alignment vertical="bottom"/>
    </xf>
    <xf borderId="0" fillId="3" fontId="45" numFmtId="0" xfId="0" applyAlignment="1" applyFont="1">
      <alignment vertical="bottom"/>
    </xf>
    <xf borderId="0" fillId="2" fontId="29" numFmtId="0" xfId="0" applyAlignment="1" applyFont="1">
      <alignment horizontal="left" readingOrder="0"/>
    </xf>
    <xf borderId="0" fillId="2" fontId="4" numFmtId="0" xfId="0" applyAlignment="1" applyFont="1">
      <alignment vertical="bottom"/>
    </xf>
    <xf borderId="0" fillId="2" fontId="46" numFmtId="0" xfId="0" applyAlignment="1" applyFont="1">
      <alignment vertical="bottom"/>
    </xf>
    <xf borderId="0" fillId="2" fontId="47" numFmtId="0" xfId="0" applyAlignment="1" applyFont="1">
      <alignment horizontal="left" vertical="bottom"/>
    </xf>
    <xf borderId="0" fillId="2" fontId="48" numFmtId="0" xfId="0" applyAlignment="1" applyFont="1">
      <alignment vertical="bottom"/>
    </xf>
    <xf borderId="0" fillId="2" fontId="49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5" fontId="3" numFmtId="0" xfId="0" applyAlignment="1" applyFont="1">
      <alignment readingOrder="0"/>
    </xf>
    <xf borderId="0" fillId="5" fontId="4" numFmtId="0" xfId="0" applyAlignment="1" applyFont="1">
      <alignment vertical="bottom"/>
    </xf>
    <xf borderId="0" fillId="5" fontId="49" numFmtId="0" xfId="0" applyAlignment="1" applyFont="1">
      <alignment vertical="bottom"/>
    </xf>
    <xf borderId="0" fillId="5" fontId="50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3" numFmtId="0" xfId="0" applyAlignment="1" applyFont="1">
      <alignment shrinkToFit="0" wrapText="1"/>
    </xf>
    <xf borderId="0" fillId="5" fontId="3" numFmtId="0" xfId="0" applyFont="1"/>
    <xf borderId="0" fillId="2" fontId="51" numFmtId="0" xfId="0" applyAlignment="1" applyFont="1">
      <alignment vertical="bottom"/>
    </xf>
    <xf borderId="0" fillId="2" fontId="52" numFmtId="0" xfId="0" applyAlignment="1" applyFont="1">
      <alignment vertical="bottom"/>
    </xf>
    <xf borderId="0" fillId="2" fontId="53" numFmtId="0" xfId="0" applyAlignment="1" applyFont="1">
      <alignment horizontal="right" vertical="bottom"/>
    </xf>
    <xf borderId="0" fillId="2" fontId="1" numFmtId="0" xfId="0" applyAlignment="1" applyFont="1">
      <alignment horizontal="left" readingOrder="0" shrinkToFit="0" wrapText="1"/>
    </xf>
    <xf borderId="0" fillId="2" fontId="54" numFmtId="0" xfId="0" applyAlignment="1" applyFont="1">
      <alignment vertical="bottom"/>
    </xf>
    <xf borderId="0" fillId="2" fontId="1" numFmtId="0" xfId="0" applyAlignment="1" applyFont="1">
      <alignment horizontal="left" vertical="bottom"/>
    </xf>
    <xf borderId="0" fillId="2" fontId="1" numFmtId="0" xfId="0" applyAlignment="1" applyFont="1">
      <alignment horizontal="left" readingOrder="0" shrinkToFit="0" vertical="bottom" wrapText="1"/>
    </xf>
    <xf borderId="0" fillId="2" fontId="1" numFmtId="0" xfId="0" applyAlignment="1" applyFont="1">
      <alignment horizontal="left" shrinkToFit="0" vertical="bottom" wrapText="1"/>
    </xf>
    <xf borderId="0" fillId="3" fontId="55" numFmtId="0" xfId="0" applyAlignment="1" applyFont="1">
      <alignment horizontal="center" shrinkToFit="0" vertical="bottom" wrapText="1"/>
    </xf>
    <xf borderId="0" fillId="2" fontId="56" numFmtId="0" xfId="0" applyAlignment="1" applyFont="1">
      <alignment horizontal="left" vertical="bottom"/>
    </xf>
    <xf borderId="0" fillId="3" fontId="2" numFmtId="0" xfId="0" applyAlignment="1" applyFont="1">
      <alignment horizontal="center" readingOrder="0" shrinkToFit="0" vertical="bottom" wrapText="1"/>
    </xf>
    <xf borderId="0" fillId="2" fontId="57" numFmtId="0" xfId="0" applyAlignment="1" applyFont="1">
      <alignment horizontal="left" vertical="bottom"/>
    </xf>
    <xf borderId="0" fillId="3" fontId="58" numFmtId="0" xfId="0" applyAlignment="1" applyFont="1">
      <alignment readingOrder="0" shrinkToFit="0" wrapText="1"/>
    </xf>
    <xf borderId="0" fillId="2" fontId="59" numFmtId="0" xfId="0" applyAlignment="1" applyFont="1">
      <alignment horizontal="left" readingOrder="0" vertical="bottom"/>
    </xf>
    <xf borderId="0" fillId="3" fontId="60" numFmtId="0" xfId="0" applyAlignment="1" applyFont="1">
      <alignment horizontal="center" readingOrder="0" shrinkToFit="0" vertical="bottom" wrapText="1"/>
    </xf>
    <xf borderId="0" fillId="3" fontId="61" numFmtId="0" xfId="0" applyAlignment="1" applyFont="1">
      <alignment readingOrder="0" shrinkToFit="0" wrapText="1"/>
    </xf>
    <xf borderId="0" fillId="5" fontId="55" numFmtId="0" xfId="0" applyAlignment="1" applyFont="1">
      <alignment horizontal="center" shrinkToFit="0" vertical="bottom" wrapText="1"/>
    </xf>
    <xf borderId="0" fillId="5" fontId="2" numFmtId="0" xfId="0" applyAlignment="1" applyFont="1">
      <alignment horizontal="center" readingOrder="0" shrinkToFit="0" vertical="bottom" wrapText="1"/>
    </xf>
    <xf borderId="0" fillId="5" fontId="62" numFmtId="0" xfId="0" applyAlignment="1" applyFont="1">
      <alignment readingOrder="0" shrinkToFit="0" wrapText="1"/>
    </xf>
    <xf borderId="0" fillId="5" fontId="3" numFmtId="0" xfId="0" applyAlignment="1" applyFont="1">
      <alignment horizontal="left" readingOrder="0" shrinkToFit="0" wrapText="1"/>
    </xf>
    <xf borderId="0" fillId="5" fontId="3" numFmtId="0" xfId="0" applyAlignment="1" applyFont="1">
      <alignment readingOrder="0" shrinkToFit="0" wrapText="1"/>
    </xf>
    <xf borderId="0" fillId="2" fontId="1" numFmtId="0" xfId="0" applyAlignment="1" applyFont="1">
      <alignment horizontal="left" shrinkToFit="0" vertical="bottom" wrapText="1"/>
    </xf>
    <xf borderId="0" fillId="0" fontId="63" numFmtId="0" xfId="0" applyAlignment="1" applyFont="1">
      <alignment readingOrder="0"/>
    </xf>
    <xf borderId="0" fillId="5" fontId="64" numFmtId="0" xfId="0" applyAlignment="1" applyFont="1">
      <alignment readingOrder="0"/>
    </xf>
    <xf borderId="0" fillId="0" fontId="64" numFmtId="0" xfId="0" applyAlignment="1" applyFont="1">
      <alignment readingOrder="0"/>
    </xf>
    <xf borderId="0" fillId="2" fontId="65" numFmtId="0" xfId="0" applyAlignment="1" applyFont="1">
      <alignment horizontal="left" shrinkToFit="0" vertical="bottom" wrapText="1"/>
    </xf>
    <xf borderId="0" fillId="0" fontId="66" numFmtId="0" xfId="0" applyAlignment="1" applyFont="1">
      <alignment readingOrder="0"/>
    </xf>
    <xf borderId="0" fillId="2" fontId="67" numFmtId="0" xfId="0" applyAlignment="1" applyFont="1">
      <alignment horizontal="left" shrinkToFit="0" vertical="bottom" wrapText="1"/>
    </xf>
    <xf borderId="0" fillId="3" fontId="63" numFmtId="0" xfId="0" applyAlignment="1" applyFont="1">
      <alignment readingOrder="0"/>
    </xf>
    <xf borderId="0" fillId="3" fontId="64" numFmtId="0" xfId="0" applyAlignment="1" applyFont="1">
      <alignment readingOrder="0"/>
    </xf>
    <xf borderId="0" fillId="3" fontId="68" numFmtId="0" xfId="0" applyFont="1"/>
    <xf borderId="0" fillId="3" fontId="68" numFmtId="0" xfId="0" applyAlignment="1" applyFont="1">
      <alignment readingOrder="0"/>
    </xf>
    <xf borderId="0" fillId="2" fontId="36" numFmtId="0" xfId="0" applyAlignment="1" applyFont="1">
      <alignment horizontal="left" readingOrder="0" shrinkToFit="0" wrapText="0"/>
    </xf>
    <xf borderId="0" fillId="2" fontId="69" numFmtId="0" xfId="0" applyAlignment="1" applyFont="1">
      <alignment horizontal="left" readingOrder="0"/>
    </xf>
    <xf borderId="0" fillId="2" fontId="1" numFmtId="0" xfId="0" applyAlignment="1" applyFont="1">
      <alignment horizontal="left" readingOrder="0"/>
    </xf>
    <xf borderId="0" fillId="2" fontId="70" numFmtId="0" xfId="0" applyAlignment="1" applyFont="1">
      <alignment horizontal="left" readingOrder="0"/>
    </xf>
    <xf borderId="0" fillId="2" fontId="6" numFmtId="0" xfId="0" applyAlignment="1" applyFont="1">
      <alignment horizontal="left" readingOrder="0" shrinkToFit="0" vertical="bottom" wrapText="1"/>
    </xf>
    <xf borderId="0" fillId="2" fontId="68" numFmtId="0" xfId="0" applyAlignment="1" applyFont="1">
      <alignment horizontal="left"/>
    </xf>
    <xf borderId="0" fillId="2" fontId="68" numFmtId="0" xfId="0" applyAlignment="1" applyFont="1">
      <alignment horizontal="left" readingOrder="0"/>
    </xf>
    <xf borderId="0" fillId="2" fontId="71" numFmtId="0" xfId="0" applyAlignment="1" applyFont="1">
      <alignment horizontal="left" readingOrder="0" vertical="bottom"/>
    </xf>
    <xf borderId="0" fillId="2" fontId="47" numFmtId="0" xfId="0" applyAlignment="1" applyFont="1">
      <alignment horizontal="left" readingOrder="0"/>
    </xf>
    <xf borderId="0" fillId="2" fontId="5" numFmtId="0" xfId="0" applyAlignment="1" applyFont="1">
      <alignment horizontal="left" vertical="bottom"/>
    </xf>
    <xf borderId="0" fillId="2" fontId="5" numFmtId="0" xfId="0" applyAlignment="1" applyFont="1">
      <alignment horizontal="left" vertical="bottom"/>
    </xf>
    <xf borderId="0" fillId="2" fontId="72" numFmtId="0" xfId="0" applyAlignment="1" applyFont="1">
      <alignment horizontal="left" readingOrder="0"/>
    </xf>
    <xf borderId="0" fillId="2" fontId="47" numFmtId="0" xfId="0" applyAlignment="1" applyFont="1">
      <alignment horizontal="left" readingOrder="0"/>
    </xf>
    <xf borderId="0" fillId="2" fontId="73" numFmtId="0" xfId="0" applyAlignment="1" applyFont="1">
      <alignment horizontal="left" readingOrder="0"/>
    </xf>
    <xf borderId="0" fillId="2" fontId="74" numFmtId="0" xfId="0" applyAlignment="1" applyFont="1">
      <alignment horizontal="left" vertical="bottom"/>
    </xf>
    <xf borderId="0" fillId="2" fontId="75" numFmtId="0" xfId="0" applyAlignment="1" applyFont="1">
      <alignment horizontal="left"/>
    </xf>
    <xf borderId="0" fillId="2" fontId="75" numFmtId="0" xfId="0" applyAlignment="1" applyFont="1">
      <alignment horizontal="left" shrinkToFit="0" wrapText="1"/>
    </xf>
    <xf borderId="0" fillId="2" fontId="75" numFmtId="0" xfId="0" applyAlignment="1" applyFont="1">
      <alignment horizontal="left" readingOrder="0"/>
    </xf>
    <xf borderId="0" fillId="2" fontId="35" numFmtId="0" xfId="0" applyAlignment="1" applyFont="1">
      <alignment horizontal="left" vertical="bottom"/>
    </xf>
    <xf borderId="0" fillId="5" fontId="75" numFmtId="0" xfId="0" applyAlignment="1" applyFont="1">
      <alignment horizontal="left" readingOrder="0"/>
    </xf>
    <xf borderId="0" fillId="2" fontId="76" numFmtId="0" xfId="0" applyAlignment="1" applyFont="1">
      <alignment horizontal="left" readingOrder="0"/>
    </xf>
    <xf borderId="0" fillId="2" fontId="2" numFmtId="0" xfId="0" applyAlignment="1" applyFont="1">
      <alignment horizontal="right" vertical="bottom"/>
    </xf>
    <xf borderId="0" fillId="2" fontId="37" numFmtId="0" xfId="0" applyAlignment="1" applyFont="1">
      <alignment horizontal="left" vertical="bottom"/>
    </xf>
    <xf borderId="0" fillId="2" fontId="75" numFmtId="0" xfId="0" applyAlignment="1" applyFont="1">
      <alignment horizontal="left" readingOrder="0" shrinkToFit="0" wrapText="1"/>
    </xf>
    <xf borderId="0" fillId="2" fontId="77" numFmtId="0" xfId="0" applyAlignment="1" applyFont="1">
      <alignment horizontal="left" readingOrder="0" shrinkToFit="0" wrapText="0"/>
    </xf>
    <xf borderId="0" fillId="7" fontId="68" numFmtId="0" xfId="0" applyFill="1" applyFont="1"/>
    <xf borderId="0" fillId="7" fontId="68" numFmtId="0" xfId="0" applyAlignment="1" applyFont="1">
      <alignment readingOrder="0"/>
    </xf>
    <xf borderId="0" fillId="2" fontId="5" numFmtId="0" xfId="0" applyAlignment="1" applyFont="1">
      <alignment horizontal="left" readingOrder="0" vertical="bottom"/>
    </xf>
    <xf borderId="0" fillId="2" fontId="78" numFmtId="0" xfId="0" applyAlignment="1" applyFont="1">
      <alignment horizontal="left" vertical="bottom"/>
    </xf>
    <xf borderId="0" fillId="2" fontId="78" numFmtId="0" xfId="0" applyAlignment="1" applyFont="1">
      <alignment horizontal="left" readingOrder="0" vertical="bottom"/>
    </xf>
    <xf borderId="0" fillId="0" fontId="2" numFmtId="0" xfId="0" applyAlignment="1" applyFont="1">
      <alignment horizontal="right" vertical="bottom"/>
    </xf>
    <xf borderId="0" fillId="2" fontId="37" numFmtId="0" xfId="0" applyAlignment="1" applyFont="1">
      <alignment horizontal="left" readingOrder="0" shrinkToFit="0" wrapText="0"/>
    </xf>
    <xf borderId="0" fillId="2" fontId="79" numFmtId="0" xfId="0" applyAlignment="1" applyFont="1">
      <alignment horizontal="left" readingOrder="0" shrinkToFit="0" wrapText="0"/>
    </xf>
    <xf borderId="0" fillId="2" fontId="78" numFmtId="0" xfId="0" applyAlignment="1" applyFont="1">
      <alignment horizontal="left" vertical="bottom"/>
    </xf>
    <xf borderId="0" fillId="2" fontId="5" numFmtId="0" xfId="0" applyAlignment="1" applyFont="1">
      <alignment horizontal="left" vertical="top"/>
    </xf>
    <xf borderId="0" fillId="2" fontId="5" numFmtId="0" xfId="0" applyAlignment="1" applyFont="1">
      <alignment horizontal="left" readingOrder="0" vertical="top"/>
    </xf>
    <xf borderId="0" fillId="7" fontId="68" numFmtId="0" xfId="0" applyFont="1"/>
    <xf borderId="0" fillId="0" fontId="3" numFmtId="0" xfId="0" applyAlignment="1" applyFont="1">
      <alignment horizontal="left" shrinkToFit="0" wrapText="1"/>
    </xf>
    <xf borderId="0" fillId="2" fontId="37" numFmtId="0" xfId="0" applyAlignment="1" applyFont="1">
      <alignment horizontal="left" vertical="bottom"/>
    </xf>
    <xf borderId="0" fillId="0" fontId="3" numFmtId="0" xfId="0" applyAlignment="1" applyFont="1">
      <alignment horizontal="left" readingOrder="0" shrinkToFit="0" wrapText="1"/>
    </xf>
    <xf borderId="0" fillId="2" fontId="80" numFmtId="0" xfId="0" applyAlignment="1" applyFont="1">
      <alignment horizontal="left" vertical="bottom"/>
    </xf>
    <xf borderId="0" fillId="0" fontId="81" numFmtId="0" xfId="0" applyAlignment="1" applyFont="1">
      <alignment horizontal="left" readingOrder="0"/>
    </xf>
    <xf borderId="0" fillId="5" fontId="3" numFmtId="0" xfId="0" applyAlignment="1" applyFont="1">
      <alignment horizontal="left" readingOrder="0"/>
    </xf>
    <xf borderId="0" fillId="2" fontId="8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2" fontId="83" numFmtId="0" xfId="0" applyAlignment="1" applyFont="1">
      <alignment horizontal="left" readingOrder="0" vertical="bottom"/>
    </xf>
    <xf borderId="0" fillId="2" fontId="84" numFmtId="0" xfId="0" applyAlignment="1" applyFont="1">
      <alignment horizontal="left" vertical="bottom"/>
    </xf>
    <xf borderId="0" fillId="0" fontId="85" numFmtId="0" xfId="0" applyAlignment="1" applyFont="1">
      <alignment readingOrder="0"/>
    </xf>
    <xf borderId="0" fillId="2" fontId="86" numFmtId="0" xfId="0" applyAlignment="1" applyFont="1">
      <alignment horizontal="left" vertical="bottom"/>
    </xf>
    <xf borderId="0" fillId="7" fontId="78" numFmtId="0" xfId="0" applyAlignment="1" applyFont="1">
      <alignment vertical="bottom"/>
    </xf>
    <xf borderId="0" fillId="5" fontId="78" numFmtId="0" xfId="0" applyAlignment="1" applyFont="1">
      <alignment shrinkToFit="0" vertical="bottom" wrapText="1"/>
    </xf>
    <xf borderId="0" fillId="2" fontId="37" numFmtId="0" xfId="0" applyAlignment="1" applyFont="1">
      <alignment horizontal="left" vertical="top"/>
    </xf>
    <xf borderId="0" fillId="5" fontId="2" numFmtId="0" xfId="0" applyAlignment="1" applyFont="1">
      <alignment shrinkToFit="0" vertical="bottom" wrapText="1"/>
    </xf>
    <xf borderId="0" fillId="2" fontId="87" numFmtId="0" xfId="0" applyAlignment="1" applyFont="1">
      <alignment horizontal="left" vertical="top"/>
    </xf>
    <xf borderId="0" fillId="2" fontId="47" numFmtId="0" xfId="0" applyAlignment="1" applyFont="1">
      <alignment horizontal="left" readingOrder="0"/>
    </xf>
    <xf borderId="0" fillId="5" fontId="78" numFmtId="0" xfId="0" applyAlignment="1" applyFont="1">
      <alignment vertical="bottom"/>
    </xf>
    <xf borderId="0" fillId="2" fontId="88" numFmtId="0" xfId="0" applyAlignment="1" applyFont="1">
      <alignment horizontal="left" readingOrder="0"/>
    </xf>
    <xf borderId="0" fillId="2" fontId="37" numFmtId="0" xfId="0" applyAlignment="1" applyFont="1">
      <alignment horizontal="left" readingOrder="0"/>
    </xf>
    <xf borderId="0" fillId="0" fontId="2" numFmtId="0" xfId="0" applyAlignment="1" applyFont="1">
      <alignment shrinkToFit="0" vertical="bottom" wrapText="1"/>
    </xf>
    <xf borderId="0" fillId="2" fontId="89" numFmtId="0" xfId="0" applyAlignment="1" applyFont="1">
      <alignment horizontal="left" readingOrder="0" shrinkToFit="0" wrapText="0"/>
    </xf>
    <xf borderId="0" fillId="2" fontId="37" numFmtId="0" xfId="0" applyAlignment="1" applyFont="1">
      <alignment horizontal="left" readingOrder="0" shrinkToFit="0" wrapText="0"/>
    </xf>
    <xf borderId="0" fillId="2" fontId="5" numFmtId="0" xfId="0" applyAlignment="1" applyFont="1">
      <alignment horizontal="left" vertical="top"/>
    </xf>
    <xf borderId="0" fillId="2" fontId="90" numFmtId="0" xfId="0" applyAlignment="1" applyFont="1">
      <alignment horizontal="left" vertical="top"/>
    </xf>
    <xf borderId="0" fillId="0" fontId="91" numFmtId="0" xfId="0" applyAlignment="1" applyFont="1">
      <alignment shrinkToFit="0" vertical="bottom" wrapText="1"/>
    </xf>
    <xf borderId="0" fillId="0" fontId="92" numFmtId="0" xfId="0" applyAlignment="1" applyFont="1">
      <alignment vertical="bottom"/>
    </xf>
    <xf borderId="0" fillId="0" fontId="93" numFmtId="0" xfId="0" applyAlignment="1" applyFont="1">
      <alignment shrinkToFit="0" vertical="bottom" wrapText="1"/>
    </xf>
    <xf borderId="0" fillId="5" fontId="93" numFmtId="0" xfId="0" applyAlignment="1" applyFont="1">
      <alignment shrinkToFit="0" vertical="bottom" wrapText="1"/>
    </xf>
    <xf borderId="0" fillId="2" fontId="90" numFmtId="0" xfId="0" applyAlignment="1" applyFont="1">
      <alignment horizontal="left" vertical="top"/>
    </xf>
    <xf borderId="0" fillId="7" fontId="78" numFmtId="0" xfId="0" applyAlignment="1" applyFont="1">
      <alignment shrinkToFit="0" vertical="bottom" wrapText="1"/>
    </xf>
    <xf borderId="0" fillId="5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2" fontId="94" numFmtId="0" xfId="0" applyAlignment="1" applyFont="1">
      <alignment horizontal="left" vertical="top"/>
    </xf>
    <xf borderId="0" fillId="2" fontId="95" numFmtId="0" xfId="0" applyAlignment="1" applyFont="1">
      <alignment horizontal="left" vertical="top"/>
    </xf>
    <xf borderId="0" fillId="5" fontId="5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3" fontId="85" numFmtId="0" xfId="0" applyAlignment="1" applyFont="1">
      <alignment readingOrder="0"/>
    </xf>
    <xf borderId="0" fillId="2" fontId="78" numFmtId="0" xfId="0" applyAlignment="1" applyFont="1">
      <alignment horizontal="left" vertical="top"/>
    </xf>
    <xf borderId="0" fillId="0" fontId="55" numFmtId="0" xfId="0" applyAlignment="1" applyFont="1">
      <alignment vertical="bottom"/>
    </xf>
    <xf borderId="0" fillId="5" fontId="63" numFmtId="0" xfId="0" applyAlignment="1" applyFont="1">
      <alignment readingOrder="0"/>
    </xf>
    <xf borderId="0" fillId="0" fontId="96" numFmtId="0" xfId="0" applyAlignment="1" applyFont="1">
      <alignment readingOrder="0"/>
    </xf>
    <xf borderId="0" fillId="0" fontId="64" numFmtId="0" xfId="0" applyFont="1"/>
    <xf borderId="0" fillId="0" fontId="97" numFmtId="0" xfId="0" applyAlignment="1" applyFont="1">
      <alignment readingOrder="0"/>
    </xf>
    <xf borderId="0" fillId="0" fontId="98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5" numFmtId="0" xfId="0" applyAlignment="1" applyFont="1">
      <alignment horizontal="left" shrinkToFit="0" vertical="top" wrapText="1"/>
    </xf>
    <xf borderId="0" fillId="2" fontId="5" numFmtId="0" xfId="0" applyAlignment="1" applyFont="1">
      <alignment horizontal="left" shrinkToFit="0" vertical="top" wrapText="1"/>
    </xf>
    <xf borderId="0" fillId="2" fontId="99" numFmtId="0" xfId="0" applyAlignment="1" applyFont="1">
      <alignment horizontal="left" shrinkToFit="0" vertical="top" wrapText="1"/>
    </xf>
    <xf borderId="0" fillId="2" fontId="100" numFmtId="0" xfId="0" applyAlignment="1" applyFont="1">
      <alignment horizontal="left" vertical="top"/>
    </xf>
    <xf borderId="0" fillId="2" fontId="101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2" fontId="63" numFmtId="0" xfId="0" applyAlignment="1" applyFont="1">
      <alignment readingOrder="0"/>
    </xf>
    <xf borderId="0" fillId="8" fontId="102" numFmtId="0" xfId="0" applyAlignment="1" applyFill="1" applyFont="1">
      <alignment readingOrder="0"/>
    </xf>
    <xf borderId="0" fillId="8" fontId="103" numFmtId="0" xfId="0" applyAlignment="1" applyFont="1">
      <alignment readingOrder="0"/>
    </xf>
    <xf borderId="0" fillId="2" fontId="104" numFmtId="0" xfId="0" applyAlignment="1" applyFont="1">
      <alignment horizontal="left" vertical="top"/>
    </xf>
    <xf borderId="0" fillId="5" fontId="105" numFmtId="0" xfId="0" applyAlignment="1" applyFont="1">
      <alignment horizontal="left" readingOrder="0"/>
    </xf>
    <xf borderId="0" fillId="2" fontId="78" numFmtId="0" xfId="0" applyAlignment="1" applyFont="1">
      <alignment horizontal="left" vertical="top"/>
    </xf>
    <xf borderId="0" fillId="2" fontId="106" numFmtId="0" xfId="0" applyAlignment="1" applyFont="1">
      <alignment horizontal="left" vertical="top"/>
    </xf>
    <xf borderId="0" fillId="2" fontId="78" numFmtId="0" xfId="0" applyAlignment="1" applyFont="1">
      <alignment horizontal="left" readingOrder="0" vertical="top"/>
    </xf>
    <xf borderId="0" fillId="2" fontId="85" numFmtId="0" xfId="0" applyAlignment="1" applyFont="1">
      <alignment readingOrder="0"/>
    </xf>
    <xf borderId="0" fillId="5" fontId="85" numFmtId="0" xfId="0" applyFont="1"/>
    <xf borderId="0" fillId="5" fontId="85" numFmtId="0" xfId="0" applyAlignment="1" applyFont="1">
      <alignment readingOrder="0"/>
    </xf>
    <xf borderId="0" fillId="0" fontId="35" numFmtId="0" xfId="0" applyAlignment="1" applyFont="1">
      <alignment readingOrder="0"/>
    </xf>
    <xf borderId="0" fillId="9" fontId="63" numFmtId="0" xfId="0" applyAlignment="1" applyFill="1" applyFont="1">
      <alignment readingOrder="0"/>
    </xf>
    <xf borderId="0" fillId="2" fontId="35" numFmtId="0" xfId="0" applyAlignment="1" applyFont="1">
      <alignment readingOrder="0"/>
    </xf>
    <xf borderId="0" fillId="0" fontId="107" numFmtId="0" xfId="0" applyAlignment="1" applyFont="1">
      <alignment horizontal="center" readingOrder="0"/>
    </xf>
    <xf borderId="0" fillId="0" fontId="108" numFmtId="0" xfId="0" applyAlignment="1" applyFont="1">
      <alignment readingOrder="0"/>
    </xf>
    <xf borderId="0" fillId="0" fontId="109" numFmtId="0" xfId="0" applyAlignment="1" applyFont="1">
      <alignment readingOrder="0"/>
    </xf>
    <xf borderId="0" fillId="2" fontId="110" numFmtId="0" xfId="0" applyAlignment="1" applyFont="1">
      <alignment vertical="bottom"/>
    </xf>
    <xf borderId="0" fillId="2" fontId="55" numFmtId="0" xfId="0" applyAlignment="1" applyFont="1">
      <alignment vertical="bottom"/>
    </xf>
    <xf borderId="0" fillId="2" fontId="111" numFmtId="0" xfId="0" applyAlignment="1" applyFont="1">
      <alignment horizontal="left" vertical="top"/>
    </xf>
    <xf borderId="0" fillId="0" fontId="85" numFmtId="0" xfId="0" applyFont="1"/>
    <xf borderId="0" fillId="0" fontId="19" numFmtId="0" xfId="0" applyAlignment="1" applyFont="1">
      <alignment readingOrder="0" shrinkToFit="0" wrapText="0"/>
    </xf>
    <xf borderId="0" fillId="0" fontId="19" numFmtId="0" xfId="0" applyAlignment="1" applyFont="1">
      <alignment shrinkToFit="0" wrapText="0"/>
    </xf>
    <xf borderId="0" fillId="2" fontId="112" numFmtId="0" xfId="0" applyAlignment="1" applyFont="1">
      <alignment horizontal="left" vertical="top"/>
    </xf>
    <xf borderId="0" fillId="2" fontId="113" numFmtId="0" xfId="0" applyAlignment="1" applyFont="1">
      <alignment readingOrder="0"/>
    </xf>
    <xf borderId="0" fillId="0" fontId="35" numFmtId="0" xfId="0" applyFont="1"/>
    <xf borderId="0" fillId="2" fontId="114" numFmtId="0" xfId="0" applyAlignment="1" applyFont="1">
      <alignment readingOrder="0"/>
    </xf>
    <xf borderId="0" fillId="0" fontId="85" numFmtId="0" xfId="0" applyAlignment="1" applyFont="1">
      <alignment horizontal="center" readingOrder="0"/>
    </xf>
    <xf borderId="0" fillId="5" fontId="115" numFmtId="0" xfId="0" applyAlignment="1" applyFont="1">
      <alignment readingOrder="0"/>
    </xf>
    <xf borderId="0" fillId="2" fontId="114" numFmtId="0" xfId="0" applyAlignment="1" applyFont="1">
      <alignment readingOrder="0"/>
    </xf>
    <xf borderId="0" fillId="0" fontId="116" numFmtId="0" xfId="0" applyAlignment="1" applyFont="1">
      <alignment readingOrder="0"/>
    </xf>
    <xf borderId="0" fillId="2" fontId="117" numFmtId="0" xfId="0" applyAlignment="1" applyFont="1">
      <alignment readingOrder="0" shrinkToFit="0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1"/>
    </xf>
    <xf borderId="0" fillId="0" fontId="118" numFmtId="0" xfId="0" applyAlignment="1" applyFont="1">
      <alignment vertical="bottom"/>
    </xf>
    <xf borderId="0" fillId="3" fontId="30" numFmtId="0" xfId="0" applyAlignment="1" applyFont="1">
      <alignment horizontal="left" readingOrder="0"/>
    </xf>
    <xf borderId="0" fillId="3" fontId="0" numFmtId="0" xfId="0" applyAlignment="1" applyFont="1">
      <alignment horizontal="left" readingOrder="0"/>
    </xf>
    <xf borderId="0" fillId="10" fontId="30" numFmtId="0" xfId="0" applyAlignment="1" applyFill="1" applyFont="1">
      <alignment horizontal="left" readingOrder="0"/>
    </xf>
    <xf borderId="0" fillId="10" fontId="47" numFmtId="0" xfId="0" applyAlignment="1" applyFont="1">
      <alignment horizontal="center" readingOrder="0"/>
    </xf>
    <xf borderId="0" fillId="5" fontId="30" numFmtId="0" xfId="0" applyAlignment="1" applyFont="1">
      <alignment horizontal="left" readingOrder="0"/>
    </xf>
    <xf borderId="0" fillId="5" fontId="8" numFmtId="0" xfId="0" applyAlignment="1" applyFont="1">
      <alignment horizontal="left" readingOrder="0" shrinkToFit="0" wrapText="0"/>
    </xf>
    <xf borderId="0" fillId="5" fontId="24" numFmtId="0" xfId="0" applyAlignment="1" applyFont="1">
      <alignment horizontal="left" readingOrder="0"/>
    </xf>
    <xf borderId="0" fillId="5" fontId="119" numFmtId="0" xfId="0" applyAlignment="1" applyFont="1">
      <alignment readingOrder="0"/>
    </xf>
    <xf borderId="0" fillId="2" fontId="24" numFmtId="0" xfId="0" applyAlignment="1" applyFont="1">
      <alignment horizontal="left" readingOrder="0"/>
    </xf>
    <xf borderId="0" fillId="0" fontId="32" numFmtId="0" xfId="0" applyAlignment="1" applyFont="1">
      <alignment horizontal="left" readingOrder="0" shrinkToFit="0" wrapText="0"/>
    </xf>
    <xf borderId="0" fillId="2" fontId="32" numFmtId="0" xfId="0" applyAlignment="1" applyFont="1">
      <alignment horizontal="left" readingOrder="0" shrinkToFit="0" wrapText="0"/>
    </xf>
    <xf borderId="0" fillId="5" fontId="32" numFmtId="0" xfId="0" applyAlignment="1" applyFont="1">
      <alignment horizontal="left" readingOrder="0" shrinkToFit="0" wrapText="0"/>
    </xf>
    <xf borderId="0" fillId="2" fontId="120" numFmtId="0" xfId="0" applyAlignment="1" applyFont="1">
      <alignment readingOrder="0"/>
    </xf>
    <xf borderId="0" fillId="0" fontId="15" numFmtId="0" xfId="0" applyAlignment="1" applyFont="1">
      <alignment horizontal="left" shrinkToFit="0" wrapText="0"/>
    </xf>
    <xf borderId="0" fillId="5" fontId="32" numFmtId="0" xfId="0" applyAlignment="1" applyFont="1">
      <alignment horizontal="left" readingOrder="0" shrinkToFit="0" wrapText="0"/>
    </xf>
    <xf borderId="0" fillId="5" fontId="120" numFmtId="0" xfId="0" applyAlignment="1" applyFont="1">
      <alignment readingOrder="0"/>
    </xf>
    <xf borderId="0" fillId="2" fontId="28" numFmtId="0" xfId="0" applyAlignment="1" applyFont="1">
      <alignment readingOrder="0"/>
    </xf>
    <xf borderId="0" fillId="2" fontId="16" numFmtId="0" xfId="0" applyAlignment="1" applyFont="1">
      <alignment horizontal="left" readingOrder="0" shrinkToFit="0" wrapText="0"/>
    </xf>
    <xf borderId="0" fillId="5" fontId="16" numFmtId="0" xfId="0" applyAlignment="1" applyFont="1">
      <alignment horizontal="left" readingOrder="0" shrinkToFit="0" wrapText="0"/>
    </xf>
    <xf borderId="0" fillId="2" fontId="121" numFmtId="0" xfId="0" applyAlignment="1" applyFont="1">
      <alignment readingOrder="0" shrinkToFit="0" wrapText="0"/>
    </xf>
    <xf borderId="0" fillId="2" fontId="122" numFmtId="0" xfId="0" applyAlignment="1" applyFont="1">
      <alignment readingOrder="0" shrinkToFit="0" wrapText="0"/>
    </xf>
    <xf borderId="0" fillId="5" fontId="7" numFmtId="0" xfId="0" applyAlignment="1" applyFont="1">
      <alignment horizontal="left" readingOrder="0" shrinkToFit="0" wrapText="0"/>
    </xf>
    <xf borderId="0" fillId="5" fontId="123" numFmtId="0" xfId="0" applyAlignment="1" applyFont="1">
      <alignment readingOrder="0" shrinkToFit="0" wrapText="0"/>
    </xf>
    <xf borderId="0" fillId="5" fontId="19" numFmtId="0" xfId="0" applyAlignment="1" applyFont="1">
      <alignment horizontal="left" readingOrder="0"/>
    </xf>
    <xf borderId="0" fillId="5" fontId="20" numFmtId="0" xfId="0" applyAlignment="1" applyFont="1">
      <alignment horizontal="left" readingOrder="0"/>
    </xf>
    <xf borderId="0" fillId="2" fontId="0" numFmtId="0" xfId="0" applyAlignment="1" applyFont="1">
      <alignment horizontal="left" readingOrder="0"/>
    </xf>
    <xf borderId="0" fillId="5" fontId="31" numFmtId="0" xfId="0" applyAlignment="1" applyFont="1">
      <alignment horizontal="left" readingOrder="0"/>
    </xf>
    <xf borderId="0" fillId="5" fontId="28" numFmtId="0" xfId="0" applyAlignment="1" applyFont="1">
      <alignment readingOrder="0"/>
    </xf>
    <xf borderId="0" fillId="5" fontId="29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0" numFmtId="0" xfId="0" applyAlignment="1" applyFont="1">
      <alignment horizontal="left" readingOrder="0"/>
    </xf>
    <xf borderId="0" fillId="5" fontId="31" numFmtId="0" xfId="0" applyAlignment="1" applyFont="1">
      <alignment horizontal="left" readingOrder="0"/>
    </xf>
    <xf borderId="0" fillId="5" fontId="16" numFmtId="0" xfId="0" applyAlignment="1" applyFont="1">
      <alignment horizontal="left" readingOrder="0"/>
    </xf>
    <xf borderId="0" fillId="2" fontId="19" numFmtId="0" xfId="0" applyAlignment="1" applyFont="1">
      <alignment horizontal="left" readingOrder="0" shrinkToFit="0" wrapText="0"/>
    </xf>
    <xf borderId="0" fillId="5" fontId="0" numFmtId="0" xfId="0" applyAlignment="1" applyFont="1">
      <alignment horizontal="left" readingOrder="0"/>
    </xf>
    <xf borderId="0" fillId="5" fontId="19" numFmtId="0" xfId="0" applyAlignment="1" applyFont="1">
      <alignment horizontal="left" readingOrder="0" shrinkToFit="0" wrapText="0"/>
    </xf>
    <xf borderId="0" fillId="0" fontId="124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0" fillId="0" fontId="19" numFmtId="0" xfId="0" applyAlignment="1" applyFont="1">
      <alignment horizontal="left"/>
    </xf>
    <xf borderId="0" fillId="5" fontId="15" numFmtId="0" xfId="0" applyAlignment="1" applyFont="1">
      <alignment horizontal="left" readingOrder="0"/>
    </xf>
    <xf borderId="0" fillId="2" fontId="23" numFmtId="0" xfId="0" applyAlignment="1" applyFont="1">
      <alignment horizontal="left" readingOrder="0"/>
    </xf>
    <xf borderId="0" fillId="2" fontId="16" numFmtId="0" xfId="0" applyAlignment="1" applyFont="1">
      <alignment horizontal="left" readingOrder="0"/>
    </xf>
    <xf borderId="0" fillId="5" fontId="23" numFmtId="0" xfId="0" applyAlignment="1" applyFont="1">
      <alignment horizontal="left" readingOrder="0"/>
    </xf>
    <xf borderId="0" fillId="5" fontId="16" numFmtId="0" xfId="0" applyAlignment="1" applyFont="1">
      <alignment horizontal="left" readingOrder="0"/>
    </xf>
    <xf borderId="0" fillId="0" fontId="125" numFmtId="0" xfId="0" applyAlignment="1" applyFont="1">
      <alignment horizontal="left" readingOrder="0"/>
    </xf>
    <xf borderId="0" fillId="10" fontId="31" numFmtId="0" xfId="0" applyAlignment="1" applyFont="1">
      <alignment horizontal="left" readingOrder="0"/>
    </xf>
    <xf borderId="0" fillId="10" fontId="126" numFmtId="0" xfId="0" applyAlignment="1" applyFont="1">
      <alignment readingOrder="0"/>
    </xf>
    <xf borderId="0" fillId="10" fontId="3" numFmtId="0" xfId="0" applyFont="1"/>
    <xf borderId="0" fillId="10" fontId="3" numFmtId="0" xfId="0" applyAlignment="1" applyFont="1">
      <alignment readingOrder="0"/>
    </xf>
    <xf borderId="0" fillId="5" fontId="127" numFmtId="0" xfId="0" applyAlignment="1" applyFont="1">
      <alignment readingOrder="0"/>
    </xf>
    <xf borderId="0" fillId="0" fontId="32" numFmtId="0" xfId="0" applyAlignment="1" applyFont="1">
      <alignment readingOrder="0" shrinkToFit="0" wrapText="0"/>
    </xf>
    <xf borderId="0" fillId="0" fontId="15" numFmtId="0" xfId="0" applyAlignment="1" applyFont="1">
      <alignment shrinkToFit="0" wrapText="0"/>
    </xf>
    <xf borderId="0" fillId="2" fontId="32" numFmtId="0" xfId="0" applyAlignment="1" applyFont="1">
      <alignment readingOrder="0" shrinkToFit="0" wrapText="0"/>
    </xf>
    <xf borderId="0" fillId="0" fontId="128" numFmtId="0" xfId="0" applyAlignment="1" applyFont="1">
      <alignment horizontal="left" readingOrder="0"/>
    </xf>
    <xf borderId="0" fillId="0" fontId="129" numFmtId="0" xfId="0" applyFont="1"/>
    <xf borderId="0" fillId="2" fontId="16" numFmtId="0" xfId="0" applyAlignment="1" applyFont="1">
      <alignment horizontal="center" readingOrder="0"/>
    </xf>
    <xf borderId="0" fillId="2" fontId="23" numFmtId="0" xfId="0" applyAlignment="1" applyFont="1">
      <alignment horizontal="left" readingOrder="0"/>
    </xf>
    <xf borderId="0" fillId="2" fontId="37" numFmtId="0" xfId="0" applyAlignment="1" applyFont="1">
      <alignment horizontal="center" readingOrder="0"/>
    </xf>
    <xf borderId="0" fillId="10" fontId="16" numFmtId="0" xfId="0" applyAlignment="1" applyFont="1">
      <alignment horizontal="center" readingOrder="0"/>
    </xf>
    <xf borderId="0" fillId="6" fontId="28" numFmtId="0" xfId="0" applyAlignment="1" applyFont="1">
      <alignment readingOrder="0"/>
    </xf>
    <xf borderId="0" fillId="5" fontId="14" numFmtId="0" xfId="0" applyAlignment="1" applyFont="1">
      <alignment horizontal="left" readingOrder="0"/>
    </xf>
    <xf borderId="0" fillId="5" fontId="130" numFmtId="0" xfId="0" applyAlignment="1" applyFont="1">
      <alignment horizontal="left" readingOrder="0"/>
    </xf>
    <xf borderId="0" fillId="5" fontId="24" numFmtId="0" xfId="0" applyAlignment="1" applyFont="1">
      <alignment readingOrder="0"/>
    </xf>
    <xf borderId="0" fillId="5" fontId="19" numFmtId="0" xfId="0" applyAlignment="1" applyFont="1">
      <alignment readingOrder="0"/>
    </xf>
    <xf borderId="0" fillId="11" fontId="24" numFmtId="0" xfId="0" applyAlignment="1" applyFill="1" applyFont="1">
      <alignment readingOrder="0"/>
    </xf>
    <xf borderId="0" fillId="11" fontId="32" numFmtId="0" xfId="0" applyAlignment="1" applyFont="1">
      <alignment horizontal="left" readingOrder="0" shrinkToFit="0" wrapText="0"/>
    </xf>
    <xf borderId="0" fillId="11" fontId="24" numFmtId="0" xfId="0" applyAlignment="1" applyFont="1">
      <alignment horizontal="left" readingOrder="0"/>
    </xf>
    <xf borderId="0" fillId="11" fontId="131" numFmtId="0" xfId="0" applyAlignment="1" applyFont="1">
      <alignment readingOrder="0"/>
    </xf>
    <xf borderId="0" fillId="11" fontId="3" numFmtId="0" xfId="0" applyFont="1"/>
    <xf borderId="0" fillId="11" fontId="3" numFmtId="0" xfId="0" applyAlignment="1" applyFont="1">
      <alignment readingOrder="0"/>
    </xf>
    <xf borderId="0" fillId="5" fontId="24" numFmtId="0" xfId="0" applyAlignment="1" applyFont="1">
      <alignment horizontal="left" readingOrder="0" shrinkToFit="0" wrapText="0"/>
    </xf>
    <xf borderId="0" fillId="5" fontId="132" numFmtId="0" xfId="0" applyAlignment="1" applyFont="1">
      <alignment readingOrder="0" shrinkToFit="0" wrapText="0"/>
    </xf>
    <xf borderId="0" fillId="5" fontId="35" numFmtId="0" xfId="0" applyAlignment="1" applyFont="1">
      <alignment readingOrder="0" shrinkToFit="0" wrapText="0"/>
    </xf>
    <xf borderId="0" fillId="5" fontId="133" numFmtId="0" xfId="0" applyAlignment="1" applyFont="1">
      <alignment readingOrder="0"/>
    </xf>
    <xf borderId="0" fillId="10" fontId="24" numFmtId="0" xfId="0" applyAlignment="1" applyFont="1">
      <alignment readingOrder="0"/>
    </xf>
    <xf borderId="0" fillId="10" fontId="32" numFmtId="0" xfId="0" applyAlignment="1" applyFont="1">
      <alignment horizontal="left" readingOrder="0" shrinkToFit="0" wrapText="0"/>
    </xf>
    <xf borderId="0" fillId="10" fontId="24" numFmtId="0" xfId="0" applyAlignment="1" applyFont="1">
      <alignment horizontal="left" readingOrder="0"/>
    </xf>
    <xf borderId="0" fillId="5" fontId="32" numFmtId="0" xfId="0" applyAlignment="1" applyFont="1">
      <alignment readingOrder="0" shrinkToFit="0" wrapText="0"/>
    </xf>
    <xf borderId="0" fillId="5" fontId="30" numFmtId="0" xfId="0" applyAlignment="1" applyFont="1">
      <alignment readingOrder="0"/>
    </xf>
    <xf borderId="0" fillId="5" fontId="32" numFmtId="0" xfId="0" applyAlignment="1" applyFont="1">
      <alignment readingOrder="0" shrinkToFit="0" wrapText="0"/>
    </xf>
    <xf borderId="0" fillId="5" fontId="30" numFmtId="0" xfId="0" applyFont="1"/>
    <xf borderId="0" fillId="5" fontId="15" numFmtId="0" xfId="0" applyAlignment="1" applyFont="1">
      <alignment shrinkToFit="0" wrapText="0"/>
    </xf>
    <xf borderId="0" fillId="5" fontId="30" numFmtId="0" xfId="0" applyAlignment="1" applyFont="1">
      <alignment horizontal="left"/>
    </xf>
    <xf borderId="0" fillId="5" fontId="0" numFmtId="0" xfId="0" applyAlignment="1" applyFont="1">
      <alignment horizontal="left"/>
    </xf>
    <xf borderId="0" fillId="5" fontId="14" numFmtId="0" xfId="0" applyAlignment="1" applyFont="1">
      <alignment readingOrder="0"/>
    </xf>
    <xf borderId="0" fillId="5" fontId="24" numFmtId="0" xfId="0" applyAlignment="1" applyFont="1">
      <alignment readingOrder="0" shrinkToFit="0" wrapText="0"/>
    </xf>
    <xf borderId="0" fillId="5" fontId="24" numFmtId="0" xfId="0" applyAlignment="1" applyFont="1">
      <alignment shrinkToFit="0" wrapText="0"/>
    </xf>
    <xf borderId="0" fillId="5" fontId="124" numFmtId="0" xfId="0" applyAlignment="1" applyFont="1">
      <alignment horizontal="center" readingOrder="0"/>
    </xf>
    <xf borderId="0" fillId="5" fontId="125" numFmtId="0" xfId="0" applyAlignment="1" applyFont="1">
      <alignment horizontal="center" readingOrder="0"/>
    </xf>
    <xf borderId="0" fillId="5" fontId="125" numFmtId="0" xfId="0" applyAlignment="1" applyFont="1">
      <alignment horizontal="left"/>
    </xf>
    <xf borderId="0" fillId="5" fontId="15" numFmtId="0" xfId="0" applyAlignment="1" applyFont="1">
      <alignment readingOrder="0"/>
    </xf>
    <xf borderId="0" fillId="11" fontId="30" numFmtId="0" xfId="0" applyAlignment="1" applyFont="1">
      <alignment readingOrder="0"/>
    </xf>
    <xf borderId="0" fillId="11" fontId="134" numFmtId="0" xfId="0" applyAlignment="1" applyFont="1">
      <alignment readingOrder="0"/>
    </xf>
    <xf borderId="0" fillId="11" fontId="30" numFmtId="0" xfId="0" applyAlignment="1" applyFont="1">
      <alignment horizontal="left" readingOrder="0"/>
    </xf>
    <xf borderId="0" fillId="5" fontId="134" numFmtId="0" xfId="0" applyAlignment="1" applyFont="1">
      <alignment readingOrder="0"/>
    </xf>
    <xf borderId="0" fillId="5" fontId="134" numFmtId="0" xfId="0" applyAlignment="1" applyFont="1">
      <alignment horizontal="left" readingOrder="0"/>
    </xf>
    <xf borderId="0" fillId="10" fontId="30" numFmtId="0" xfId="0" applyAlignment="1" applyFont="1">
      <alignment readingOrder="0"/>
    </xf>
    <xf borderId="0" fillId="10" fontId="134" numFmtId="0" xfId="0" applyAlignment="1" applyFont="1">
      <alignment readingOrder="0"/>
    </xf>
    <xf borderId="0" fillId="10" fontId="14" numFmtId="0" xfId="0" applyAlignment="1" applyFont="1">
      <alignment readingOrder="0"/>
    </xf>
    <xf borderId="0" fillId="5" fontId="31" numFmtId="0" xfId="0" applyAlignment="1" applyFont="1">
      <alignment readingOrder="0"/>
    </xf>
    <xf borderId="0" fillId="10" fontId="19" numFmtId="0" xfId="0" applyAlignment="1" applyFont="1">
      <alignment readingOrder="0"/>
    </xf>
    <xf borderId="0" fillId="6" fontId="30" numFmtId="0" xfId="0" applyAlignment="1" applyFont="1">
      <alignment readingOrder="0"/>
    </xf>
    <xf borderId="0" fillId="6" fontId="31" numFmtId="0" xfId="0" applyAlignment="1" applyFont="1">
      <alignment readingOrder="0"/>
    </xf>
    <xf borderId="0" fillId="6" fontId="30" numFmtId="0" xfId="0" applyAlignment="1" applyFont="1">
      <alignment horizontal="left" readingOrder="0"/>
    </xf>
    <xf borderId="0" fillId="10" fontId="135" numFmtId="0" xfId="0" applyAlignment="1" applyFont="1">
      <alignment readingOrder="0"/>
    </xf>
    <xf borderId="0" fillId="0" fontId="136" numFmtId="0" xfId="0" applyAlignment="1" applyFont="1">
      <alignment readingOrder="0"/>
    </xf>
    <xf borderId="0" fillId="0" fontId="3" numFmtId="0" xfId="0" applyAlignment="1" applyFont="1">
      <alignment readingOrder="0"/>
    </xf>
    <xf borderId="0" fillId="10" fontId="14" numFmtId="0" xfId="0" applyAlignment="1" applyFont="1">
      <alignment readingOrder="0"/>
    </xf>
    <xf borderId="0" fillId="10" fontId="0" numFmtId="0" xfId="0" applyAlignment="1" applyFont="1">
      <alignment horizontal="left" readingOrder="0"/>
    </xf>
    <xf borderId="0" fillId="10" fontId="31" numFmtId="0" xfId="0" applyAlignment="1" applyFont="1">
      <alignment readingOrder="0"/>
    </xf>
    <xf borderId="0" fillId="7" fontId="0" numFmtId="0" xfId="0" applyAlignment="1" applyFont="1">
      <alignment readingOrder="0"/>
    </xf>
    <xf borderId="0" fillId="2" fontId="15" numFmtId="0" xfId="0" applyAlignment="1" applyFont="1">
      <alignment readingOrder="0"/>
    </xf>
    <xf borderId="0" fillId="0" fontId="137" numFmtId="0" xfId="0" applyAlignment="1" applyFont="1">
      <alignment readingOrder="0"/>
    </xf>
    <xf borderId="0" fillId="2" fontId="0" numFmtId="0" xfId="0" applyAlignment="1" applyFont="1">
      <alignment readingOrder="0"/>
    </xf>
    <xf borderId="0" fillId="5" fontId="138" numFmtId="0" xfId="0" applyAlignment="1" applyFont="1">
      <alignment readingOrder="0"/>
    </xf>
    <xf borderId="0" fillId="5" fontId="139" numFmtId="0" xfId="0" applyAlignment="1" applyFont="1">
      <alignment readingOrder="0"/>
    </xf>
    <xf borderId="0" fillId="0" fontId="139" numFmtId="0" xfId="0" applyAlignment="1" applyFont="1">
      <alignment readingOrder="0"/>
    </xf>
    <xf borderId="0" fillId="0" fontId="140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41" numFmtId="0" xfId="0" applyAlignment="1" applyFont="1">
      <alignment readingOrder="0"/>
    </xf>
    <xf borderId="0" fillId="0" fontId="142" numFmtId="0" xfId="0" applyAlignment="1" applyFont="1">
      <alignment readingOrder="0"/>
    </xf>
    <xf borderId="0" fillId="0" fontId="143" numFmtId="0" xfId="0" applyAlignment="1" applyFont="1">
      <alignment readingOrder="0"/>
    </xf>
    <xf borderId="0" fillId="2" fontId="144" numFmtId="0" xfId="0" applyFont="1"/>
    <xf borderId="0" fillId="0" fontId="35" numFmtId="0" xfId="0" applyFont="1"/>
    <xf borderId="0" fillId="0" fontId="35" numFmtId="0" xfId="0" applyFont="1"/>
    <xf borderId="0" fillId="2" fontId="145" numFmtId="0" xfId="0" applyAlignment="1" applyFont="1">
      <alignment readingOrder="0"/>
    </xf>
    <xf borderId="0" fillId="0" fontId="146" numFmtId="0" xfId="0" applyAlignment="1" applyFont="1">
      <alignment readingOrder="0"/>
    </xf>
    <xf borderId="0" fillId="0" fontId="147" numFmtId="0" xfId="0" applyAlignment="1" applyFont="1">
      <alignment readingOrder="0" vertical="bottom"/>
    </xf>
    <xf borderId="0" fillId="0" fontId="0" numFmtId="0" xfId="0" applyAlignment="1" applyFont="1">
      <alignment readingOrder="0"/>
    </xf>
    <xf borderId="0" fillId="0" fontId="140" numFmtId="0" xfId="0" applyFont="1"/>
    <xf borderId="0" fillId="2" fontId="2" numFmtId="0" xfId="0" applyAlignment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center" readingOrder="0" vertical="bottom"/>
    </xf>
    <xf borderId="0" fillId="0" fontId="140" numFmtId="0" xfId="0" applyAlignment="1" applyFont="1">
      <alignment readingOrder="0" vertical="bottom"/>
    </xf>
    <xf borderId="0" fillId="0" fontId="140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5" fontId="132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10" fontId="148" numFmtId="0" xfId="0" applyAlignment="1" applyFont="1">
      <alignment readingOrder="0"/>
    </xf>
    <xf borderId="0" fillId="7" fontId="2" numFmtId="0" xfId="0" applyAlignment="1" applyFont="1">
      <alignment vertical="bottom"/>
    </xf>
    <xf borderId="0" fillId="5" fontId="111" numFmtId="0" xfId="0" applyAlignment="1" applyFont="1">
      <alignment readingOrder="0" shrinkToFit="0" wrapText="0"/>
    </xf>
    <xf borderId="0" fillId="5" fontId="68" numFmtId="0" xfId="0" applyAlignment="1" applyFont="1">
      <alignment readingOrder="0"/>
    </xf>
    <xf borderId="0" fillId="5" fontId="35" numFmtId="0" xfId="0" applyAlignment="1" applyFont="1">
      <alignment readingOrder="0"/>
    </xf>
    <xf borderId="0" fillId="5" fontId="149" numFmtId="0" xfId="0" applyAlignment="1" applyFont="1">
      <alignment readingOrder="0"/>
    </xf>
    <xf borderId="0" fillId="0" fontId="30" numFmtId="0" xfId="0" applyAlignment="1" applyFont="1">
      <alignment horizontal="left" readingOrder="0"/>
    </xf>
    <xf borderId="0" fillId="2" fontId="150" numFmtId="0" xfId="0" applyAlignment="1" applyFont="1">
      <alignment readingOrder="0"/>
    </xf>
    <xf borderId="0" fillId="5" fontId="68" numFmtId="0" xfId="0" applyFont="1"/>
    <xf borderId="0" fillId="2" fontId="151" numFmtId="0" xfId="0" applyAlignment="1" applyFont="1">
      <alignment horizontal="left" readingOrder="0"/>
    </xf>
    <xf borderId="0" fillId="5" fontId="39" numFmtId="0" xfId="0" applyAlignment="1" applyFont="1">
      <alignment horizontal="center" readingOrder="0"/>
    </xf>
    <xf borderId="0" fillId="5" fontId="152" numFmtId="0" xfId="0" applyAlignment="1" applyFont="1">
      <alignment horizontal="center" readingOrder="0"/>
    </xf>
    <xf borderId="0" fillId="5" fontId="150" numFmtId="0" xfId="0" applyAlignment="1" applyFont="1">
      <alignment horizontal="left" readingOrder="0"/>
    </xf>
    <xf borderId="0" fillId="5" fontId="153" numFmtId="0" xfId="0" applyAlignment="1" applyFont="1">
      <alignment readingOrder="0"/>
    </xf>
    <xf borderId="0" fillId="2" fontId="150" numFmtId="0" xfId="0" applyAlignment="1" applyFont="1">
      <alignment horizontal="left" readingOrder="0"/>
    </xf>
    <xf borderId="0" fillId="5" fontId="132" numFmtId="0" xfId="0" applyAlignment="1" applyFont="1">
      <alignment horizontal="left" readingOrder="0" shrinkToFit="0" wrapText="0"/>
    </xf>
    <xf borderId="0" fillId="5" fontId="154" numFmtId="0" xfId="0" applyAlignment="1" applyFont="1">
      <alignment horizontal="left" readingOrder="0"/>
    </xf>
    <xf borderId="0" fillId="5" fontId="40" numFmtId="0" xfId="0" applyAlignment="1" applyFont="1">
      <alignment horizontal="center" readingOrder="0"/>
    </xf>
    <xf borderId="0" fillId="5" fontId="155" numFmtId="0" xfId="0" applyAlignment="1" applyFont="1">
      <alignment horizontal="left" readingOrder="0"/>
    </xf>
    <xf borderId="0" fillId="5" fontId="39" numFmtId="0" xfId="0" applyAlignment="1" applyFont="1">
      <alignment horizontal="left" readingOrder="0"/>
    </xf>
    <xf borderId="0" fillId="5" fontId="111" numFmtId="0" xfId="0" applyAlignment="1" applyFont="1">
      <alignment horizontal="left" readingOrder="0" shrinkToFit="0" wrapText="0"/>
    </xf>
    <xf borderId="0" fillId="5" fontId="153" numFmtId="0" xfId="0" applyAlignment="1" applyFont="1">
      <alignment horizontal="left" readingOrder="0"/>
    </xf>
    <xf borderId="0" fillId="5" fontId="68" numFmtId="0" xfId="0" applyAlignment="1" applyFont="1">
      <alignment horizontal="left"/>
    </xf>
    <xf borderId="0" fillId="5" fontId="68" numFmtId="0" xfId="0" applyAlignment="1" applyFont="1">
      <alignment horizontal="left" readingOrder="0"/>
    </xf>
    <xf borderId="0" fillId="7" fontId="68" numFmtId="0" xfId="0" applyAlignment="1" applyFont="1">
      <alignment horizontal="left" readingOrder="0"/>
    </xf>
    <xf borderId="0" fillId="5" fontId="156" numFmtId="0" xfId="0" applyAlignment="1" applyFont="1">
      <alignment readingOrder="0"/>
    </xf>
    <xf borderId="0" fillId="5" fontId="157" numFmtId="0" xfId="0" applyAlignment="1" applyFont="1">
      <alignment horizontal="left" readingOrder="0" shrinkToFit="0" wrapText="0"/>
    </xf>
    <xf borderId="0" fillId="5" fontId="157" numFmtId="0" xfId="0" applyAlignment="1" applyFont="1">
      <alignment readingOrder="0" shrinkToFit="0" wrapText="0"/>
    </xf>
    <xf borderId="0" fillId="5" fontId="158" numFmtId="0" xfId="0" applyAlignment="1" applyFont="1">
      <alignment horizontal="left" readingOrder="0"/>
    </xf>
    <xf borderId="0" fillId="5" fontId="159" numFmtId="0" xfId="0" applyAlignment="1" applyFont="1">
      <alignment readingOrder="0"/>
    </xf>
    <xf borderId="0" fillId="5" fontId="107" numFmtId="0" xfId="0" applyAlignment="1" applyFont="1">
      <alignment horizontal="center" readingOrder="0"/>
    </xf>
    <xf borderId="0" fillId="5" fontId="120" numFmtId="0" xfId="0" applyAlignment="1" applyFont="1">
      <alignment readingOrder="0" shrinkToFit="0" wrapText="0"/>
    </xf>
    <xf borderId="0" fillId="5" fontId="159" numFmtId="0" xfId="0" applyAlignment="1" applyFont="1">
      <alignment readingOrder="0" shrinkToFit="0" wrapText="0"/>
    </xf>
    <xf borderId="0" fillId="5" fontId="154" numFmtId="0" xfId="0" applyAlignment="1" applyFont="1">
      <alignment readingOrder="0"/>
    </xf>
    <xf borderId="0" fillId="5" fontId="150" numFmtId="0" xfId="0" applyAlignment="1" applyFont="1">
      <alignment readingOrder="0"/>
    </xf>
    <xf borderId="0" fillId="5" fontId="160" numFmtId="0" xfId="0" applyAlignment="1" applyFont="1">
      <alignment readingOrder="0"/>
    </xf>
    <xf borderId="0" fillId="5" fontId="161" numFmtId="0" xfId="0" applyAlignment="1" applyFont="1">
      <alignment readingOrder="0"/>
    </xf>
    <xf borderId="0" fillId="5" fontId="162" numFmtId="0" xfId="0" applyAlignment="1" applyFont="1">
      <alignment readingOrder="0" shrinkToFit="0" wrapText="0"/>
    </xf>
    <xf borderId="0" fillId="2" fontId="163" numFmtId="0" xfId="0" applyAlignment="1" applyFont="1">
      <alignment horizontal="left" readingOrder="0"/>
    </xf>
    <xf borderId="0" fillId="5" fontId="164" numFmtId="0" xfId="0" applyAlignment="1" applyFont="1">
      <alignment readingOrder="0"/>
    </xf>
    <xf borderId="0" fillId="5" fontId="165" numFmtId="0" xfId="0" applyAlignment="1" applyFont="1">
      <alignment readingOrder="0"/>
    </xf>
    <xf borderId="0" fillId="5" fontId="149" numFmtId="0" xfId="0" applyAlignment="1" applyFont="1">
      <alignment horizontal="left" readingOrder="0"/>
    </xf>
    <xf borderId="0" fillId="10" fontId="149" numFmtId="0" xfId="0" applyAlignment="1" applyFont="1">
      <alignment horizontal="left" readingOrder="0"/>
    </xf>
    <xf borderId="0" fillId="10" fontId="166" numFmtId="0" xfId="0" applyAlignment="1" applyFont="1">
      <alignment horizontal="left" readingOrder="0"/>
    </xf>
    <xf borderId="0" fillId="10" fontId="3" numFmtId="0" xfId="0" applyAlignment="1" applyFont="1">
      <alignment horizontal="left"/>
    </xf>
    <xf borderId="0" fillId="10" fontId="3" numFmtId="0" xfId="0" applyAlignment="1" applyFont="1">
      <alignment horizontal="left" readingOrder="0"/>
    </xf>
    <xf borderId="0" fillId="3" fontId="85" numFmtId="0" xfId="0" applyAlignment="1" applyFont="1">
      <alignment horizontal="center" readingOrder="0" shrinkToFit="0" wrapText="1"/>
    </xf>
    <xf borderId="0" fillId="3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5" fontId="55" numFmtId="0" xfId="0" applyAlignment="1" applyFont="1">
      <alignment horizontal="center" readingOrder="0" shrinkToFit="0" vertical="bottom" wrapText="1"/>
    </xf>
    <xf borderId="0" fillId="5" fontId="2" numFmtId="0" xfId="0" applyAlignment="1" applyFont="1">
      <alignment horizontal="center" shrinkToFit="0" vertical="bottom" wrapText="1"/>
    </xf>
    <xf borderId="0" fillId="0" fontId="55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167" numFmtId="0" xfId="0" applyAlignment="1" applyFont="1">
      <alignment readingOrder="0" shrinkToFit="0" wrapText="1"/>
    </xf>
    <xf borderId="0" fillId="5" fontId="168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vertical="bottom" wrapText="1"/>
    </xf>
    <xf borderId="0" fillId="10" fontId="154" numFmtId="0" xfId="0" applyAlignment="1" applyFont="1">
      <alignment readingOrder="0"/>
    </xf>
    <xf borderId="0" fillId="0" fontId="169" numFmtId="0" xfId="0" applyAlignment="1" applyFont="1">
      <alignment vertical="bottom"/>
    </xf>
    <xf borderId="0" fillId="5" fontId="169" numFmtId="0" xfId="0" applyAlignment="1" applyFont="1">
      <alignment vertical="bottom"/>
    </xf>
    <xf borderId="0" fillId="0" fontId="170" numFmtId="0" xfId="0" applyAlignment="1" applyFont="1">
      <alignment readingOrder="0" shrinkToFit="0" wrapText="1"/>
    </xf>
    <xf borderId="0" fillId="0" fontId="169" numFmtId="0" xfId="0" applyAlignment="1" applyFont="1">
      <alignment readingOrder="0" vertical="bottom"/>
    </xf>
    <xf borderId="0" fillId="3" fontId="169" numFmtId="0" xfId="0" applyAlignment="1" applyFont="1">
      <alignment vertical="bottom"/>
    </xf>
    <xf borderId="0" fillId="3" fontId="169" numFmtId="0" xfId="0" applyAlignment="1" applyFont="1">
      <alignment readingOrder="0" vertical="bottom"/>
    </xf>
    <xf borderId="0" fillId="2" fontId="132" numFmtId="0" xfId="0" applyAlignment="1" applyFont="1">
      <alignment readingOrder="0" shrinkToFit="0" wrapText="0"/>
    </xf>
    <xf borderId="0" fillId="0" fontId="55" numFmtId="0" xfId="0" applyAlignment="1" applyFont="1">
      <alignment horizontal="center" shrinkToFit="0" vertical="bottom" wrapText="1"/>
    </xf>
    <xf borderId="0" fillId="5" fontId="169" numFmtId="0" xfId="0" applyAlignment="1" applyFont="1">
      <alignment readingOrder="0" vertical="bottom"/>
    </xf>
    <xf borderId="0" fillId="0" fontId="0" numFmtId="0" xfId="0" applyAlignment="1" applyFont="1">
      <alignment horizontal="left" readingOrder="0"/>
    </xf>
    <xf borderId="0" fillId="2" fontId="169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171" numFmtId="0" xfId="0" applyAlignment="1" applyFont="1">
      <alignment readingOrder="0"/>
    </xf>
    <xf borderId="0" fillId="2" fontId="149" numFmtId="0" xfId="0" applyAlignment="1" applyFont="1">
      <alignment readingOrder="0"/>
    </xf>
    <xf borderId="0" fillId="0" fontId="55" numFmtId="0" xfId="0" applyAlignment="1" applyFont="1">
      <alignment horizontal="left" shrinkToFit="0" vertical="bottom" wrapText="1"/>
    </xf>
    <xf borderId="0" fillId="2" fontId="172" numFmtId="0" xfId="0" applyAlignment="1" applyFont="1">
      <alignment readingOrder="0"/>
    </xf>
    <xf borderId="0" fillId="5" fontId="173" numFmtId="0" xfId="0" applyAlignment="1" applyFont="1">
      <alignment readingOrder="0" shrinkToFit="0" wrapText="0"/>
    </xf>
    <xf borderId="0" fillId="0" fontId="174" numFmtId="0" xfId="0" applyAlignment="1" applyFont="1">
      <alignment readingOrder="0"/>
    </xf>
    <xf borderId="0" fillId="3" fontId="175" numFmtId="0" xfId="0" applyAlignment="1" applyFont="1">
      <alignment readingOrder="0"/>
    </xf>
    <xf borderId="0" fillId="0" fontId="132" numFmtId="0" xfId="0" applyAlignment="1" applyFont="1">
      <alignment readingOrder="0" shrinkToFit="0" wrapText="0"/>
    </xf>
    <xf borderId="0" fillId="2" fontId="176" numFmtId="0" xfId="0" applyAlignment="1" applyFont="1">
      <alignment readingOrder="0"/>
    </xf>
    <xf borderId="0" fillId="2" fontId="177" numFmtId="0" xfId="0" applyAlignment="1" applyFont="1">
      <alignment readingOrder="0"/>
    </xf>
    <xf borderId="0" fillId="2" fontId="160" numFmtId="0" xfId="0" applyAlignment="1" applyFont="1">
      <alignment readingOrder="0"/>
    </xf>
    <xf borderId="0" fillId="5" fontId="2" numFmtId="0" xfId="0" applyAlignment="1" applyFont="1">
      <alignment vertical="bottom"/>
    </xf>
    <xf borderId="0" fillId="2" fontId="134" numFmtId="0" xfId="0" applyAlignment="1" applyFont="1">
      <alignment horizontal="left" readingOrder="0"/>
    </xf>
    <xf borderId="0" fillId="2" fontId="4" numFmtId="0" xfId="0" applyAlignment="1" applyFont="1">
      <alignment horizontal="left" vertical="bottom"/>
    </xf>
    <xf borderId="0" fillId="2" fontId="42" numFmtId="0" xfId="0" applyAlignment="1" applyFont="1">
      <alignment horizontal="left" vertical="bottom"/>
    </xf>
    <xf borderId="0" fillId="2" fontId="41" numFmtId="0" xfId="0" applyAlignment="1" applyFont="1">
      <alignment horizontal="left" shrinkToFit="0" vertical="bottom" wrapText="0"/>
    </xf>
    <xf borderId="0" fillId="2" fontId="178" numFmtId="0" xfId="0" applyAlignment="1" applyFont="1">
      <alignment horizontal="left" vertical="bottom"/>
    </xf>
    <xf borderId="0" fillId="2" fontId="2" numFmtId="0" xfId="0" applyAlignment="1" applyFont="1">
      <alignment horizontal="left" vertical="bottom"/>
    </xf>
    <xf borderId="0" fillId="2" fontId="41" numFmtId="0" xfId="0" applyAlignment="1" applyFont="1">
      <alignment horizontal="left" vertical="bottom"/>
    </xf>
    <xf borderId="0" fillId="2" fontId="132" numFmtId="0" xfId="0" applyAlignment="1" applyFont="1">
      <alignment horizontal="left" vertical="bottom"/>
    </xf>
    <xf borderId="0" fillId="0" fontId="30" numFmtId="0" xfId="0" applyAlignment="1" applyFont="1">
      <alignment readingOrder="0"/>
    </xf>
    <xf borderId="0" fillId="2" fontId="60" numFmtId="0" xfId="0" applyAlignment="1" applyFont="1">
      <alignment horizontal="center" readingOrder="0" shrinkToFit="0" vertical="bottom" wrapText="1"/>
    </xf>
    <xf borderId="0" fillId="2" fontId="19" numFmtId="0" xfId="0" applyAlignment="1" applyFont="1">
      <alignment readingOrder="0"/>
    </xf>
    <xf borderId="0" fillId="2" fontId="60" numFmtId="0" xfId="0" applyAlignment="1" applyFont="1">
      <alignment horizontal="center" shrinkToFit="0" vertical="bottom" wrapText="1"/>
    </xf>
    <xf borderId="0" fillId="0" fontId="31" numFmtId="0" xfId="0" applyAlignment="1" applyFont="1">
      <alignment readingOrder="0"/>
    </xf>
    <xf borderId="0" fillId="2" fontId="134" numFmtId="0" xfId="0" applyAlignment="1" applyFont="1">
      <alignment readingOrder="0"/>
    </xf>
    <xf borderId="0" fillId="0" fontId="24" numFmtId="0" xfId="0" applyAlignment="1" applyFont="1">
      <alignment readingOrder="0" shrinkToFit="0" wrapText="0"/>
    </xf>
    <xf borderId="0" fillId="0" fontId="30" numFmtId="0" xfId="0" applyAlignment="1" applyFont="1">
      <alignment horizontal="left"/>
    </xf>
    <xf borderId="0" fillId="0" fontId="0" numFmtId="0" xfId="0" applyAlignment="1" applyFont="1">
      <alignment horizontal="left"/>
    </xf>
    <xf borderId="0" fillId="2" fontId="28" numFmtId="0" xfId="0" applyAlignment="1" applyFont="1">
      <alignment vertical="bottom"/>
    </xf>
    <xf borderId="0" fillId="2" fontId="29" numFmtId="0" xfId="0" applyAlignment="1" applyFont="1">
      <alignment vertical="bottom"/>
    </xf>
    <xf borderId="0" fillId="2" fontId="179" numFmtId="0" xfId="0" applyAlignment="1" applyFont="1">
      <alignment vertical="bottom"/>
    </xf>
    <xf borderId="0" fillId="2" fontId="78" numFmtId="0" xfId="0" applyAlignment="1" applyFont="1">
      <alignment horizontal="right" vertical="bottom"/>
    </xf>
    <xf borderId="0" fillId="0" fontId="3" numFmtId="0" xfId="0" applyFont="1"/>
    <xf borderId="0" fillId="2" fontId="55" numFmtId="0" xfId="0" applyAlignment="1" applyFont="1">
      <alignment vertical="bottom"/>
    </xf>
    <xf borderId="0" fillId="2" fontId="153" numFmtId="0" xfId="0" applyAlignment="1" applyFont="1">
      <alignment vertical="bottom"/>
    </xf>
    <xf borderId="0" fillId="2" fontId="180" numFmtId="0" xfId="0" applyAlignment="1" applyFont="1">
      <alignment vertical="bottom"/>
    </xf>
    <xf borderId="0" fillId="0" fontId="181" numFmtId="0" xfId="0" applyAlignment="1" applyFont="1">
      <alignment readingOrder="0" shrinkToFit="0" vertical="bottom" wrapText="1"/>
    </xf>
    <xf borderId="0" fillId="0" fontId="55" numFmtId="0" xfId="0" applyAlignment="1" applyFont="1">
      <alignment horizontal="center" readingOrder="0" shrinkToFit="0" vertical="bottom" wrapText="1"/>
    </xf>
    <xf borderId="0" fillId="2" fontId="64" numFmtId="0" xfId="0" applyAlignment="1" applyFont="1">
      <alignment readingOrder="0"/>
    </xf>
    <xf borderId="0" fillId="5" fontId="2" numFmtId="0" xfId="0" applyAlignment="1" applyFont="1">
      <alignment readingOrder="0" vertical="bottom"/>
    </xf>
    <xf borderId="0" fillId="0" fontId="182" numFmtId="0" xfId="0" applyAlignment="1" applyFont="1">
      <alignment readingOrder="0"/>
    </xf>
    <xf borderId="0" fillId="0" fontId="182" numFmtId="0" xfId="0" applyFont="1"/>
    <xf borderId="0" fillId="5" fontId="183" numFmtId="0" xfId="0" applyAlignment="1" applyFont="1">
      <alignment readingOrder="0"/>
    </xf>
    <xf borderId="0" fillId="5" fontId="183" numFmtId="0" xfId="0" applyFont="1"/>
    <xf borderId="0" fillId="2" fontId="136" numFmtId="0" xfId="0" applyAlignment="1" applyFont="1">
      <alignment horizontal="center" readingOrder="0" shrinkToFit="0" wrapText="1"/>
    </xf>
    <xf borderId="0" fillId="0" fontId="183" numFmtId="0" xfId="0" applyAlignment="1" applyFont="1">
      <alignment readingOrder="0"/>
    </xf>
    <xf borderId="0" fillId="0" fontId="183" numFmtId="0" xfId="0" applyFont="1"/>
    <xf borderId="0" fillId="0" fontId="3" numFmtId="0" xfId="0" applyAlignment="1" applyFont="1">
      <alignment horizontal="center" readingOrder="0" shrinkToFit="0" wrapText="1"/>
    </xf>
    <xf borderId="0" fillId="2" fontId="184" numFmtId="0" xfId="0" applyAlignment="1" applyFont="1">
      <alignment readingOrder="0"/>
    </xf>
    <xf borderId="0" fillId="2" fontId="183" numFmtId="0" xfId="0" applyAlignment="1" applyFont="1">
      <alignment readingOrder="0"/>
    </xf>
    <xf borderId="0" fillId="2" fontId="111" numFmtId="0" xfId="0" applyAlignment="1" applyFont="1">
      <alignment vertical="bottom"/>
    </xf>
    <xf borderId="0" fillId="5" fontId="85" numFmtId="0" xfId="0" applyAlignment="1" applyFont="1">
      <alignment horizontal="center" readingOrder="0" shrinkToFit="0" wrapText="1"/>
    </xf>
    <xf borderId="0" fillId="5" fontId="3" numFmtId="0" xfId="0" applyAlignment="1" applyFont="1">
      <alignment horizontal="center" shrinkToFit="0" wrapText="1"/>
    </xf>
    <xf borderId="0" fillId="5" fontId="3" numFmtId="0" xfId="0" applyAlignment="1" applyFont="1">
      <alignment horizontal="left" shrinkToFit="0" wrapText="1"/>
    </xf>
    <xf borderId="0" fillId="2" fontId="78" numFmtId="0" xfId="0" applyAlignment="1" applyFont="1">
      <alignment vertical="bottom"/>
    </xf>
    <xf borderId="0" fillId="7" fontId="78" numFmtId="0" xfId="0" applyAlignment="1" applyFont="1">
      <alignment horizontal="right" vertical="bottom"/>
    </xf>
    <xf borderId="0" fillId="0" fontId="3" numFmtId="0" xfId="0" applyAlignment="1" applyFont="1">
      <alignment horizontal="center" shrinkToFit="0" wrapText="1"/>
    </xf>
    <xf borderId="0" fillId="2" fontId="185" numFmtId="0" xfId="0" applyAlignment="1" applyFont="1">
      <alignment readingOrder="0"/>
    </xf>
    <xf borderId="0" fillId="2" fontId="19" numFmtId="0" xfId="0" applyAlignment="1" applyFont="1">
      <alignment readingOrder="0"/>
    </xf>
    <xf borderId="0" fillId="0" fontId="186" numFmtId="0" xfId="0" applyAlignment="1" applyFont="1">
      <alignment readingOrder="0"/>
    </xf>
    <xf borderId="0" fillId="2" fontId="187" numFmtId="0" xfId="0" applyAlignment="1" applyFont="1">
      <alignment readingOrder="0"/>
    </xf>
    <xf borderId="0" fillId="0" fontId="188" numFmtId="0" xfId="0" applyAlignment="1" applyFont="1">
      <alignment horizontal="center" readingOrder="0" shrinkToFit="0" vertical="bottom" wrapText="1"/>
    </xf>
    <xf borderId="0" fillId="5" fontId="189" numFmtId="0" xfId="0" applyAlignment="1" applyFont="1">
      <alignment readingOrder="0"/>
    </xf>
    <xf borderId="0" fillId="0" fontId="190" numFmtId="0" xfId="0" applyAlignment="1" applyFont="1">
      <alignment readingOrder="0"/>
    </xf>
    <xf borderId="0" fillId="2" fontId="35" numFmtId="0" xfId="0" applyFont="1"/>
    <xf borderId="0" fillId="7" fontId="191" numFmtId="0" xfId="0" applyAlignment="1" applyFont="1">
      <alignment readingOrder="0"/>
    </xf>
    <xf borderId="0" fillId="0" fontId="192" numFmtId="0" xfId="0" applyAlignment="1" applyFont="1">
      <alignment readingOrder="0"/>
    </xf>
    <xf borderId="0" fillId="0" fontId="193" numFmtId="0" xfId="0" applyAlignment="1" applyFont="1">
      <alignment vertical="bottom"/>
    </xf>
    <xf borderId="0" fillId="0" fontId="194" numFmtId="0" xfId="0" applyAlignment="1" applyFont="1">
      <alignment vertical="bottom"/>
    </xf>
    <xf borderId="0" fillId="2" fontId="183" numFmtId="0" xfId="0" applyAlignment="1" applyFont="1">
      <alignment vertical="bottom"/>
    </xf>
    <xf borderId="0" fillId="2" fontId="114" numFmtId="0" xfId="0" applyAlignment="1" applyFont="1">
      <alignment vertical="bottom"/>
    </xf>
    <xf borderId="0" fillId="0" fontId="195" numFmtId="0" xfId="0" applyAlignment="1" applyFont="1">
      <alignment horizontal="center" readingOrder="0" shrinkToFit="0" vertical="bottom" wrapText="1"/>
    </xf>
    <xf borderId="0" fillId="2" fontId="114" numFmtId="0" xfId="0" applyAlignment="1" applyFont="1">
      <alignment vertical="bottom"/>
    </xf>
    <xf borderId="0" fillId="0" fontId="196" numFmtId="0" xfId="0" applyAlignment="1" applyFont="1">
      <alignment horizontal="center" readingOrder="0" shrinkToFit="0" vertical="bottom" wrapText="1"/>
    </xf>
    <xf borderId="0" fillId="2" fontId="183" numFmtId="0" xfId="0" applyAlignment="1" applyFont="1">
      <alignment vertical="bottom"/>
    </xf>
    <xf borderId="0" fillId="0" fontId="197" numFmtId="0" xfId="0" applyAlignment="1" applyFont="1">
      <alignment vertical="bottom"/>
    </xf>
    <xf borderId="0" fillId="5" fontId="3" numFmtId="0" xfId="0" applyAlignment="1" applyFont="1">
      <alignment horizontal="center" readingOrder="0" shrinkToFit="0" wrapText="1"/>
    </xf>
    <xf borderId="0" fillId="0" fontId="63" numFmtId="0" xfId="0" applyAlignment="1" applyFont="1">
      <alignment readingOrder="0" shrinkToFit="0" wrapText="1"/>
    </xf>
    <xf borderId="0" fillId="0" fontId="64" numFmtId="0" xfId="0" applyAlignment="1" applyFont="1">
      <alignment readingOrder="0" shrinkToFit="0" wrapText="1"/>
    </xf>
    <xf borderId="0" fillId="7" fontId="68" numFmtId="0" xfId="0" applyAlignment="1" applyFont="1">
      <alignment readingOrder="0" shrinkToFit="0" wrapText="1"/>
    </xf>
    <xf borderId="0" fillId="0" fontId="194" numFmtId="0" xfId="0" applyAlignment="1" applyFont="1">
      <alignment vertical="bottom"/>
    </xf>
    <xf borderId="0" fillId="0" fontId="198" numFmtId="0" xfId="0" applyAlignment="1" applyFont="1">
      <alignment readingOrder="0" vertical="bottom"/>
    </xf>
    <xf borderId="0" fillId="2" fontId="63" numFmtId="0" xfId="0" applyAlignment="1" applyFont="1">
      <alignment readingOrder="0" shrinkToFit="0" wrapText="1"/>
    </xf>
    <xf borderId="0" fillId="2" fontId="64" numFmtId="0" xfId="0" applyAlignment="1" applyFont="1">
      <alignment readingOrder="0" shrinkToFit="0" wrapText="1"/>
    </xf>
    <xf borderId="0" fillId="2" fontId="199" numFmtId="0" xfId="0" applyAlignment="1" applyFont="1">
      <alignment readingOrder="0" shrinkToFit="0" wrapText="1"/>
    </xf>
    <xf borderId="0" fillId="2" fontId="3" numFmtId="0" xfId="0" applyAlignment="1" applyFont="1">
      <alignment horizontal="left" readingOrder="0" shrinkToFit="0" wrapText="1"/>
    </xf>
    <xf borderId="0" fillId="7" fontId="200" numFmtId="0" xfId="0" applyAlignment="1" applyFont="1">
      <alignment readingOrder="0"/>
    </xf>
    <xf borderId="0" fillId="7" fontId="201" numFmtId="0" xfId="0" applyAlignment="1" applyFont="1">
      <alignment readingOrder="0"/>
    </xf>
    <xf borderId="0" fillId="2" fontId="202" numFmtId="0" xfId="0" applyAlignment="1" applyFont="1">
      <alignment readingOrder="0" shrinkToFit="0" wrapText="0"/>
    </xf>
    <xf borderId="0" fillId="0" fontId="175" numFmtId="0" xfId="0" applyAlignment="1" applyFont="1">
      <alignment readingOrder="0"/>
    </xf>
    <xf borderId="0" fillId="12" fontId="203" numFmtId="0" xfId="0" applyAlignment="1" applyFill="1" applyFont="1">
      <alignment readingOrder="0" shrinkToFit="0" wrapText="0"/>
    </xf>
    <xf borderId="0" fillId="0" fontId="85" numFmtId="0" xfId="0" applyAlignment="1" applyFont="1">
      <alignment horizontal="center" readingOrder="0" shrinkToFit="0" wrapText="1"/>
    </xf>
    <xf borderId="0" fillId="2" fontId="111" numFmtId="0" xfId="0" applyAlignment="1" applyFont="1">
      <alignment readingOrder="0" shrinkToFit="0" wrapText="0"/>
    </xf>
    <xf borderId="0" fillId="0" fontId="85" numFmtId="0" xfId="0" applyAlignment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linkedin.com/in/ranvir-singh-23701719/" TargetMode="External"/><Relationship Id="rId391" Type="http://schemas.openxmlformats.org/officeDocument/2006/relationships/hyperlink" Target="https://www.linkedin.com/in/krishnan-vishwanathan-76a970/?originalSubdomain=in" TargetMode="External"/><Relationship Id="rId390" Type="http://schemas.openxmlformats.org/officeDocument/2006/relationships/hyperlink" Target="https://www.linkedin.com/in/kvkumar?originalSubdomain=in" TargetMode="External"/><Relationship Id="rId1" Type="http://schemas.openxmlformats.org/officeDocument/2006/relationships/hyperlink" Target="https://www.linkedin.com/in/deepigoyal/" TargetMode="External"/><Relationship Id="rId2" Type="http://schemas.openxmlformats.org/officeDocument/2006/relationships/hyperlink" Target="https://www.linkedin.com/in/nandan-reddy-1830659/" TargetMode="External"/><Relationship Id="rId3" Type="http://schemas.openxmlformats.org/officeDocument/2006/relationships/hyperlink" Target="https://www.linkedin.com/in/sriharsha-m-563aa217/?utm_source=chatgpt%2Ecom&amp;original_referer=https%3A%2F%2Fchatgpt%2Ecom%2F&amp;originalSubdomain=in" TargetMode="External"/><Relationship Id="rId4" Type="http://schemas.openxmlformats.org/officeDocument/2006/relationships/hyperlink" Target="https://www.linkedin.com/in/riteshagar/?utm_source=chatgpt%2Ecom&amp;originalSubdomain=in" TargetMode="External"/><Relationship Id="rId9" Type="http://schemas.openxmlformats.org/officeDocument/2006/relationships/hyperlink" Target="https://linkedin.com/in/koladiya/" TargetMode="External"/><Relationship Id="rId385" Type="http://schemas.openxmlformats.org/officeDocument/2006/relationships/hyperlink" Target="http://linkedin.com/in/vivekananda-hallekere-0483bb19?originalSubdomain=in" TargetMode="External"/><Relationship Id="rId384" Type="http://schemas.openxmlformats.org/officeDocument/2006/relationships/hyperlink" Target="https://www.linkedin.com/in/cardekhoamitjain/" TargetMode="External"/><Relationship Id="rId383" Type="http://schemas.openxmlformats.org/officeDocument/2006/relationships/hyperlink" Target="https://www.linkedin.com/in/rawatprateek/" TargetMode="External"/><Relationship Id="rId382" Type="http://schemas.openxmlformats.org/officeDocument/2006/relationships/hyperlink" Target="https://www.linkedin.com/in/manish-arora-50499614/" TargetMode="External"/><Relationship Id="rId5" Type="http://schemas.openxmlformats.org/officeDocument/2006/relationships/hyperlink" Target="https://www.linkedin.com/in/kunalbahl/?utm_source=chatgpt%2Ecom&amp;originalSubdomain=in" TargetMode="External"/><Relationship Id="rId389" Type="http://schemas.openxmlformats.org/officeDocument/2006/relationships/hyperlink" Target="https://www.linkedin.com/in/sumit-chingari/" TargetMode="External"/><Relationship Id="rId6" Type="http://schemas.openxmlformats.org/officeDocument/2006/relationships/hyperlink" Target="https://www.linkedin.com/in/sameer-mehta-16233318/" TargetMode="External"/><Relationship Id="rId388" Type="http://schemas.openxmlformats.org/officeDocument/2006/relationships/hyperlink" Target="https://www.linkedin.com/in/akshay-hiranandani-82a1b7b/" TargetMode="External"/><Relationship Id="rId7" Type="http://schemas.openxmlformats.org/officeDocument/2006/relationships/hyperlink" Target="https://www.linkedin.com/in/vijayshekhar/" TargetMode="External"/><Relationship Id="rId387" Type="http://schemas.openxmlformats.org/officeDocument/2006/relationships/hyperlink" Target="https://www.linkedin.com/in/gagan-gupta-2a407215/" TargetMode="External"/><Relationship Id="rId8" Type="http://schemas.openxmlformats.org/officeDocument/2006/relationships/hyperlink" Target="https://www.linkedin.com/in/ashneer/" TargetMode="External"/><Relationship Id="rId386" Type="http://schemas.openxmlformats.org/officeDocument/2006/relationships/hyperlink" Target="https://www.linkedin.com/in/amit-banerji-36533b4/" TargetMode="External"/><Relationship Id="rId381" Type="http://schemas.openxmlformats.org/officeDocument/2006/relationships/hyperlink" Target="https://www.linkedin.com/in/pulkitkhurana/" TargetMode="External"/><Relationship Id="rId380" Type="http://schemas.openxmlformats.org/officeDocument/2006/relationships/hyperlink" Target="https://www.linkedin.com/in/abhisheknehru/" TargetMode="External"/><Relationship Id="rId379" Type="http://schemas.openxmlformats.org/officeDocument/2006/relationships/hyperlink" Target="https://www.linkedin.com/in/rajat-verma-751773/" TargetMode="External"/><Relationship Id="rId374" Type="http://schemas.openxmlformats.org/officeDocument/2006/relationships/hyperlink" Target="https://www.linkedin.com/in/presha-p-a179415b/" TargetMode="External"/><Relationship Id="rId373" Type="http://schemas.openxmlformats.org/officeDocument/2006/relationships/hyperlink" Target="https://www.linkedin.com/in/pranay-chulet-3911a7/" TargetMode="External"/><Relationship Id="rId372" Type="http://schemas.openxmlformats.org/officeDocument/2006/relationships/hyperlink" Target="https://www.linkedin.com/in/rajesh-doshi-aa578566/" TargetMode="External"/><Relationship Id="rId371" Type="http://schemas.openxmlformats.org/officeDocument/2006/relationships/hyperlink" Target="http://linkedin.com/in/cpankaj?originalSubdomain=in" TargetMode="External"/><Relationship Id="rId378" Type="http://schemas.openxmlformats.org/officeDocument/2006/relationships/hyperlink" Target="https://www.linkedin.com/in/manoj-meena-46510415/" TargetMode="External"/><Relationship Id="rId377" Type="http://schemas.openxmlformats.org/officeDocument/2006/relationships/hyperlink" Target="http://linkedin.com/in/akshat-nayyar" TargetMode="External"/><Relationship Id="rId376" Type="http://schemas.openxmlformats.org/officeDocument/2006/relationships/hyperlink" Target="https://www.linkedin.com/in/dr-sudhir-mehta-79a2839/" TargetMode="External"/><Relationship Id="rId375" Type="http://schemas.openxmlformats.org/officeDocument/2006/relationships/hyperlink" Target="https://www.linkedin.com/in/dr-arpi-mehta-b16871159/" TargetMode="External"/><Relationship Id="rId396" Type="http://schemas.openxmlformats.org/officeDocument/2006/relationships/hyperlink" Target="https://www.linkedin.com/in/anshumbhambri/" TargetMode="External"/><Relationship Id="rId395" Type="http://schemas.openxmlformats.org/officeDocument/2006/relationships/hyperlink" Target="https://www.linkedin.com/in/sreevathsap/" TargetMode="External"/><Relationship Id="rId394" Type="http://schemas.openxmlformats.org/officeDocument/2006/relationships/hyperlink" Target="https://www.linkedin.com/in/shashanknd/?originalSubdomain=in" TargetMode="External"/><Relationship Id="rId393" Type="http://schemas.openxmlformats.org/officeDocument/2006/relationships/hyperlink" Target="https://www.linkedin.com/in/tushar-aggarwal-4883421/?originalSubdomain=in" TargetMode="External"/><Relationship Id="rId399" Type="http://schemas.openxmlformats.org/officeDocument/2006/relationships/hyperlink" Target="https://www.linkedin.com/in/angad-k-68478312/?originalSubdomain=in" TargetMode="External"/><Relationship Id="rId398" Type="http://schemas.openxmlformats.org/officeDocument/2006/relationships/hyperlink" Target="https://www.linkedin.com/in/rohan-nayak/?originalSubdomain=in" TargetMode="External"/><Relationship Id="rId397" Type="http://schemas.openxmlformats.org/officeDocument/2006/relationships/hyperlink" Target="https://www.linkedin.com/in/nibhrantshah/?originalSubdomain=in" TargetMode="External"/><Relationship Id="rId1730" Type="http://schemas.openxmlformats.org/officeDocument/2006/relationships/hyperlink" Target="https://www.linkedin.com/in/vineet-sehgal-8655381/" TargetMode="External"/><Relationship Id="rId1731" Type="http://schemas.openxmlformats.org/officeDocument/2006/relationships/hyperlink" Target="http://linkedin.com/in/pawandip-singh?originalSubdomain=in" TargetMode="External"/><Relationship Id="rId1732" Type="http://schemas.openxmlformats.org/officeDocument/2006/relationships/hyperlink" Target="https://www.linkedin.com/in/ankitchaturvedi85/?originalSubdomain=in" TargetMode="External"/><Relationship Id="rId1733" Type="http://schemas.openxmlformats.org/officeDocument/2006/relationships/hyperlink" Target="https://www.linkedin.com/in/dushyantpanda/?originalSubdomain=in" TargetMode="External"/><Relationship Id="rId1734" Type="http://schemas.openxmlformats.org/officeDocument/2006/relationships/hyperlink" Target="https://in.linkedin.com/in/nishant-kedia-78778518" TargetMode="External"/><Relationship Id="rId1735" Type="http://schemas.openxmlformats.org/officeDocument/2006/relationships/hyperlink" Target="https://www.linkedin.com/in/himanshu-bhatta/" TargetMode="External"/><Relationship Id="rId1736" Type="http://schemas.openxmlformats.org/officeDocument/2006/relationships/hyperlink" Target="https://www.linkedin.com/in/neha-markanda-8192325/?originalSubdomain=in" TargetMode="External"/><Relationship Id="rId1737" Type="http://schemas.openxmlformats.org/officeDocument/2006/relationships/hyperlink" Target="http://linkedin.com/in/mayank-jain-4989838/" TargetMode="External"/><Relationship Id="rId1738" Type="http://schemas.openxmlformats.org/officeDocument/2006/relationships/hyperlink" Target="https://www.linkedin.com/in/theharishnarayanan/?originalSubdomain=in" TargetMode="External"/><Relationship Id="rId1739" Type="http://schemas.openxmlformats.org/officeDocument/2006/relationships/hyperlink" Target="https://www.linkedin.com/in/kunal-dubey-35b1931b/?originalSubdomain=in" TargetMode="External"/><Relationship Id="rId1720" Type="http://schemas.openxmlformats.org/officeDocument/2006/relationships/hyperlink" Target="https://www.linkedin.com/in/internetecommerce/?originalSubdomain=in" TargetMode="External"/><Relationship Id="rId1721" Type="http://schemas.openxmlformats.org/officeDocument/2006/relationships/hyperlink" Target="https://www.linkedin.com/in/nupurchauhan/" TargetMode="External"/><Relationship Id="rId1722" Type="http://schemas.openxmlformats.org/officeDocument/2006/relationships/hyperlink" Target="https://www.linkedin.com/in/saurabh-garg-8876171/?originalSubdomain=in" TargetMode="External"/><Relationship Id="rId1723" Type="http://schemas.openxmlformats.org/officeDocument/2006/relationships/hyperlink" Target="https://www.linkedin.com/in/nitin-jain-17b82310/?originalSubdomain=in" TargetMode="External"/><Relationship Id="rId1724" Type="http://schemas.openxmlformats.org/officeDocument/2006/relationships/hyperlink" Target="https://www.linkedin.com/in/amit-gupta-ag/" TargetMode="External"/><Relationship Id="rId1725" Type="http://schemas.openxmlformats.org/officeDocument/2006/relationships/hyperlink" Target="https://www.linkedin.com/in/gv-verma/" TargetMode="External"/><Relationship Id="rId1726" Type="http://schemas.openxmlformats.org/officeDocument/2006/relationships/hyperlink" Target="https://www.linkedin.com/in/kush-mehra-3877707/" TargetMode="External"/><Relationship Id="rId1727" Type="http://schemas.openxmlformats.org/officeDocument/2006/relationships/hyperlink" Target="https://www.linkedin.com/in/sai-narayan-9485742/?originalSubdomain=in" TargetMode="External"/><Relationship Id="rId1728" Type="http://schemas.openxmlformats.org/officeDocument/2006/relationships/hyperlink" Target="https://www.linkedin.com/in/deepinder-singh-b084484b/" TargetMode="External"/><Relationship Id="rId1729" Type="http://schemas.openxmlformats.org/officeDocument/2006/relationships/hyperlink" Target="https://www.linkedin.com/in/nippun-aneja-16567233/?originalSubdomain=in" TargetMode="External"/><Relationship Id="rId1752" Type="http://schemas.openxmlformats.org/officeDocument/2006/relationships/hyperlink" Target="https://www.linkedin.com/in/naveenmurali/" TargetMode="External"/><Relationship Id="rId1753" Type="http://schemas.openxmlformats.org/officeDocument/2006/relationships/hyperlink" Target="https://www.linkedin.com/in/rahulkarthikeyan/overlay/contact-info/?lipi=urn%3Ali%3Apage%3Ad_flagship3_profile_view_base%3B3YmUE5QCQJ6ALO75sRE3GA%3D%3D" TargetMode="External"/><Relationship Id="rId1754" Type="http://schemas.openxmlformats.org/officeDocument/2006/relationships/hyperlink" Target="https://www.linkedin.com/in/sazal-batra-818a5271/" TargetMode="External"/><Relationship Id="rId1755" Type="http://schemas.openxmlformats.org/officeDocument/2006/relationships/hyperlink" Target="https://www.linkedin.com/in/vanda-ferrao-52368a5/?originalSubdomain=in" TargetMode="External"/><Relationship Id="rId1756" Type="http://schemas.openxmlformats.org/officeDocument/2006/relationships/hyperlink" Target="https://www.linkedin.com/in/varunjha1/overlay/contact-info/?lipi=urn%3Ali%3Apage%3Ad_flagship3_profile_view_base%3BJyYJdBiYTNiH7WNj1%2BIEHg%3D%3D" TargetMode="External"/><Relationship Id="rId1757" Type="http://schemas.openxmlformats.org/officeDocument/2006/relationships/hyperlink" Target="https://www.linkedin.com/in/vedam-ramprasad-95124736/?originalSubdomain=in" TargetMode="External"/><Relationship Id="rId1758" Type="http://schemas.openxmlformats.org/officeDocument/2006/relationships/hyperlink" Target="https://www.linkedin.com/in/vineetsing/" TargetMode="External"/><Relationship Id="rId1759" Type="http://schemas.openxmlformats.org/officeDocument/2006/relationships/hyperlink" Target="https://www.linkedin.com/in/adarsh-srivastava-902008b1/?originalSubdomain=in" TargetMode="External"/><Relationship Id="rId808" Type="http://schemas.openxmlformats.org/officeDocument/2006/relationships/hyperlink" Target="https://www.linkedin.com/in/kaustubhagnihotri/" TargetMode="External"/><Relationship Id="rId807" Type="http://schemas.openxmlformats.org/officeDocument/2006/relationships/hyperlink" Target="https://www.linkedin.com/in/madangaurav/" TargetMode="External"/><Relationship Id="rId806" Type="http://schemas.openxmlformats.org/officeDocument/2006/relationships/hyperlink" Target="https://www.linkedin.com/in/prasanna-arunachalam-a344a314/" TargetMode="External"/><Relationship Id="rId805" Type="http://schemas.openxmlformats.org/officeDocument/2006/relationships/hyperlink" Target="https://www.linkedin.com/in/manish-kumar-781614104/" TargetMode="External"/><Relationship Id="rId809" Type="http://schemas.openxmlformats.org/officeDocument/2006/relationships/hyperlink" Target="https://www.linkedin.com/in/aditiagr/" TargetMode="External"/><Relationship Id="rId800" Type="http://schemas.openxmlformats.org/officeDocument/2006/relationships/hyperlink" Target="https://www.linkedin.com/in/abhijit-roy-67a26410/?originalSubdomain=in" TargetMode="External"/><Relationship Id="rId804" Type="http://schemas.openxmlformats.org/officeDocument/2006/relationships/hyperlink" Target="https://www.linkedin.com/in/prafulpoddar/" TargetMode="External"/><Relationship Id="rId803" Type="http://schemas.openxmlformats.org/officeDocument/2006/relationships/hyperlink" Target="https://www.linkedin.com/in/salilparekh/" TargetMode="External"/><Relationship Id="rId802" Type="http://schemas.openxmlformats.org/officeDocument/2006/relationships/hyperlink" Target="https://www.linkedin.com/in/k-krithivasan-84659325/" TargetMode="External"/><Relationship Id="rId801" Type="http://schemas.openxmlformats.org/officeDocument/2006/relationships/hyperlink" Target="https://www.linkedin.com/in/sanjiv-puri/" TargetMode="External"/><Relationship Id="rId1750" Type="http://schemas.openxmlformats.org/officeDocument/2006/relationships/hyperlink" Target="https://www.linkedin.com/in/gurjit-singh-8715417a/overlay/contact-info/?lipi=urn%3Ali%3Apage%3Ad_flagship3_profile_view_base%3BI3AVGWv1QRqaMNP4aQD4Yg%3D%3D" TargetMode="External"/><Relationship Id="rId1751" Type="http://schemas.openxmlformats.org/officeDocument/2006/relationships/hyperlink" Target="https://www.linkedin.com/in/mahipd/?originalSubdomain=in" TargetMode="External"/><Relationship Id="rId1741" Type="http://schemas.openxmlformats.org/officeDocument/2006/relationships/hyperlink" Target="https://www.linkedin.com/in/sagar-gudekote-337b87120/?originalSubdomain=in" TargetMode="External"/><Relationship Id="rId1742" Type="http://schemas.openxmlformats.org/officeDocument/2006/relationships/hyperlink" Target="https://www.linkedin.com/in/shashankmehrotra/" TargetMode="External"/><Relationship Id="rId1743" Type="http://schemas.openxmlformats.org/officeDocument/2006/relationships/hyperlink" Target="https://www.linkedin.com/in/amritraj86/?originalSubdomain=in" TargetMode="External"/><Relationship Id="rId1744" Type="http://schemas.openxmlformats.org/officeDocument/2006/relationships/hyperlink" Target="https://www.linkedin.com/in/hariharanmurali/?originalSubdomain=in" TargetMode="External"/><Relationship Id="rId1745" Type="http://schemas.openxmlformats.org/officeDocument/2006/relationships/hyperlink" Target="https://www.linkedin.com/in/chetan-siyal-299b6830/" TargetMode="External"/><Relationship Id="rId1746" Type="http://schemas.openxmlformats.org/officeDocument/2006/relationships/hyperlink" Target="https://www.linkedin.com/in/ankitkumardelhi/" TargetMode="External"/><Relationship Id="rId1747" Type="http://schemas.openxmlformats.org/officeDocument/2006/relationships/hyperlink" Target="https://www.linkedin.com/in/ayush-agarwal-73066721/overlay/contact-info/?lipi=urn%3Ali%3Apage%3Ad_flagship3_profile_view_base%3BLfgK7N3KQbmuyhaIBWXu%2Fw%3D%3D" TargetMode="External"/><Relationship Id="rId1748" Type="http://schemas.openxmlformats.org/officeDocument/2006/relationships/hyperlink" Target="https://www.linkedin.com/in/dollydavda/overlay/contact-info/?lipi=urn%3Ali%3Apage%3Ad_flagship3_profile_view_base%3BrnhVk5ahSBWanJra7SV8kQ%3D%3D" TargetMode="External"/><Relationship Id="rId1749" Type="http://schemas.openxmlformats.org/officeDocument/2006/relationships/hyperlink" Target="https://www.linkedin.com/in/gaurav-mehta-7a85234/?originalSubdomain=in" TargetMode="External"/><Relationship Id="rId1740" Type="http://schemas.openxmlformats.org/officeDocument/2006/relationships/hyperlink" Target="https://www.linkedin.com/in/harshal-bhoi-2ba0a84b/?originalSubdomain=in" TargetMode="External"/><Relationship Id="rId1710" Type="http://schemas.openxmlformats.org/officeDocument/2006/relationships/hyperlink" Target="https://www.linkedin.com/in/bikashchowdhury/?originalSubdomain=in" TargetMode="External"/><Relationship Id="rId1711" Type="http://schemas.openxmlformats.org/officeDocument/2006/relationships/hyperlink" Target="https://www.linkedin.com/in/sachinsaxena-innovaccer/" TargetMode="External"/><Relationship Id="rId1712" Type="http://schemas.openxmlformats.org/officeDocument/2006/relationships/hyperlink" Target="https://www.linkedin.com/in/arvind-singhal-1b02392/overlay/contact-info/?lipi=urn%3Ali%3Apage%3Ad_flagship3_profile_view_base%3BSYPpTWFESJqJw%2FrSE0LsxQ%3D%3D" TargetMode="External"/><Relationship Id="rId1713" Type="http://schemas.openxmlformats.org/officeDocument/2006/relationships/hyperlink" Target="https://www.linkedin.com/in/jaimit/?originalSubdomain=in" TargetMode="External"/><Relationship Id="rId1714" Type="http://schemas.openxmlformats.org/officeDocument/2006/relationships/hyperlink" Target="https://www.linkedin.com/in/pratikjv/?originalSubdomain=in" TargetMode="External"/><Relationship Id="rId1715" Type="http://schemas.openxmlformats.org/officeDocument/2006/relationships/hyperlink" Target="https://www.linkedin.com/in/kartikeya-bhandari-3478669/?originalSubdomain=in" TargetMode="External"/><Relationship Id="rId1716" Type="http://schemas.openxmlformats.org/officeDocument/2006/relationships/hyperlink" Target="https://www.linkedin.com/in/raj-rishi-singh-49226a2/?originalSubdomain=in" TargetMode="External"/><Relationship Id="rId1717" Type="http://schemas.openxmlformats.org/officeDocument/2006/relationships/hyperlink" Target="https://www.linkedin.com/in/manviaggarwal/" TargetMode="External"/><Relationship Id="rId1718" Type="http://schemas.openxmlformats.org/officeDocument/2006/relationships/hyperlink" Target="https://www.linkedin.com/in/joanj/" TargetMode="External"/><Relationship Id="rId1719" Type="http://schemas.openxmlformats.org/officeDocument/2006/relationships/hyperlink" Target="https://www.linkedin.com/in/jaskaran-singh-kapany-b6852b8/?originalSubdomain=in" TargetMode="External"/><Relationship Id="rId1700" Type="http://schemas.openxmlformats.org/officeDocument/2006/relationships/hyperlink" Target="https://www.linkedin.com/in/manmeetahluwalia/?originalSubdomain=in" TargetMode="External"/><Relationship Id="rId1701" Type="http://schemas.openxmlformats.org/officeDocument/2006/relationships/hyperlink" Target="https://www.linkedin.com/in/deshmukhss/" TargetMode="External"/><Relationship Id="rId1702" Type="http://schemas.openxmlformats.org/officeDocument/2006/relationships/hyperlink" Target="https://www.linkedin.com/in/anuj19/?originalSubdomain=in" TargetMode="External"/><Relationship Id="rId1703" Type="http://schemas.openxmlformats.org/officeDocument/2006/relationships/hyperlink" Target="https://www.linkedin.com/in/mikayamamoto/" TargetMode="External"/><Relationship Id="rId1704" Type="http://schemas.openxmlformats.org/officeDocument/2006/relationships/hyperlink" Target="https://www.linkedin.com/in/saroj-panigrahi-831a9113/" TargetMode="External"/><Relationship Id="rId1705" Type="http://schemas.openxmlformats.org/officeDocument/2006/relationships/hyperlink" Target="https://www.linkedin.com/in/pooja-sharma-59404825/" TargetMode="External"/><Relationship Id="rId1706" Type="http://schemas.openxmlformats.org/officeDocument/2006/relationships/hyperlink" Target="https://www.linkedin.com/in/vartikaverma/?originalSubdomain=in" TargetMode="External"/><Relationship Id="rId1707" Type="http://schemas.openxmlformats.org/officeDocument/2006/relationships/hyperlink" Target="https://www.linkedin.com/in/nehhamkaura/" TargetMode="External"/><Relationship Id="rId1708" Type="http://schemas.openxmlformats.org/officeDocument/2006/relationships/hyperlink" Target="https://www.linkedin.com/in/robinsamuel/" TargetMode="External"/><Relationship Id="rId1709" Type="http://schemas.openxmlformats.org/officeDocument/2006/relationships/hyperlink" Target="https://www.linkedin.com/in/abhijeetjhawar/" TargetMode="External"/><Relationship Id="rId40" Type="http://schemas.openxmlformats.org/officeDocument/2006/relationships/hyperlink" Target="https://www.linkedin.com/in/arora-sneha/" TargetMode="External"/><Relationship Id="rId1334" Type="http://schemas.openxmlformats.org/officeDocument/2006/relationships/hyperlink" Target="https://www.linkedin.com/in/devendragupta001/?originalSubdomain=in" TargetMode="External"/><Relationship Id="rId1335" Type="http://schemas.openxmlformats.org/officeDocument/2006/relationships/hyperlink" Target="https://www.linkedin.com/in/divinvolve/?originalSubdomain=in" TargetMode="External"/><Relationship Id="rId42" Type="http://schemas.openxmlformats.org/officeDocument/2006/relationships/hyperlink" Target="https://www.linkedin.com/in/kathleen-anderl/" TargetMode="External"/><Relationship Id="rId1336" Type="http://schemas.openxmlformats.org/officeDocument/2006/relationships/hyperlink" Target="https://www.linkedin.com/in/mainakchakraborty/?originalSubdomain=in" TargetMode="External"/><Relationship Id="rId41" Type="http://schemas.openxmlformats.org/officeDocument/2006/relationships/hyperlink" Target="https://www.linkedin.com/in/shefalirai/" TargetMode="External"/><Relationship Id="rId1337" Type="http://schemas.openxmlformats.org/officeDocument/2006/relationships/hyperlink" Target="http://phool.co" TargetMode="External"/><Relationship Id="rId44" Type="http://schemas.openxmlformats.org/officeDocument/2006/relationships/hyperlink" Target="https://www.linkedin.com/in/shefalirai/" TargetMode="External"/><Relationship Id="rId1338" Type="http://schemas.openxmlformats.org/officeDocument/2006/relationships/hyperlink" Target="https://www.linkedin.com/in/ankit-agarwal-phool/?originalSubdomain=in" TargetMode="External"/><Relationship Id="rId43" Type="http://schemas.openxmlformats.org/officeDocument/2006/relationships/hyperlink" Target="https://in.linkedin.com/in/ronniescrewvala" TargetMode="External"/><Relationship Id="rId1339" Type="http://schemas.openxmlformats.org/officeDocument/2006/relationships/hyperlink" Target="https://www.linkedin.com/in/shekharguptaofficial/" TargetMode="External"/><Relationship Id="rId46" Type="http://schemas.openxmlformats.org/officeDocument/2006/relationships/hyperlink" Target="https://www.linkedin.com/in/manish-taneja-64657116/" TargetMode="External"/><Relationship Id="rId45" Type="http://schemas.openxmlformats.org/officeDocument/2006/relationships/hyperlink" Target="https://www.linkedin.com/in/utkarshgarg/" TargetMode="External"/><Relationship Id="rId745" Type="http://schemas.openxmlformats.org/officeDocument/2006/relationships/hyperlink" Target="https://www.linkedin.com/in/aadit-palicha/?originalSubdomain=in" TargetMode="External"/><Relationship Id="rId744" Type="http://schemas.openxmlformats.org/officeDocument/2006/relationships/hyperlink" Target="https://www.linkedin.com/in/khasnis/?originalSubdomain=in" TargetMode="External"/><Relationship Id="rId743" Type="http://schemas.openxmlformats.org/officeDocument/2006/relationships/hyperlink" Target="https://www.linkedin.com/in/maxlevchin" TargetMode="External"/><Relationship Id="rId742" Type="http://schemas.openxmlformats.org/officeDocument/2006/relationships/hyperlink" Target="https://www.linkedin.com/in/jayeshnema/?originalSubdomain=in" TargetMode="External"/><Relationship Id="rId749" Type="http://schemas.openxmlformats.org/officeDocument/2006/relationships/hyperlink" Target="https://www.linkedin.com/in/silbermann" TargetMode="External"/><Relationship Id="rId748" Type="http://schemas.openxmlformats.org/officeDocument/2006/relationships/hyperlink" Target="https://www.linkedin.com/in/sarablakely27" TargetMode="External"/><Relationship Id="rId747" Type="http://schemas.openxmlformats.org/officeDocument/2006/relationships/hyperlink" Target="https://www.linkedin.com/in/reidhoffman" TargetMode="External"/><Relationship Id="rId746" Type="http://schemas.openxmlformats.org/officeDocument/2006/relationships/hyperlink" Target="https://www.linkedin.com/in/drewhouston" TargetMode="External"/><Relationship Id="rId48" Type="http://schemas.openxmlformats.org/officeDocument/2006/relationships/hyperlink" Target="https://www.linkedin.com/in/sachinbansal/?originalSubdomain=in" TargetMode="External"/><Relationship Id="rId47" Type="http://schemas.openxmlformats.org/officeDocument/2006/relationships/hyperlink" Target="https://www.linkedin.com/in/varunkejriwal/" TargetMode="External"/><Relationship Id="rId49" Type="http://schemas.openxmlformats.org/officeDocument/2006/relationships/hyperlink" Target="https://www.linkedin.com/in/binnybansal/?originalSubdomain=sg" TargetMode="External"/><Relationship Id="rId741" Type="http://schemas.openxmlformats.org/officeDocument/2006/relationships/hyperlink" Target="https://www.linkedin.com/in/kensandy/?utm_source=chatgpt.com" TargetMode="External"/><Relationship Id="rId1330" Type="http://schemas.openxmlformats.org/officeDocument/2006/relationships/hyperlink" Target="https://www.linkedin.com/in/kdeepeshnanda/" TargetMode="External"/><Relationship Id="rId740" Type="http://schemas.openxmlformats.org/officeDocument/2006/relationships/hyperlink" Target="https://www.linkedin.com/in/shreyasdoshi/?utm_source=chatgpt.com" TargetMode="External"/><Relationship Id="rId1331" Type="http://schemas.openxmlformats.org/officeDocument/2006/relationships/hyperlink" Target="https://www.linkedin.com/in/ashish-bhandari-212a74/?originalSubdomain=in" TargetMode="External"/><Relationship Id="rId1332" Type="http://schemas.openxmlformats.org/officeDocument/2006/relationships/hyperlink" Target="https://www.linkedin.com/in/gautamoorjan/?originalSubdomain=in" TargetMode="External"/><Relationship Id="rId1333" Type="http://schemas.openxmlformats.org/officeDocument/2006/relationships/hyperlink" Target="https://www.linkedin.com/in/damian-miller-72845794/?originalSubdomain=in" TargetMode="External"/><Relationship Id="rId1323" Type="http://schemas.openxmlformats.org/officeDocument/2006/relationships/hyperlink" Target="https://www.linkedin.com/in/vivekananda-hallekere-0483bb19/?originalSubdomain=in" TargetMode="External"/><Relationship Id="rId1324" Type="http://schemas.openxmlformats.org/officeDocument/2006/relationships/hyperlink" Target="https://www.linkedin.com/in/mainichetan/?originalSubdomain=in" TargetMode="External"/><Relationship Id="rId31" Type="http://schemas.openxmlformats.org/officeDocument/2006/relationships/hyperlink" Target="https://www.linkedin.com/in/rikantpitti/" TargetMode="External"/><Relationship Id="rId1325" Type="http://schemas.openxmlformats.org/officeDocument/2006/relationships/hyperlink" Target="https://www.linkedin.com/in/arun-vinayak-71a5b973/?originalSubdomain=in" TargetMode="External"/><Relationship Id="rId30" Type="http://schemas.openxmlformats.org/officeDocument/2006/relationships/hyperlink" Target="https://www.linkedin.com/in/nishantpitti/" TargetMode="External"/><Relationship Id="rId1326" Type="http://schemas.openxmlformats.org/officeDocument/2006/relationships/hyperlink" Target="https://www.linkedin.com/in/pulkitkhurana/?originalSubdomain=in" TargetMode="External"/><Relationship Id="rId33" Type="http://schemas.openxmlformats.org/officeDocument/2006/relationships/hyperlink" Target="https://www.linkedin.com/in/9sandeepg" TargetMode="External"/><Relationship Id="rId1327" Type="http://schemas.openxmlformats.org/officeDocument/2006/relationships/hyperlink" Target="https://www.linkedin.com/in/mrlalbhai/?originalSubdomain=in" TargetMode="External"/><Relationship Id="rId32" Type="http://schemas.openxmlformats.org/officeDocument/2006/relationships/hyperlink" Target="https://www.linkedin.com/in/abhinavshashank" TargetMode="External"/><Relationship Id="rId1328" Type="http://schemas.openxmlformats.org/officeDocument/2006/relationships/hyperlink" Target="https://www.linkedin.com/in/xitijkothi/?originalSubdomain=in" TargetMode="External"/><Relationship Id="rId35" Type="http://schemas.openxmlformats.org/officeDocument/2006/relationships/hyperlink" Target="https://www.linkedin.com/in/rajanbajaj/?originalSubdomain=in" TargetMode="External"/><Relationship Id="rId1329" Type="http://schemas.openxmlformats.org/officeDocument/2006/relationships/hyperlink" Target="https://www.linkedin.com/in/sumant-sinha/?originalSubdomain=in" TargetMode="External"/><Relationship Id="rId34" Type="http://schemas.openxmlformats.org/officeDocument/2006/relationships/hyperlink" Target="https://www.linkedin.com/in/mehul-agrawal-75123514/?originalSubdomain=in" TargetMode="External"/><Relationship Id="rId739" Type="http://schemas.openxmlformats.org/officeDocument/2006/relationships/hyperlink" Target="https://www.linkedin.com/in/gibsonbiddle" TargetMode="External"/><Relationship Id="rId734" Type="http://schemas.openxmlformats.org/officeDocument/2006/relationships/hyperlink" Target="https://www.linkedin.com/in/internetecommerce/" TargetMode="External"/><Relationship Id="rId733" Type="http://schemas.openxmlformats.org/officeDocument/2006/relationships/hyperlink" Target="https://www.linkedin.com/in/vikrantmudaliar/" TargetMode="External"/><Relationship Id="rId732" Type="http://schemas.openxmlformats.org/officeDocument/2006/relationships/hyperlink" Target="https://www.linkedin.com/in/kamathsudhir/" TargetMode="External"/><Relationship Id="rId731" Type="http://schemas.openxmlformats.org/officeDocument/2006/relationships/hyperlink" Target="https://www.linkedin.com/in/shivbsingh/" TargetMode="External"/><Relationship Id="rId738" Type="http://schemas.openxmlformats.org/officeDocument/2006/relationships/hyperlink" Target="https://www.linkedin.com/in/kennethnorton" TargetMode="External"/><Relationship Id="rId737" Type="http://schemas.openxmlformats.org/officeDocument/2006/relationships/hyperlink" Target="https://www.linkedin.com/in/kaushikthacker/" TargetMode="External"/><Relationship Id="rId736" Type="http://schemas.openxmlformats.org/officeDocument/2006/relationships/hyperlink" Target="https://www.linkedin.com/in/ganesh-hande-77a08821/" TargetMode="External"/><Relationship Id="rId735" Type="http://schemas.openxmlformats.org/officeDocument/2006/relationships/hyperlink" Target="https://www.linkedin.com/in/bkpandya/" TargetMode="External"/><Relationship Id="rId37" Type="http://schemas.openxmlformats.org/officeDocument/2006/relationships/hyperlink" Target="https://www.linkedin.com/in/thevarundua/?originalSubdomain=in" TargetMode="External"/><Relationship Id="rId36" Type="http://schemas.openxmlformats.org/officeDocument/2006/relationships/hyperlink" Target="https://www.linkedin.com/in/amodm/?originalSubdomain=in" TargetMode="External"/><Relationship Id="rId39" Type="http://schemas.openxmlformats.org/officeDocument/2006/relationships/hyperlink" Target="https://www.linkedin.com/in/jaspreets/https://www.linkedin.com/in/jaspreets/" TargetMode="External"/><Relationship Id="rId38" Type="http://schemas.openxmlformats.org/officeDocument/2006/relationships/hyperlink" Target="https://www.linkedin.com/in/souvik-sengupta-439699142/" TargetMode="External"/><Relationship Id="rId730" Type="http://schemas.openxmlformats.org/officeDocument/2006/relationships/hyperlink" Target="https://www.linkedin.com/in/p-r-rajagopal-5981223a/" TargetMode="External"/><Relationship Id="rId1320" Type="http://schemas.openxmlformats.org/officeDocument/2006/relationships/hyperlink" Target="https://www.linkedin.com/in/manishdabkara/" TargetMode="External"/><Relationship Id="rId1321" Type="http://schemas.openxmlformats.org/officeDocument/2006/relationships/hyperlink" Target="https://www.linkedin.com/in/suhas-rajkumar-277824150/?originalSubdomain=in" TargetMode="External"/><Relationship Id="rId1322" Type="http://schemas.openxmlformats.org/officeDocument/2006/relationships/hyperlink" Target="https://www.linkedin.com/in/amitgupta007/?originalSubdomain=in" TargetMode="External"/><Relationship Id="rId1356" Type="http://schemas.openxmlformats.org/officeDocument/2006/relationships/hyperlink" Target="https://www.linkedin.com/in/rameshbafna/?originalSubdomain=in" TargetMode="External"/><Relationship Id="rId1357" Type="http://schemas.openxmlformats.org/officeDocument/2006/relationships/hyperlink" Target="https://www.linkedin.com/in/gaurav-maheshwari-341a80a4/?originalSubdomain=in" TargetMode="External"/><Relationship Id="rId20" Type="http://schemas.openxmlformats.org/officeDocument/2006/relationships/hyperlink" Target="https://www.linkedin.com/in/adhindsa/?originalSubdomain=in" TargetMode="External"/><Relationship Id="rId1358" Type="http://schemas.openxmlformats.org/officeDocument/2006/relationships/hyperlink" Target="https://www.linkedin.com/in/sberthier/" TargetMode="External"/><Relationship Id="rId1359" Type="http://schemas.openxmlformats.org/officeDocument/2006/relationships/hyperlink" Target="https://www.linkedin.com/in/santoshabbimane/?originalSubdomain=in" TargetMode="External"/><Relationship Id="rId22" Type="http://schemas.openxmlformats.org/officeDocument/2006/relationships/hyperlink" Target="https://www.linkedin.com/in/nitin-jain-17b82310/" TargetMode="External"/><Relationship Id="rId21" Type="http://schemas.openxmlformats.org/officeDocument/2006/relationships/hyperlink" Target="https://www.linkedin.com/in/asish-mohapatra-22685a28/" TargetMode="External"/><Relationship Id="rId24" Type="http://schemas.openxmlformats.org/officeDocument/2006/relationships/hyperlink" Target="https://www.linkedin.com/in/prashant-tandon-2802a4/" TargetMode="External"/><Relationship Id="rId23" Type="http://schemas.openxmlformats.org/officeDocument/2006/relationships/hyperlink" Target="https://www.linkedin.com/in/ruchi-kalra-0a62512/" TargetMode="External"/><Relationship Id="rId767" Type="http://schemas.openxmlformats.org/officeDocument/2006/relationships/hyperlink" Target="https://www.linkedin.com/in/praful-ranjan-83784313/?originalSubdomain=in" TargetMode="External"/><Relationship Id="rId766" Type="http://schemas.openxmlformats.org/officeDocument/2006/relationships/hyperlink" Target="https://www.linkedin.com/in/nimisha-bhagwat-8465704/?originalSubdomain=in" TargetMode="External"/><Relationship Id="rId765" Type="http://schemas.openxmlformats.org/officeDocument/2006/relationships/hyperlink" Target="https://www.linkedin.com/in/neerajkumar10/?originalSubdomain=in" TargetMode="External"/><Relationship Id="rId764" Type="http://schemas.openxmlformats.org/officeDocument/2006/relationships/hyperlink" Target="https://www.linkedin.com/in/muditsingh5000/?originalSubdomain=in" TargetMode="External"/><Relationship Id="rId769" Type="http://schemas.openxmlformats.org/officeDocument/2006/relationships/hyperlink" Target="https://www.linkedin.com/in/pranavkumar88/?originalSubdomain=in" TargetMode="External"/><Relationship Id="rId768" Type="http://schemas.openxmlformats.org/officeDocument/2006/relationships/hyperlink" Target="https://www.linkedin.com/in/prajeesh-vijayan-b68a5015/?originalSubdomain=in" TargetMode="External"/><Relationship Id="rId26" Type="http://schemas.openxmlformats.org/officeDocument/2006/relationships/hyperlink" Target="https://www.linkedin.com/in/rajesh-magow-9278094/" TargetMode="External"/><Relationship Id="rId25" Type="http://schemas.openxmlformats.org/officeDocument/2006/relationships/hyperlink" Target="https://www.linkedin.com/in/agarwalga/" TargetMode="External"/><Relationship Id="rId28" Type="http://schemas.openxmlformats.org/officeDocument/2006/relationships/hyperlink" Target="https://www.linkedin.com/in/deep-kalra-2954862/" TargetMode="External"/><Relationship Id="rId1350" Type="http://schemas.openxmlformats.org/officeDocument/2006/relationships/hyperlink" Target="https://www.linkedin.com/in/pankajshroff/?originalSubdomain=in" TargetMode="External"/><Relationship Id="rId27" Type="http://schemas.openxmlformats.org/officeDocument/2006/relationships/hyperlink" Target="http://makemytrip.com" TargetMode="External"/><Relationship Id="rId1351" Type="http://schemas.openxmlformats.org/officeDocument/2006/relationships/hyperlink" Target="https://www.linkedin.com/in/rajesh-kini-a6433a1/?originalSubdomain=in" TargetMode="External"/><Relationship Id="rId763" Type="http://schemas.openxmlformats.org/officeDocument/2006/relationships/hyperlink" Target="https://www.linkedin.com/in/monikamishra/?originalSubdomain=in" TargetMode="External"/><Relationship Id="rId1352" Type="http://schemas.openxmlformats.org/officeDocument/2006/relationships/hyperlink" Target="https://www.linkedin.com/in/rvivekkrishna/?originalSubdomain=in" TargetMode="External"/><Relationship Id="rId29" Type="http://schemas.openxmlformats.org/officeDocument/2006/relationships/hyperlink" Target="https://www.linkedin.com/in/nishant-pitti-a956b079/" TargetMode="External"/><Relationship Id="rId762" Type="http://schemas.openxmlformats.org/officeDocument/2006/relationships/hyperlink" Target="https://www.linkedin.com/in/mayankdrolia/?originalSubdomain=in" TargetMode="External"/><Relationship Id="rId1353" Type="http://schemas.openxmlformats.org/officeDocument/2006/relationships/hyperlink" Target="https://www.linkedin.com/in/rohanmittal83/?originalSubdomain=in" TargetMode="External"/><Relationship Id="rId761" Type="http://schemas.openxmlformats.org/officeDocument/2006/relationships/hyperlink" Target="https://www.linkedin.com/in/ishanbose31/?originalSubdomain=in" TargetMode="External"/><Relationship Id="rId1354" Type="http://schemas.openxmlformats.org/officeDocument/2006/relationships/hyperlink" Target="https://www.linkedin.com/in/saurav-goyal-40905235/?originalSubdomain=in" TargetMode="External"/><Relationship Id="rId760" Type="http://schemas.openxmlformats.org/officeDocument/2006/relationships/hyperlink" Target="https://www.linkedin.com/in/harita-desai-jani-0272716/?originalSubdomain=in" TargetMode="External"/><Relationship Id="rId1355" Type="http://schemas.openxmlformats.org/officeDocument/2006/relationships/hyperlink" Target="http://linkedin.com/in/sohil-parekh-09719716/?originalSubdomain=in" TargetMode="External"/><Relationship Id="rId1345" Type="http://schemas.openxmlformats.org/officeDocument/2006/relationships/hyperlink" Target="https://www.linkedin.com/in/anjali-bansal-8489091/" TargetMode="External"/><Relationship Id="rId1346" Type="http://schemas.openxmlformats.org/officeDocument/2006/relationships/hyperlink" Target="https://www.linkedin.com/in/sunita-narain-22797477/" TargetMode="External"/><Relationship Id="rId1347" Type="http://schemas.openxmlformats.org/officeDocument/2006/relationships/hyperlink" Target="https://www.linkedin.com/in/neerajkumar10/?originalSubdomain=in" TargetMode="External"/><Relationship Id="rId1348" Type="http://schemas.openxmlformats.org/officeDocument/2006/relationships/hyperlink" Target="https://www.linkedin.com/in/smitasanadhya/" TargetMode="External"/><Relationship Id="rId11" Type="http://schemas.openxmlformats.org/officeDocument/2006/relationships/hyperlink" Target="https://www.linkedin.com/in/visheshkhurana/" TargetMode="External"/><Relationship Id="rId1349" Type="http://schemas.openxmlformats.org/officeDocument/2006/relationships/hyperlink" Target="https://www.linkedin.com/in/rasik-sontakke-2b25b27/?originalSubdomain=in" TargetMode="External"/><Relationship Id="rId10" Type="http://schemas.openxmlformats.org/officeDocument/2006/relationships/hyperlink" Target="https://www.linkedin.com/in/shashvat-nakrani/" TargetMode="External"/><Relationship Id="rId13" Type="http://schemas.openxmlformats.org/officeDocument/2006/relationships/hyperlink" Target="https://www.linkedin.com/in/mehul-agrawal-75123514/?originalSubdomain=in" TargetMode="External"/><Relationship Id="rId12" Type="http://schemas.openxmlformats.org/officeDocument/2006/relationships/hyperlink" Target="https://www.linkedin.com/in/naveen-kukreja-b333013/" TargetMode="External"/><Relationship Id="rId756" Type="http://schemas.openxmlformats.org/officeDocument/2006/relationships/hyperlink" Target="https://www.linkedin.com/in/apurv-narang-43585856/?originalSubdomain=in" TargetMode="External"/><Relationship Id="rId755" Type="http://schemas.openxmlformats.org/officeDocument/2006/relationships/hyperlink" Target="https://www.linkedin.com/in/aparnamahesh/?originalSubdomain=in" TargetMode="External"/><Relationship Id="rId754" Type="http://schemas.openxmlformats.org/officeDocument/2006/relationships/hyperlink" Target="https://www.linkedin.com/in/amit-kumar-marketing/?original_referer=https%3A%2F%2Fwww%2Egoogle%2Ecom%2F&amp;originalSubdomain=in" TargetMode="External"/><Relationship Id="rId753" Type="http://schemas.openxmlformats.org/officeDocument/2006/relationships/hyperlink" Target="https://www.linkedin.com/in/olemann/?originalSubdomain=in" TargetMode="External"/><Relationship Id="rId759" Type="http://schemas.openxmlformats.org/officeDocument/2006/relationships/hyperlink" Target="https://www.linkedin.com/in/ashwinsl/?originalSubdomain=in" TargetMode="External"/><Relationship Id="rId758" Type="http://schemas.openxmlformats.org/officeDocument/2006/relationships/hyperlink" Target="https://www.linkedin.com/in/ashishbits/?originalSubdomain=in" TargetMode="External"/><Relationship Id="rId757" Type="http://schemas.openxmlformats.org/officeDocument/2006/relationships/hyperlink" Target="https://www.linkedin.com/in/arati-parashar/?originalSubdomain=in" TargetMode="External"/><Relationship Id="rId15" Type="http://schemas.openxmlformats.org/officeDocument/2006/relationships/hyperlink" Target="https://www.linkedin.com/in/raghavchandra/" TargetMode="External"/><Relationship Id="rId14" Type="http://schemas.openxmlformats.org/officeDocument/2006/relationships/hyperlink" Target="https://www.linkedin.com/in/abhirajbhal/?originalSubdomain=in" TargetMode="External"/><Relationship Id="rId17" Type="http://schemas.openxmlformats.org/officeDocument/2006/relationships/hyperlink" Target="https://www.linkedin.com/in/ramanshu-mahaur-76678053/" TargetMode="External"/><Relationship Id="rId16" Type="http://schemas.openxmlformats.org/officeDocument/2006/relationships/hyperlink" Target="https://www.linkedin.com/in/niraj-singh-67159715/" TargetMode="External"/><Relationship Id="rId1340" Type="http://schemas.openxmlformats.org/officeDocument/2006/relationships/hyperlink" Target="https://www.linkedin.com/in/vivek-tiwari-635103230/?originalSubdomain=in" TargetMode="External"/><Relationship Id="rId19" Type="http://schemas.openxmlformats.org/officeDocument/2006/relationships/hyperlink" Target="https://www.linkedin.com/in/upasana/" TargetMode="External"/><Relationship Id="rId752" Type="http://schemas.openxmlformats.org/officeDocument/2006/relationships/hyperlink" Target="https://www.linkedin.com/in/adarsh-srivastava-902008b1/?originalSubdomain=in" TargetMode="External"/><Relationship Id="rId1341" Type="http://schemas.openxmlformats.org/officeDocument/2006/relationships/hyperlink" Target="https://www.linkedin.com/in/ajay-karakoti-3b9612159/?originalSubdomain=in" TargetMode="External"/><Relationship Id="rId18" Type="http://schemas.openxmlformats.org/officeDocument/2006/relationships/hyperlink" Target="https://www.linkedin.com/in/bipinpreetsingh/" TargetMode="External"/><Relationship Id="rId751" Type="http://schemas.openxmlformats.org/officeDocument/2006/relationships/hyperlink" Target="http://bookmyshow.com" TargetMode="External"/><Relationship Id="rId1342" Type="http://schemas.openxmlformats.org/officeDocument/2006/relationships/hyperlink" Target="https://www.linkedin.com/in/dhattarwalaman/" TargetMode="External"/><Relationship Id="rId750" Type="http://schemas.openxmlformats.org/officeDocument/2006/relationships/hyperlink" Target="https://www.linkedin.com/in/annewojcicki" TargetMode="External"/><Relationship Id="rId1343" Type="http://schemas.openxmlformats.org/officeDocument/2006/relationships/hyperlink" Target="https://www.linkedin.com/in/peterbordes/" TargetMode="External"/><Relationship Id="rId1344" Type="http://schemas.openxmlformats.org/officeDocument/2006/relationships/hyperlink" Target="https://www.linkedin.com/in/preetibajaj/" TargetMode="External"/><Relationship Id="rId84" Type="http://schemas.openxmlformats.org/officeDocument/2006/relationships/hyperlink" Target="https://www.linkedin.com/in/ritesh-arora-88937b7/" TargetMode="External"/><Relationship Id="rId1774" Type="http://schemas.openxmlformats.org/officeDocument/2006/relationships/hyperlink" Target="https://www.linkedin.com/in/praful-ranjan-83784313/?originalSubdomain=in" TargetMode="External"/><Relationship Id="rId83" Type="http://schemas.openxmlformats.org/officeDocument/2006/relationships/hyperlink" Target="http://linkedin.com/in/krishna-gopal-depura-344630" TargetMode="External"/><Relationship Id="rId1775" Type="http://schemas.openxmlformats.org/officeDocument/2006/relationships/hyperlink" Target="https://www.linkedin.com/in/prajeesh-vijayan-b68a5015/?originalSubdomain=in" TargetMode="External"/><Relationship Id="rId86" Type="http://schemas.openxmlformats.org/officeDocument/2006/relationships/hyperlink" Target="https://www.linkedin.com/in/gaurav-kumar-2a465114/" TargetMode="External"/><Relationship Id="rId1776" Type="http://schemas.openxmlformats.org/officeDocument/2006/relationships/hyperlink" Target="https://www.linkedin.com/in/pranavkumar88/?originalSubdomain=in" TargetMode="External"/><Relationship Id="rId85" Type="http://schemas.openxmlformats.org/officeDocument/2006/relationships/hyperlink" Target="https://www.linkedin.com/in/vineetsukumar/" TargetMode="External"/><Relationship Id="rId1777" Type="http://schemas.openxmlformats.org/officeDocument/2006/relationships/hyperlink" Target="https://www.linkedin.com/in/prasanth-naidu-9b05a638/?originalSubdomain=in" TargetMode="External"/><Relationship Id="rId88" Type="http://schemas.openxmlformats.org/officeDocument/2006/relationships/hyperlink" Target="http://linkedin.com/in/harshj22" TargetMode="External"/><Relationship Id="rId1778" Type="http://schemas.openxmlformats.org/officeDocument/2006/relationships/hyperlink" Target="https://www.linkedin.com/in/ram-deshpande-ramd316/?originalSubdomain=in" TargetMode="External"/><Relationship Id="rId87" Type="http://schemas.openxmlformats.org/officeDocument/2006/relationships/hyperlink" Target="https://www.linkedin.com/in/amrit-acharya/" TargetMode="External"/><Relationship Id="rId1779" Type="http://schemas.openxmlformats.org/officeDocument/2006/relationships/hyperlink" Target="https://www.linkedin.com/in/resha-jain-4864007/?originalSubdomain=in" TargetMode="External"/><Relationship Id="rId89" Type="http://schemas.openxmlformats.org/officeDocument/2006/relationships/hyperlink" Target="http://linkedin.com/in/bhavitsheth" TargetMode="External"/><Relationship Id="rId709" Type="http://schemas.openxmlformats.org/officeDocument/2006/relationships/hyperlink" Target="https://www.linkedin.com/in/tiwarymanish/" TargetMode="External"/><Relationship Id="rId708" Type="http://schemas.openxmlformats.org/officeDocument/2006/relationships/hyperlink" Target="https://www.linkedin.com/in/pramesh1/" TargetMode="External"/><Relationship Id="rId707" Type="http://schemas.openxmlformats.org/officeDocument/2006/relationships/hyperlink" Target="https://www.linkedin.com/in/mohit-malhotra-1a8776168/" TargetMode="External"/><Relationship Id="rId706" Type="http://schemas.openxmlformats.org/officeDocument/2006/relationships/hyperlink" Target="https://www.linkedin.com/in/p-d-narang-48739649/" TargetMode="External"/><Relationship Id="rId80" Type="http://schemas.openxmlformats.org/officeDocument/2006/relationships/hyperlink" Target="https://www.linkedin.com/in/vivek-gupta-licious/" TargetMode="External"/><Relationship Id="rId82" Type="http://schemas.openxmlformats.org/officeDocument/2006/relationships/hyperlink" Target="https://www.linkedin.com/in/jainpulkit/" TargetMode="External"/><Relationship Id="rId81" Type="http://schemas.openxmlformats.org/officeDocument/2006/relationships/hyperlink" Target="https://www.linkedin.com/in/profilevamsikrishna/" TargetMode="External"/><Relationship Id="rId701" Type="http://schemas.openxmlformats.org/officeDocument/2006/relationships/hyperlink" Target="https://www.linkedin.com/in/onkar-kanwar-a162a5286/" TargetMode="External"/><Relationship Id="rId700" Type="http://schemas.openxmlformats.org/officeDocument/2006/relationships/hyperlink" Target="https://www.linkedin.com/in/ramesh-natarajan-5533942/" TargetMode="External"/><Relationship Id="rId705" Type="http://schemas.openxmlformats.org/officeDocument/2006/relationships/hyperlink" Target="https://www.linkedin.com/in/mukundan-ramakrishnan-10a652/" TargetMode="External"/><Relationship Id="rId704" Type="http://schemas.openxmlformats.org/officeDocument/2006/relationships/hyperlink" Target="https://www.linkedin.com/in/rahul-mammen-49434bb8/" TargetMode="External"/><Relationship Id="rId703" Type="http://schemas.openxmlformats.org/officeDocument/2006/relationships/hyperlink" Target="https://www.linkedin.com/in/sudarshan-venu-529434310/" TargetMode="External"/><Relationship Id="rId702" Type="http://schemas.openxmlformats.org/officeDocument/2006/relationships/hyperlink" Target="https://www.linkedin.com/in/neeraj-kanwar-apollo/" TargetMode="External"/><Relationship Id="rId1770" Type="http://schemas.openxmlformats.org/officeDocument/2006/relationships/hyperlink" Target="https://www.linkedin.com/in/monikamishra/?originalSubdomain=in" TargetMode="External"/><Relationship Id="rId1771" Type="http://schemas.openxmlformats.org/officeDocument/2006/relationships/hyperlink" Target="https://www.linkedin.com/in/muditsingh5000/?originalSubdomain=in" TargetMode="External"/><Relationship Id="rId1772" Type="http://schemas.openxmlformats.org/officeDocument/2006/relationships/hyperlink" Target="https://www.linkedin.com/in/neerajkumar10/?originalSubdomain=in" TargetMode="External"/><Relationship Id="rId1773" Type="http://schemas.openxmlformats.org/officeDocument/2006/relationships/hyperlink" Target="https://www.linkedin.com/in/nimisha-bhagwat-8465704/?originalSubdomain=in" TargetMode="External"/><Relationship Id="rId73" Type="http://schemas.openxmlformats.org/officeDocument/2006/relationships/hyperlink" Target="https://www.linkedin.com/in/ghazal-alagh-9755a0128/" TargetMode="External"/><Relationship Id="rId1763" Type="http://schemas.openxmlformats.org/officeDocument/2006/relationships/hyperlink" Target="https://www.linkedin.com/in/apurv-narang-43585856/?originalSubdomain=in" TargetMode="External"/><Relationship Id="rId72" Type="http://schemas.openxmlformats.org/officeDocument/2006/relationships/hyperlink" Target="https://linkedin.com/in/koladiya/" TargetMode="External"/><Relationship Id="rId1764" Type="http://schemas.openxmlformats.org/officeDocument/2006/relationships/hyperlink" Target="https://www.linkedin.com/in/arati-parashar/?originalSubdomain=in" TargetMode="External"/><Relationship Id="rId75" Type="http://schemas.openxmlformats.org/officeDocument/2006/relationships/hyperlink" Target="https://www.linkedin.com/in/sheetalchainraj/" TargetMode="External"/><Relationship Id="rId1765" Type="http://schemas.openxmlformats.org/officeDocument/2006/relationships/hyperlink" Target="https://www.linkedin.com/in/ashishbits/?originalSubdomain=in" TargetMode="External"/><Relationship Id="rId74" Type="http://schemas.openxmlformats.org/officeDocument/2006/relationships/hyperlink" Target="https://www.linkedin.com/in/varunalagh84/" TargetMode="External"/><Relationship Id="rId1766" Type="http://schemas.openxmlformats.org/officeDocument/2006/relationships/hyperlink" Target="https://www.linkedin.com/in/ashwinsl/?originalSubdomain=in" TargetMode="External"/><Relationship Id="rId77" Type="http://schemas.openxmlformats.org/officeDocument/2006/relationships/hyperlink" Target="http://linkedin.com/in/ravi-kumar-b7698171" TargetMode="External"/><Relationship Id="rId1767" Type="http://schemas.openxmlformats.org/officeDocument/2006/relationships/hyperlink" Target="https://www.linkedin.com/in/harita-desai-jani-0272716/?originalSubdomain=in" TargetMode="External"/><Relationship Id="rId76" Type="http://schemas.openxmlformats.org/officeDocument/2006/relationships/hyperlink" Target="https://linkedin.com/in/anuragsinha2" TargetMode="External"/><Relationship Id="rId1768" Type="http://schemas.openxmlformats.org/officeDocument/2006/relationships/hyperlink" Target="https://www.linkedin.com/in/ishanbose31/?originalSubdomain=in" TargetMode="External"/><Relationship Id="rId79" Type="http://schemas.openxmlformats.org/officeDocument/2006/relationships/hyperlink" Target="http://nobroker.com" TargetMode="External"/><Relationship Id="rId1769" Type="http://schemas.openxmlformats.org/officeDocument/2006/relationships/hyperlink" Target="https://www.linkedin.com/in/mayankdrolia/?originalSubdomain=in" TargetMode="External"/><Relationship Id="rId78" Type="http://schemas.openxmlformats.org/officeDocument/2006/relationships/hyperlink" Target="http://nobroker.com" TargetMode="External"/><Relationship Id="rId71" Type="http://schemas.openxmlformats.org/officeDocument/2006/relationships/hyperlink" Target="https://www.linkedin.com/in/ashneer/" TargetMode="External"/><Relationship Id="rId70" Type="http://schemas.openxmlformats.org/officeDocument/2006/relationships/hyperlink" Target="https://www.linkedin.com/in/sandeepaggarwal/" TargetMode="External"/><Relationship Id="rId1760" Type="http://schemas.openxmlformats.org/officeDocument/2006/relationships/hyperlink" Target="https://www.linkedin.com/in/olemann/?originalSubdomain=in" TargetMode="External"/><Relationship Id="rId1761" Type="http://schemas.openxmlformats.org/officeDocument/2006/relationships/hyperlink" Target="https://www.linkedin.com/in/amit-kumar-marketing/?original_referer=https%3A%2F%2Fwww%2Egoogle%2Ecom%2F&amp;originalSubdomain=in" TargetMode="External"/><Relationship Id="rId1762" Type="http://schemas.openxmlformats.org/officeDocument/2006/relationships/hyperlink" Target="https://www.linkedin.com/in/aparnamahesh/?originalSubdomain=in" TargetMode="External"/><Relationship Id="rId62" Type="http://schemas.openxmlformats.org/officeDocument/2006/relationships/hyperlink" Target="https://www.linkedin.com/in/supam-maheshwari-a735a5/" TargetMode="External"/><Relationship Id="rId1312" Type="http://schemas.openxmlformats.org/officeDocument/2006/relationships/hyperlink" Target="https://www.linkedin.com/in/rolig/?originalSubdomain=in" TargetMode="External"/><Relationship Id="rId1796" Type="http://schemas.openxmlformats.org/officeDocument/2006/relationships/hyperlink" Target="https://www.linkedin.com/in/charandeeptvscredit/" TargetMode="External"/><Relationship Id="rId61" Type="http://schemas.openxmlformats.org/officeDocument/2006/relationships/hyperlink" Target="https://www.linkedin.com/in/girish1/" TargetMode="External"/><Relationship Id="rId1313" Type="http://schemas.openxmlformats.org/officeDocument/2006/relationships/hyperlink" Target="https://www.linkedin.com/in/mansi-tripathy-37063b1/" TargetMode="External"/><Relationship Id="rId1797" Type="http://schemas.openxmlformats.org/officeDocument/2006/relationships/hyperlink" Target="https://www.linkedin.com/in/parthasarathy-ramanujam-7b814349/" TargetMode="External"/><Relationship Id="rId64" Type="http://schemas.openxmlformats.org/officeDocument/2006/relationships/hyperlink" Target="https://www.linkedin.com/in/romansaini/" TargetMode="External"/><Relationship Id="rId1314" Type="http://schemas.openxmlformats.org/officeDocument/2006/relationships/hyperlink" Target="https://www.linkedin.com/in/renukaramnath/?originalSubdomain=in" TargetMode="External"/><Relationship Id="rId1798" Type="http://schemas.openxmlformats.org/officeDocument/2006/relationships/hyperlink" Target="https://www.linkedin.com/in/rohit-sharma-527b722/" TargetMode="External"/><Relationship Id="rId63" Type="http://schemas.openxmlformats.org/officeDocument/2006/relationships/hyperlink" Target="https://www.linkedin.com/in/gauravmunjal8/" TargetMode="External"/><Relationship Id="rId1315" Type="http://schemas.openxmlformats.org/officeDocument/2006/relationships/hyperlink" Target="https://www.linkedin.com/in/supriyapaul/?originalSubdomain=in" TargetMode="External"/><Relationship Id="rId1799" Type="http://schemas.openxmlformats.org/officeDocument/2006/relationships/hyperlink" Target="https://www.linkedin.com/in/sanjiv-dheer-3a54b337/" TargetMode="External"/><Relationship Id="rId66" Type="http://schemas.openxmlformats.org/officeDocument/2006/relationships/hyperlink" Target="https://www.google.com/url?sa=t&amp;source=web&amp;rct=https://in.linkedin.com/in/kumarshashank" TargetMode="External"/><Relationship Id="rId1316" Type="http://schemas.openxmlformats.org/officeDocument/2006/relationships/hyperlink" Target="https://www.linkedin.com/in/vandanaluthra/?originalSubdomain=in" TargetMode="External"/><Relationship Id="rId65" Type="http://schemas.openxmlformats.org/officeDocument/2006/relationships/hyperlink" Target="https://www.linkedin.com/in/hemesh-singh/" TargetMode="External"/><Relationship Id="rId1317" Type="http://schemas.openxmlformats.org/officeDocument/2006/relationships/hyperlink" Target="https://www.linkedin.com/in/devendrachawla/?originalSubdomain=in" TargetMode="External"/><Relationship Id="rId68" Type="http://schemas.openxmlformats.org/officeDocument/2006/relationships/hyperlink" Target="https://www.linkedin.com/in/heyharsh/" TargetMode="External"/><Relationship Id="rId1318" Type="http://schemas.openxmlformats.org/officeDocument/2006/relationships/hyperlink" Target="https://www.linkedin.com/in/saran/?originalSubdomain=in" TargetMode="External"/><Relationship Id="rId67" Type="http://schemas.openxmlformats.org/officeDocument/2006/relationships/hyperlink" Target="https://in.linkedin.com/in/harshilmathur" TargetMode="External"/><Relationship Id="rId1319" Type="http://schemas.openxmlformats.org/officeDocument/2006/relationships/hyperlink" Target="https://www.linkedin.com/in/sohindergill/?originalSubdomain=ca" TargetMode="External"/><Relationship Id="rId729" Type="http://schemas.openxmlformats.org/officeDocument/2006/relationships/hyperlink" Target="https://www.linkedin.com/in/rajneeshkarnatak/" TargetMode="External"/><Relationship Id="rId728" Type="http://schemas.openxmlformats.org/officeDocument/2006/relationships/hyperlink" Target="https://www.linkedin.com/in/ashok-chandra-5261955b/" TargetMode="External"/><Relationship Id="rId60" Type="http://schemas.openxmlformats.org/officeDocument/2006/relationships/hyperlink" Target="https://www.linkedin.com/in/yashish-dahiya-145495261/" TargetMode="External"/><Relationship Id="rId723" Type="http://schemas.openxmlformats.org/officeDocument/2006/relationships/hyperlink" Target="https://www.linkedin.com/in/anuj-poddar-1244412b/" TargetMode="External"/><Relationship Id="rId722" Type="http://schemas.openxmlformats.org/officeDocument/2006/relationships/hyperlink" Target="https://www.linkedin.com/in/manoj-raghavan-a200a05/" TargetMode="External"/><Relationship Id="rId721" Type="http://schemas.openxmlformats.org/officeDocument/2006/relationships/hyperlink" Target="https://www.linkedin.com/in/anishdshah/" TargetMode="External"/><Relationship Id="rId720" Type="http://schemas.openxmlformats.org/officeDocument/2006/relationships/hyperlink" Target="https://www.linkedin.com/in/anilagarwal-ved/" TargetMode="External"/><Relationship Id="rId727" Type="http://schemas.openxmlformats.org/officeDocument/2006/relationships/hyperlink" Target="https://www.linkedin.com/in/amarendu-prakash-470a0/" TargetMode="External"/><Relationship Id="rId726" Type="http://schemas.openxmlformats.org/officeDocument/2006/relationships/hyperlink" Target="https://www.linkedin.com/in/vinita-gupta-547409239/" TargetMode="External"/><Relationship Id="rId725" Type="http://schemas.openxmlformats.org/officeDocument/2006/relationships/hyperlink" Target="https://www.linkedin.com/in/mukundan-menon-82b8447/" TargetMode="External"/><Relationship Id="rId724" Type="http://schemas.openxmlformats.org/officeDocument/2006/relationships/hyperlink" Target="https://www.linkedin.com/in/subodh-bhargava-404ab95/" TargetMode="External"/><Relationship Id="rId69" Type="http://schemas.openxmlformats.org/officeDocument/2006/relationships/hyperlink" Target="https://linkedin.com/in/lalitkeshre" TargetMode="External"/><Relationship Id="rId1790" Type="http://schemas.openxmlformats.org/officeDocument/2006/relationships/hyperlink" Target="https://www.linkedin.com/in/dr-mohammad-kapasi-7b95b1252/" TargetMode="External"/><Relationship Id="rId1791" Type="http://schemas.openxmlformats.org/officeDocument/2006/relationships/hyperlink" Target="https://www.linkedin.com/in/sanjay-sawhney-b55b1558/" TargetMode="External"/><Relationship Id="rId1792" Type="http://schemas.openxmlformats.org/officeDocument/2006/relationships/hyperlink" Target="https://www.linkedin.com/in/tanyadubash/" TargetMode="External"/><Relationship Id="rId1793" Type="http://schemas.openxmlformats.org/officeDocument/2006/relationships/hyperlink" Target="https://www.linkedin.com/in/aroopchatterjee/" TargetMode="External"/><Relationship Id="rId1310" Type="http://schemas.openxmlformats.org/officeDocument/2006/relationships/hyperlink" Target="https://www.linkedin.com/in/geethanjali-radhakrishnan-47b26a35/?originalSubdomain=in" TargetMode="External"/><Relationship Id="rId1794" Type="http://schemas.openxmlformats.org/officeDocument/2006/relationships/hyperlink" Target="https://www.linkedin.com/in/sunil-jain-8b385175/" TargetMode="External"/><Relationship Id="rId1311" Type="http://schemas.openxmlformats.org/officeDocument/2006/relationships/hyperlink" Target="http://babblebots.ai" TargetMode="External"/><Relationship Id="rId1795" Type="http://schemas.openxmlformats.org/officeDocument/2006/relationships/hyperlink" Target="https://www.linkedin.com/in/sumeet-das-3329b1121/" TargetMode="External"/><Relationship Id="rId51" Type="http://schemas.openxmlformats.org/officeDocument/2006/relationships/hyperlink" Target="https://www.linkedin.com/in/sethisanjay/" TargetMode="External"/><Relationship Id="rId1301" Type="http://schemas.openxmlformats.org/officeDocument/2006/relationships/hyperlink" Target="https://www.linkedin.com/in/maheshyagna/" TargetMode="External"/><Relationship Id="rId1785" Type="http://schemas.openxmlformats.org/officeDocument/2006/relationships/hyperlink" Target="https://www.linkedin.com/in/supriyagoswami/" TargetMode="External"/><Relationship Id="rId50" Type="http://schemas.openxmlformats.org/officeDocument/2006/relationships/hyperlink" Target="https://www.linkedin.com/in/peyushbansal/" TargetMode="External"/><Relationship Id="rId1302" Type="http://schemas.openxmlformats.org/officeDocument/2006/relationships/hyperlink" Target="https://www.linkedin.com/in/preetha-reddy/?originalSubdomain=in" TargetMode="External"/><Relationship Id="rId1786" Type="http://schemas.openxmlformats.org/officeDocument/2006/relationships/hyperlink" Target="https://www.linkedin.com/in/uditagarwal/?originalSubdomain=in" TargetMode="External"/><Relationship Id="rId53" Type="http://schemas.openxmlformats.org/officeDocument/2006/relationships/hyperlink" Target="https://www.linkedin.com/in/thevarundua/" TargetMode="External"/><Relationship Id="rId1303" Type="http://schemas.openxmlformats.org/officeDocument/2006/relationships/hyperlink" Target="https://www.linkedin.com/in/ameerashah/?originalSubdomain=in" TargetMode="External"/><Relationship Id="rId1787" Type="http://schemas.openxmlformats.org/officeDocument/2006/relationships/hyperlink" Target="https://www.linkedin.com/in/ism555/?originalSubdomain=in" TargetMode="External"/><Relationship Id="rId52" Type="http://schemas.openxmlformats.org/officeDocument/2006/relationships/hyperlink" Target="https://www.linkedin.com/in/rahulgarg/" TargetMode="External"/><Relationship Id="rId1304" Type="http://schemas.openxmlformats.org/officeDocument/2006/relationships/hyperlink" Target="https://www.linkedin.com/in/mahima-datla-41a18827/?originalSubdomain=in" TargetMode="External"/><Relationship Id="rId1788" Type="http://schemas.openxmlformats.org/officeDocument/2006/relationships/hyperlink" Target="https://www.linkedin.com/in/-yashdeepsingh/?originalSubdomain=in" TargetMode="External"/><Relationship Id="rId55" Type="http://schemas.openxmlformats.org/officeDocument/2006/relationships/hyperlink" Target="https://www.linkedin.com/in/prakash-gorjilla-15081123/" TargetMode="External"/><Relationship Id="rId1305" Type="http://schemas.openxmlformats.org/officeDocument/2006/relationships/hyperlink" Target="https://www.linkedin.com/in/drswatipiramal/?originalSubdomain=in" TargetMode="External"/><Relationship Id="rId1789" Type="http://schemas.openxmlformats.org/officeDocument/2006/relationships/hyperlink" Target="https://www.linkedin.com/in/inderpreet-singh-2900605/" TargetMode="External"/><Relationship Id="rId54" Type="http://schemas.openxmlformats.org/officeDocument/2006/relationships/hyperlink" Target="http://linkedin.com/in/bhupindersingh-incred" TargetMode="External"/><Relationship Id="rId1306" Type="http://schemas.openxmlformats.org/officeDocument/2006/relationships/hyperlink" Target="https://www.linkedin.com/in/meena-ganesh-9460795/?originalSubdomain=in" TargetMode="External"/><Relationship Id="rId57" Type="http://schemas.openxmlformats.org/officeDocument/2006/relationships/hyperlink" Target="https://www.linkedin.com/in/avaneesh-nirjar-b447991/" TargetMode="External"/><Relationship Id="rId1307" Type="http://schemas.openxmlformats.org/officeDocument/2006/relationships/hyperlink" Target="https://www.linkedin.com/in/geetha-manjunath-82b8058/?originalSubdomain=in" TargetMode="External"/><Relationship Id="rId56" Type="http://schemas.openxmlformats.org/officeDocument/2006/relationships/hyperlink" Target="https://www.linkedin.com/in/alok-bansal-23b04a4/" TargetMode="External"/><Relationship Id="rId1308" Type="http://schemas.openxmlformats.org/officeDocument/2006/relationships/hyperlink" Target="https://www.linkedin.com/in/mitika-gupta-9373531/" TargetMode="External"/><Relationship Id="rId1309" Type="http://schemas.openxmlformats.org/officeDocument/2006/relationships/hyperlink" Target="https://www.linkedin.com/in/kavitha-iyer-rodrigues-8b8b29b/?originalSubdomain=in" TargetMode="External"/><Relationship Id="rId719" Type="http://schemas.openxmlformats.org/officeDocument/2006/relationships/hyperlink" Target="https://www.linkedin.com/in/dr-ranjit-rath-4a577814/" TargetMode="External"/><Relationship Id="rId718" Type="http://schemas.openxmlformats.org/officeDocument/2006/relationships/hyperlink" Target="https://www.linkedin.com/in/sanjiv-r-bajaj/" TargetMode="External"/><Relationship Id="rId717" Type="http://schemas.openxmlformats.org/officeDocument/2006/relationships/hyperlink" Target="https://www.linkedin.com/in/sunil-d-souza-6622065/" TargetMode="External"/><Relationship Id="rId712" Type="http://schemas.openxmlformats.org/officeDocument/2006/relationships/hyperlink" Target="https://www.linkedin.com/in/nadir-godrej-ba60663/" TargetMode="External"/><Relationship Id="rId711" Type="http://schemas.openxmlformats.org/officeDocument/2006/relationships/hyperlink" Target="https://www.linkedin.com/in/pirojsha-godrej/" TargetMode="External"/><Relationship Id="rId710" Type="http://schemas.openxmlformats.org/officeDocument/2006/relationships/hyperlink" Target="https://www.linkedin.com/in/anil-g-verma-a3096220/" TargetMode="External"/><Relationship Id="rId716" Type="http://schemas.openxmlformats.org/officeDocument/2006/relationships/hyperlink" Target="https://www.linkedin.com/in/rinkesh-roy-69191a68/" TargetMode="External"/><Relationship Id="rId715" Type="http://schemas.openxmlformats.org/officeDocument/2006/relationships/hyperlink" Target="https://www.linkedin.com/in/sharad-mahendra-478436b6/" TargetMode="External"/><Relationship Id="rId714" Type="http://schemas.openxmlformats.org/officeDocument/2006/relationships/hyperlink" Target="https://www.linkedin.com/in/jayant-acharya-32b415121/" TargetMode="External"/><Relationship Id="rId713" Type="http://schemas.openxmlformats.org/officeDocument/2006/relationships/hyperlink" Target="https://www.linkedin.com/in/vneet-s-jaain-24959015/" TargetMode="External"/><Relationship Id="rId59" Type="http://schemas.openxmlformats.org/officeDocument/2006/relationships/hyperlink" Target="https://www.linkedin.com/in/tarun-mathur-58abb49/" TargetMode="External"/><Relationship Id="rId58" Type="http://schemas.openxmlformats.org/officeDocument/2006/relationships/hyperlink" Target="https://www.linkedin.com/in/manoj-sharma-8ab030a/" TargetMode="External"/><Relationship Id="rId1780" Type="http://schemas.openxmlformats.org/officeDocument/2006/relationships/hyperlink" Target="https://www.linkedin.com/in/roopalikagalwala/?originalSubdomain=in" TargetMode="External"/><Relationship Id="rId1781" Type="http://schemas.openxmlformats.org/officeDocument/2006/relationships/hyperlink" Target="https://www.linkedin.com/in/saunakghosh/?originalSubdomain=in" TargetMode="External"/><Relationship Id="rId1782" Type="http://schemas.openxmlformats.org/officeDocument/2006/relationships/hyperlink" Target="https://www.linkedin.com/in/savijeetsingh/?originalSubdomain=in" TargetMode="External"/><Relationship Id="rId1783" Type="http://schemas.openxmlformats.org/officeDocument/2006/relationships/hyperlink" Target="https://www.linkedin.com/in/shwetha811/?originalSubdomain=in" TargetMode="External"/><Relationship Id="rId1300" Type="http://schemas.openxmlformats.org/officeDocument/2006/relationships/hyperlink" Target="https://www.linkedin.com/in/shaik-mahafooz-4295a6256/" TargetMode="External"/><Relationship Id="rId1784" Type="http://schemas.openxmlformats.org/officeDocument/2006/relationships/hyperlink" Target="https://www.linkedin.com/in/smitha-rao-461621138/?originalSubdomain=in" TargetMode="External"/><Relationship Id="rId349" Type="http://schemas.openxmlformats.org/officeDocument/2006/relationships/hyperlink" Target="https://www.linkedin.com/in/ashishkashyap/" TargetMode="External"/><Relationship Id="rId348" Type="http://schemas.openxmlformats.org/officeDocument/2006/relationships/hyperlink" Target="http://linkedin.com/in/manoj-upadhyay-013a5410?originalSubdomain=in" TargetMode="External"/><Relationship Id="rId347" Type="http://schemas.openxmlformats.org/officeDocument/2006/relationships/hyperlink" Target="http://linkedin.com/in/kameshgoyal?originalSubdomain=in" TargetMode="External"/><Relationship Id="rId346" Type="http://schemas.openxmlformats.org/officeDocument/2006/relationships/hyperlink" Target="https://www.linkedin.com/in/aman-arora-20a8b945/" TargetMode="External"/><Relationship Id="rId341" Type="http://schemas.openxmlformats.org/officeDocument/2006/relationships/hyperlink" Target="https://www.linkedin.com/in/thirukumaran-nagarajan-51870242?originalSubdomain=in" TargetMode="External"/><Relationship Id="rId340" Type="http://schemas.openxmlformats.org/officeDocument/2006/relationships/hyperlink" Target="https://www.linkedin.com/in/geetanshbamania/" TargetMode="External"/><Relationship Id="rId345" Type="http://schemas.openxmlformats.org/officeDocument/2006/relationships/hyperlink" Target="https://www.linkedin.com/in/agastya-dalmia-10b05139/" TargetMode="External"/><Relationship Id="rId344" Type="http://schemas.openxmlformats.org/officeDocument/2006/relationships/hyperlink" Target="https://www.linkedin.com/in/ketan-patel-0814b7/" TargetMode="External"/><Relationship Id="rId343" Type="http://schemas.openxmlformats.org/officeDocument/2006/relationships/hyperlink" Target="https://www.linkedin.com/in/manish-patel-827a1124/" TargetMode="External"/><Relationship Id="rId342" Type="http://schemas.openxmlformats.org/officeDocument/2006/relationships/hyperlink" Target="https://www.linkedin.com/in/ravi-vishvanathan-09922098/" TargetMode="External"/><Relationship Id="rId338" Type="http://schemas.openxmlformats.org/officeDocument/2006/relationships/hyperlink" Target="https://www.linkedin.com/in/vijay-arisetty-b952084/" TargetMode="External"/><Relationship Id="rId337" Type="http://schemas.openxmlformats.org/officeDocument/2006/relationships/hyperlink" Target="https://www.linkedin.com/in/rahulsanand/" TargetMode="External"/><Relationship Id="rId336" Type="http://schemas.openxmlformats.org/officeDocument/2006/relationships/hyperlink" Target="https://www.linkedin.com/in/aniketdeb/" TargetMode="External"/><Relationship Id="rId335" Type="http://schemas.openxmlformats.org/officeDocument/2006/relationships/hyperlink" Target="https://www.linkedin.com/in/umangbedi/" TargetMode="External"/><Relationship Id="rId339" Type="http://schemas.openxmlformats.org/officeDocument/2006/relationships/hyperlink" Target="https://www.linkedin.com/in/abhishekkumariima/" TargetMode="External"/><Relationship Id="rId330" Type="http://schemas.openxmlformats.org/officeDocument/2006/relationships/hyperlink" Target="https://www.linkedin.com/in/parikshitdar/" TargetMode="External"/><Relationship Id="rId334" Type="http://schemas.openxmlformats.org/officeDocument/2006/relationships/hyperlink" Target="https://www.linkedin.com/in/virendra-gupta-190a44/" TargetMode="External"/><Relationship Id="rId333" Type="http://schemas.openxmlformats.org/officeDocument/2006/relationships/hyperlink" Target="https://www.linkedin.com/in/sahasmalhotra/" TargetMode="External"/><Relationship Id="rId332" Type="http://schemas.openxmlformats.org/officeDocument/2006/relationships/hyperlink" Target="https://www.linkedin.com/in/asshah76/" TargetMode="External"/><Relationship Id="rId331" Type="http://schemas.openxmlformats.org/officeDocument/2006/relationships/hyperlink" Target="https://www.linkedin.com/in/agarwalmanu/" TargetMode="External"/><Relationship Id="rId370" Type="http://schemas.openxmlformats.org/officeDocument/2006/relationships/hyperlink" Target="https://www.linkedin.com/in/deepit-purkayastha/" TargetMode="External"/><Relationship Id="rId369" Type="http://schemas.openxmlformats.org/officeDocument/2006/relationships/hyperlink" Target="https://www.linkedin.com/in/azhariqubal/" TargetMode="External"/><Relationship Id="rId368" Type="http://schemas.openxmlformats.org/officeDocument/2006/relationships/hyperlink" Target="https://www.linkedin.com/in/rajnishkumar-ixigo/" TargetMode="External"/><Relationship Id="rId363" Type="http://schemas.openxmlformats.org/officeDocument/2006/relationships/hyperlink" Target="https://www.linkedin.com/in/kumarvimal?originalSubdomain=in" TargetMode="External"/><Relationship Id="rId362" Type="http://schemas.openxmlformats.org/officeDocument/2006/relationships/hyperlink" Target="https://www.linkedin.com/in/neeraj-biyani-7411234/" TargetMode="External"/><Relationship Id="rId361" Type="http://schemas.openxmlformats.org/officeDocument/2006/relationships/hyperlink" Target="https://www.linkedin.com/in/neeraj-kakkar-2410839/" TargetMode="External"/><Relationship Id="rId360" Type="http://schemas.openxmlformats.org/officeDocument/2006/relationships/hyperlink" Target="https://www.linkedin.com/in/architgupta/" TargetMode="External"/><Relationship Id="rId367" Type="http://schemas.openxmlformats.org/officeDocument/2006/relationships/hyperlink" Target="https://www.linkedin.com/in/alokebajpai/" TargetMode="External"/><Relationship Id="rId366" Type="http://schemas.openxmlformats.org/officeDocument/2006/relationships/hyperlink" Target="https://www.linkedin.com/in/rohit-chennamaneni/" TargetMode="External"/><Relationship Id="rId365" Type="http://schemas.openxmlformats.org/officeDocument/2006/relationships/hyperlink" Target="https://www.linkedin.com/in/chaitanyapeddi/" TargetMode="External"/><Relationship Id="rId364" Type="http://schemas.openxmlformats.org/officeDocument/2006/relationships/hyperlink" Target="https://www.linkedin.com/in/jayantpaleti/" TargetMode="External"/><Relationship Id="rId95" Type="http://schemas.openxmlformats.org/officeDocument/2006/relationships/hyperlink" Target="https://www.linkedin.com/in/pinky-poojary/?originalSubdomain=in" TargetMode="External"/><Relationship Id="rId94" Type="http://schemas.openxmlformats.org/officeDocument/2006/relationships/hyperlink" Target="https://www.linkedin.com/in/priyanka-salot-3ba9617/?originalSubdomain=in" TargetMode="External"/><Relationship Id="rId97" Type="http://schemas.openxmlformats.org/officeDocument/2006/relationships/hyperlink" Target="https://www.linkedin.com/in/rajatdeshpande/" TargetMode="External"/><Relationship Id="rId96" Type="http://schemas.openxmlformats.org/officeDocument/2006/relationships/hyperlink" Target="https://www.linkedin.com/in/brahma-dev-b28a8b360/?originalSubdomain=in" TargetMode="External"/><Relationship Id="rId99" Type="http://schemas.openxmlformats.org/officeDocument/2006/relationships/hyperlink" Target="https://www.linkedin.com/in/deshpandeanant/" TargetMode="External"/><Relationship Id="rId98" Type="http://schemas.openxmlformats.org/officeDocument/2006/relationships/hyperlink" Target="https://www.linkedin.com/in/srijannagar/" TargetMode="External"/><Relationship Id="rId91" Type="http://schemas.openxmlformats.org/officeDocument/2006/relationships/hyperlink" Target="https://www.linkedin.com/in/veena-b-90408593/?originalSubdomain=in" TargetMode="External"/><Relationship Id="rId90" Type="http://schemas.openxmlformats.org/officeDocument/2006/relationships/hyperlink" Target="https://www.linkedin.com/in/prashanthaluru/?originalSubdomain=in" TargetMode="External"/><Relationship Id="rId93" Type="http://schemas.openxmlformats.org/officeDocument/2006/relationships/hyperlink" Target="https://www.linkedin.com/in/harshil-salot-7421a16/?originalSubdomain=in" TargetMode="External"/><Relationship Id="rId92" Type="http://schemas.openxmlformats.org/officeDocument/2006/relationships/hyperlink" Target="https://www.linkedin.com/in/florenciaquinteros/?originalSubdomain=au" TargetMode="External"/><Relationship Id="rId359" Type="http://schemas.openxmlformats.org/officeDocument/2006/relationships/hyperlink" Target="http://linkedin.com/in/ravish-naresh-72543359?originalSubdomain=in" TargetMode="External"/><Relationship Id="rId358" Type="http://schemas.openxmlformats.org/officeDocument/2006/relationships/hyperlink" Target="https://www.linkedin.com/in/vinay-sanghi-296a4413/" TargetMode="External"/><Relationship Id="rId357" Type="http://schemas.openxmlformats.org/officeDocument/2006/relationships/hyperlink" Target="https://www.linkedin.com/in/arjun-shetty-bb/" TargetMode="External"/><Relationship Id="rId352" Type="http://schemas.openxmlformats.org/officeDocument/2006/relationships/hyperlink" Target="https://www.linkedin.com/in/rikantpitti/" TargetMode="External"/><Relationship Id="rId351" Type="http://schemas.openxmlformats.org/officeDocument/2006/relationships/hyperlink" Target="https://www.linkedin.com/in/nishant-pitti-a956b079/" TargetMode="External"/><Relationship Id="rId350" Type="http://schemas.openxmlformats.org/officeDocument/2006/relationships/hyperlink" Target="https://www.linkedin.com/in/execamit/" TargetMode="External"/><Relationship Id="rId356" Type="http://schemas.openxmlformats.org/officeDocument/2006/relationships/hyperlink" Target="https://www.linkedin.com/in/adhilshetty/" TargetMode="External"/><Relationship Id="rId355" Type="http://schemas.openxmlformats.org/officeDocument/2006/relationships/hyperlink" Target="https://www.linkedin.com/in/ajaylakhotia/" TargetMode="External"/><Relationship Id="rId354" Type="http://schemas.openxmlformats.org/officeDocument/2006/relationships/hyperlink" Target="https://www.linkedin.com/in/saumya-singh-rathore/" TargetMode="External"/><Relationship Id="rId353" Type="http://schemas.openxmlformats.org/officeDocument/2006/relationships/hyperlink" Target="https://www.linkedin.com/in/paavan-nanda-68b41924/" TargetMode="External"/><Relationship Id="rId1378" Type="http://schemas.openxmlformats.org/officeDocument/2006/relationships/hyperlink" Target="https://www.linkedin.com/in/satyakamgnaik/?originalSubdomain=in" TargetMode="External"/><Relationship Id="rId1379" Type="http://schemas.openxmlformats.org/officeDocument/2006/relationships/hyperlink" Target="https://www.linkedin.com/in/vikash-sureka-3086067/?originalSubdomain=in" TargetMode="External"/><Relationship Id="rId305" Type="http://schemas.openxmlformats.org/officeDocument/2006/relationships/hyperlink" Target="https://www.linkedin.com/in/chaitanyaramalingegowda/" TargetMode="External"/><Relationship Id="rId789" Type="http://schemas.openxmlformats.org/officeDocument/2006/relationships/hyperlink" Target="https://www.linkedin.com/in/deepigoyal?utm_source=share&amp;utm_campaign=share_via&amp;utm_content=profile&amp;utm_medium=android_app" TargetMode="External"/><Relationship Id="rId304" Type="http://schemas.openxmlformats.org/officeDocument/2006/relationships/hyperlink" Target="https://www.linkedin.com/in/ankitgarg-wakefit/" TargetMode="External"/><Relationship Id="rId788" Type="http://schemas.openxmlformats.org/officeDocument/2006/relationships/hyperlink" Target="https://www.linkedin.com/in/riteshagar?utm_source=share&amp;utm_campaign=share_via&amp;utm_content=profile&amp;utm_medium=android_app" TargetMode="External"/><Relationship Id="rId303" Type="http://schemas.openxmlformats.org/officeDocument/2006/relationships/hyperlink" Target="https://www.linkedin.com/in/tanuj-choudhry/" TargetMode="External"/><Relationship Id="rId787" Type="http://schemas.openxmlformats.org/officeDocument/2006/relationships/hyperlink" Target="https://www.linkedin.com/in/mubansal?utm_source=share&amp;utm_campaign=share_via&amp;utm_content=profile&amp;utm_medium=android_app" TargetMode="External"/><Relationship Id="rId302" Type="http://schemas.openxmlformats.org/officeDocument/2006/relationships/hyperlink" Target="https://www.linkedin.com/in/iyersrikanth/" TargetMode="External"/><Relationship Id="rId786" Type="http://schemas.openxmlformats.org/officeDocument/2006/relationships/hyperlink" Target="https://www.linkedin.com/in/kunalbahl?utm_source=share&amp;utm_campaign=share_via&amp;utm_content=profile&amp;utm_medium=android_app" TargetMode="External"/><Relationship Id="rId309" Type="http://schemas.openxmlformats.org/officeDocument/2006/relationships/hyperlink" Target="http://linkedin.com/in/shankarprasad?originalSubdomain=in" TargetMode="External"/><Relationship Id="rId308" Type="http://schemas.openxmlformats.org/officeDocument/2006/relationships/hyperlink" Target="https://www.linkedin.com/in/vikas-lachhwani/" TargetMode="External"/><Relationship Id="rId307" Type="http://schemas.openxmlformats.org/officeDocument/2006/relationships/hyperlink" Target="https://www.linkedin.com/in/tarun-sharma-a5993328?originalSubdomain=in" TargetMode="External"/><Relationship Id="rId306" Type="http://schemas.openxmlformats.org/officeDocument/2006/relationships/hyperlink" Target="https://www.linkedin.com/in/shantanudeshpandebsc/" TargetMode="External"/><Relationship Id="rId781" Type="http://schemas.openxmlformats.org/officeDocument/2006/relationships/hyperlink" Target="https://www.linkedin.com/in/-yashdeepsingh/?originalSubdomain=in" TargetMode="External"/><Relationship Id="rId1370" Type="http://schemas.openxmlformats.org/officeDocument/2006/relationships/hyperlink" Target="https://www.linkedin.com/in/kumartanmay/?originalSubdomain=in" TargetMode="External"/><Relationship Id="rId780" Type="http://schemas.openxmlformats.org/officeDocument/2006/relationships/hyperlink" Target="https://www.linkedin.com/in/ism555/?originalSubdomain=in" TargetMode="External"/><Relationship Id="rId1371" Type="http://schemas.openxmlformats.org/officeDocument/2006/relationships/hyperlink" Target="https://www.linkedin.com/in/amit-sachdeva-a756537/?originalSubdomain=in" TargetMode="External"/><Relationship Id="rId1372" Type="http://schemas.openxmlformats.org/officeDocument/2006/relationships/hyperlink" Target="https://www.linkedin.com/in/ashwath-bhat-41784816/" TargetMode="External"/><Relationship Id="rId1373" Type="http://schemas.openxmlformats.org/officeDocument/2006/relationships/hyperlink" Target="https://www.linkedin.com/in/mrieke/?originalSubdomain=nl" TargetMode="External"/><Relationship Id="rId301" Type="http://schemas.openxmlformats.org/officeDocument/2006/relationships/hyperlink" Target="https://www.linkedin.com/in/virendra-ranawat/" TargetMode="External"/><Relationship Id="rId785" Type="http://schemas.openxmlformats.org/officeDocument/2006/relationships/hyperlink" Target="https://www.linkedin.com/in/peyushbansal/?originalSubdomain=in" TargetMode="External"/><Relationship Id="rId1374" Type="http://schemas.openxmlformats.org/officeDocument/2006/relationships/hyperlink" Target="https://www.linkedin.com/in/rajesh-agarwal-b844b38/?originalSubdomain=in" TargetMode="External"/><Relationship Id="rId300" Type="http://schemas.openxmlformats.org/officeDocument/2006/relationships/hyperlink" Target="https://www.linkedin.com/in/lokendra-singh-ranawat-84324117/" TargetMode="External"/><Relationship Id="rId784" Type="http://schemas.openxmlformats.org/officeDocument/2006/relationships/hyperlink" Target="https://www.linkedin.com/in/ashneer/?originalSubdomain=in" TargetMode="External"/><Relationship Id="rId1375" Type="http://schemas.openxmlformats.org/officeDocument/2006/relationships/hyperlink" Target="https://www.linkedin.com/in/nitin-sood-458b5615/?originalSubdomain=in" TargetMode="External"/><Relationship Id="rId783" Type="http://schemas.openxmlformats.org/officeDocument/2006/relationships/hyperlink" Target="https://www.linkedin.com/in/vineetasingh?utm_source=share&amp;utm_campaign=share_via&amp;utm_content=profile&amp;utm_medium=android_app" TargetMode="External"/><Relationship Id="rId1376" Type="http://schemas.openxmlformats.org/officeDocument/2006/relationships/hyperlink" Target="https://www.linkedin.com/in/reemajhunjhunwala/?originalSubdomain=in" TargetMode="External"/><Relationship Id="rId782" Type="http://schemas.openxmlformats.org/officeDocument/2006/relationships/hyperlink" Target="https://www.linkedin.com/in/aman-gupta-7217a515?utm_source=share&amp;utm_campaign=share_via&amp;utm_content=profile&amp;utm_medium=android_app" TargetMode="External"/><Relationship Id="rId1377" Type="http://schemas.openxmlformats.org/officeDocument/2006/relationships/hyperlink" Target="https://www.linkedin.com/in/nalin-negi-8a9bbb3/?originalSubdomain=in" TargetMode="External"/><Relationship Id="rId1367" Type="http://schemas.openxmlformats.org/officeDocument/2006/relationships/hyperlink" Target="https://www.linkedin.com/in/anuragsinha2/?originalSubdomain=in" TargetMode="External"/><Relationship Id="rId1368" Type="http://schemas.openxmlformats.org/officeDocument/2006/relationships/hyperlink" Target="https://www.linkedin.com/in/vaidyanathan-mahadevan-01086b7/?originalSubdomain=in" TargetMode="External"/><Relationship Id="rId1369" Type="http://schemas.openxmlformats.org/officeDocument/2006/relationships/hyperlink" Target="https://www.linkedin.com/in/sanjay-jhawar-23468552/?originalSubdomain=in" TargetMode="External"/><Relationship Id="rId778" Type="http://schemas.openxmlformats.org/officeDocument/2006/relationships/hyperlink" Target="https://www.linkedin.com/in/supriyagoswami/" TargetMode="External"/><Relationship Id="rId777" Type="http://schemas.openxmlformats.org/officeDocument/2006/relationships/hyperlink" Target="https://www.linkedin.com/in/smitha-rao-461621138/?originalSubdomain=in" TargetMode="External"/><Relationship Id="rId776" Type="http://schemas.openxmlformats.org/officeDocument/2006/relationships/hyperlink" Target="https://www.linkedin.com/in/shwetha811/?originalSubdomain=in" TargetMode="External"/><Relationship Id="rId775" Type="http://schemas.openxmlformats.org/officeDocument/2006/relationships/hyperlink" Target="https://www.linkedin.com/in/savijeetsingh/?originalSubdomain=in" TargetMode="External"/><Relationship Id="rId779" Type="http://schemas.openxmlformats.org/officeDocument/2006/relationships/hyperlink" Target="https://www.linkedin.com/in/uditagarwal/?originalSubdomain=in" TargetMode="External"/><Relationship Id="rId770" Type="http://schemas.openxmlformats.org/officeDocument/2006/relationships/hyperlink" Target="https://www.linkedin.com/in/prasanth-naidu-9b05a638/?originalSubdomain=in" TargetMode="External"/><Relationship Id="rId1360" Type="http://schemas.openxmlformats.org/officeDocument/2006/relationships/hyperlink" Target="https://www.linkedin.com/in/arpitjaincacs/?originalSubdomain=in" TargetMode="External"/><Relationship Id="rId1361" Type="http://schemas.openxmlformats.org/officeDocument/2006/relationships/hyperlink" Target="https://www.linkedin.com/in/saurabh-agarwal-a882a2a/?originalSubdomain=in" TargetMode="External"/><Relationship Id="rId1362" Type="http://schemas.openxmlformats.org/officeDocument/2006/relationships/hyperlink" Target="https://www.linkedin.com/in/deena-jacob-348b8b4/?originalSubdomain=in" TargetMode="External"/><Relationship Id="rId774" Type="http://schemas.openxmlformats.org/officeDocument/2006/relationships/hyperlink" Target="https://www.linkedin.com/in/saunakghosh/?originalSubdomain=in" TargetMode="External"/><Relationship Id="rId1363" Type="http://schemas.openxmlformats.org/officeDocument/2006/relationships/hyperlink" Target="https://www.linkedin.com/in/vijaynp/?originalSubdomain=in" TargetMode="External"/><Relationship Id="rId773" Type="http://schemas.openxmlformats.org/officeDocument/2006/relationships/hyperlink" Target="https://www.linkedin.com/in/roopalikagalwala/?originalSubdomain=in" TargetMode="External"/><Relationship Id="rId1364" Type="http://schemas.openxmlformats.org/officeDocument/2006/relationships/hyperlink" Target="https://www.linkedin.com/in/ankush-jain-68746014/?originalSubdomain=in" TargetMode="External"/><Relationship Id="rId772" Type="http://schemas.openxmlformats.org/officeDocument/2006/relationships/hyperlink" Target="https://www.linkedin.com/in/resha-jain-4864007/?originalSubdomain=in" TargetMode="External"/><Relationship Id="rId1365" Type="http://schemas.openxmlformats.org/officeDocument/2006/relationships/hyperlink" Target="https://www.linkedin.com/in/rahul1tewari/?originalSubdomain=in" TargetMode="External"/><Relationship Id="rId771" Type="http://schemas.openxmlformats.org/officeDocument/2006/relationships/hyperlink" Target="https://www.linkedin.com/in/ram-deshpande-ramd316/?originalSubdomain=in" TargetMode="External"/><Relationship Id="rId1366" Type="http://schemas.openxmlformats.org/officeDocument/2006/relationships/hyperlink" Target="https://www.linkedin.com/in/caashishshah/?originalSubdomain=in" TargetMode="External"/><Relationship Id="rId327" Type="http://schemas.openxmlformats.org/officeDocument/2006/relationships/hyperlink" Target="https://www.linkedin.com/in/kabeerbiswas/" TargetMode="External"/><Relationship Id="rId326" Type="http://schemas.openxmlformats.org/officeDocument/2006/relationships/hyperlink" Target="https://www.linkedin.com/in/kaivalya-vohra/" TargetMode="External"/><Relationship Id="rId325" Type="http://schemas.openxmlformats.org/officeDocument/2006/relationships/hyperlink" Target="https://www.linkedin.com/in/aadit-palicha/" TargetMode="External"/><Relationship Id="rId324" Type="http://schemas.openxmlformats.org/officeDocument/2006/relationships/hyperlink" Target="https://www.linkedin.com/in/sachin-nandwana-1b3b2413/" TargetMode="External"/><Relationship Id="rId329" Type="http://schemas.openxmlformats.org/officeDocument/2006/relationships/hyperlink" Target="https://www.linkedin.com/in/ashishhemrajani/" TargetMode="External"/><Relationship Id="rId1390" Type="http://schemas.openxmlformats.org/officeDocument/2006/relationships/hyperlink" Target="https://www.linkedin.com/in/siva1982/?originalSubdomain=in" TargetMode="External"/><Relationship Id="rId328" Type="http://schemas.openxmlformats.org/officeDocument/2006/relationships/hyperlink" Target="https://www.linkedin.com/in/dalvir-suri-5b078918/" TargetMode="External"/><Relationship Id="rId1391" Type="http://schemas.openxmlformats.org/officeDocument/2006/relationships/hyperlink" Target="https://www.linkedin.com/in/rohit-goyal1/?originalSubdomain=in" TargetMode="External"/><Relationship Id="rId1392" Type="http://schemas.openxmlformats.org/officeDocument/2006/relationships/hyperlink" Target="https://www.linkedin.com/in/sudhesh-chandrasekar/?originalSubdomain=in" TargetMode="External"/><Relationship Id="rId1393" Type="http://schemas.openxmlformats.org/officeDocument/2006/relationships/hyperlink" Target="https://www.linkedin.com/in/prabhat-agarwal/?originalSubdomain=in" TargetMode="External"/><Relationship Id="rId1394" Type="http://schemas.openxmlformats.org/officeDocument/2006/relationships/hyperlink" Target="https://www.linkedin.com/in/scott-b-4513915/" TargetMode="External"/><Relationship Id="rId1395" Type="http://schemas.openxmlformats.org/officeDocument/2006/relationships/hyperlink" Target="https://www.linkedin.com/in/karishmagupta6/" TargetMode="External"/><Relationship Id="rId323" Type="http://schemas.openxmlformats.org/officeDocument/2006/relationships/hyperlink" Target="https://www.linkedin.com/in/sateeshnukala/" TargetMode="External"/><Relationship Id="rId1396" Type="http://schemas.openxmlformats.org/officeDocument/2006/relationships/hyperlink" Target="https://www.linkedin.com/in/ankver/" TargetMode="External"/><Relationship Id="rId322" Type="http://schemas.openxmlformats.org/officeDocument/2006/relationships/hyperlink" Target="https://www.linkedin.com/in/ishbabbar/" TargetMode="External"/><Relationship Id="rId1397" Type="http://schemas.openxmlformats.org/officeDocument/2006/relationships/hyperlink" Target="https://www.linkedin.com/in/dhiresh/?originalSubdomain=in" TargetMode="External"/><Relationship Id="rId321" Type="http://schemas.openxmlformats.org/officeDocument/2006/relationships/hyperlink" Target="https://www.linkedin.com/in/ankit-agrawal-0a95057/" TargetMode="External"/><Relationship Id="rId1398" Type="http://schemas.openxmlformats.org/officeDocument/2006/relationships/hyperlink" Target="https://www.linkedin.com/in/deepak-jajodia-109b186/?originalSubdomain=in" TargetMode="External"/><Relationship Id="rId320" Type="http://schemas.openxmlformats.org/officeDocument/2006/relationships/hyperlink" Target="https://www.linkedin.com/in/nakulkumar/" TargetMode="External"/><Relationship Id="rId1399" Type="http://schemas.openxmlformats.org/officeDocument/2006/relationships/hyperlink" Target="https://www.linkedin.com/in/ashish-shand-178b24117/?originalSubdomain=in" TargetMode="External"/><Relationship Id="rId1389" Type="http://schemas.openxmlformats.org/officeDocument/2006/relationships/hyperlink" Target="https://www.linkedin.com/in/abhinavpjain/?originalSubdomain=in" TargetMode="External"/><Relationship Id="rId316" Type="http://schemas.openxmlformats.org/officeDocument/2006/relationships/hyperlink" Target="https://www.linkedin.com/in/lalchandbisu/" TargetMode="External"/><Relationship Id="rId315" Type="http://schemas.openxmlformats.org/officeDocument/2006/relationships/hyperlink" Target="https://www.linkedin.com/in/punit-k-goyal/" TargetMode="External"/><Relationship Id="rId799" Type="http://schemas.openxmlformats.org/officeDocument/2006/relationships/hyperlink" Target="https://www.linkedin.com/in/melanieperkins/?originalSubdomain=au" TargetMode="External"/><Relationship Id="rId314" Type="http://schemas.openxmlformats.org/officeDocument/2006/relationships/hyperlink" Target="https://www.linkedin.com/in/anmolsinghjaggi/" TargetMode="External"/><Relationship Id="rId798" Type="http://schemas.openxmlformats.org/officeDocument/2006/relationships/hyperlink" Target="https://www.linkedin.com/in/gymshark/?originalSubdomain=uk" TargetMode="External"/><Relationship Id="rId313" Type="http://schemas.openxmlformats.org/officeDocument/2006/relationships/hyperlink" Target="https://www.linkedin.com/in/samarth-narang/" TargetMode="External"/><Relationship Id="rId797" Type="http://schemas.openxmlformats.org/officeDocument/2006/relationships/hyperlink" Target="https://www.linkedin.com/in/divya-gokulnath/?originalSubdomain=in" TargetMode="External"/><Relationship Id="rId319" Type="http://schemas.openxmlformats.org/officeDocument/2006/relationships/hyperlink" Target="https://www.linkedin.com/in/mandeepmanocha/" TargetMode="External"/><Relationship Id="rId318" Type="http://schemas.openxmlformats.org/officeDocument/2006/relationships/hyperlink" Target="https://www.linkedin.com/in/vikas-goyal-76a66627/" TargetMode="External"/><Relationship Id="rId317" Type="http://schemas.openxmlformats.org/officeDocument/2006/relationships/hyperlink" Target="https://www.linkedin.com/in/vinod-kumar-meena-0b3a165a/" TargetMode="External"/><Relationship Id="rId1380" Type="http://schemas.openxmlformats.org/officeDocument/2006/relationships/hyperlink" Target="https://www.linkedin.com/in/pulkit-bhandari-86650b37/?originalSubdomain=in" TargetMode="External"/><Relationship Id="rId792" Type="http://schemas.openxmlformats.org/officeDocument/2006/relationships/hyperlink" Target="https://www.linkedin.com/in/harshj22?utm_source=share&amp;utm_campaign=share_via&amp;utm_content=profile&amp;utm_medium=android_app" TargetMode="External"/><Relationship Id="rId1381" Type="http://schemas.openxmlformats.org/officeDocument/2006/relationships/hyperlink" Target="https://www.linkedin.com/in/chrisgreiner1/" TargetMode="External"/><Relationship Id="rId791" Type="http://schemas.openxmlformats.org/officeDocument/2006/relationships/hyperlink" Target="https://www.linkedin.com/in/byju-raveendran-4397b3350?utm_source=share&amp;utm_campaign=share_via&amp;utm_content=profile&amp;utm_medium=android_app" TargetMode="External"/><Relationship Id="rId1382" Type="http://schemas.openxmlformats.org/officeDocument/2006/relationships/hyperlink" Target="https://www.linkedin.com/in/pankaj-jain-b443211/?originalSubdomain=in" TargetMode="External"/><Relationship Id="rId790" Type="http://schemas.openxmlformats.org/officeDocument/2006/relationships/hyperlink" Target="https://www.linkedin.com/in/bhavishaggarwal?utm_source=share&amp;utm_campaign=share_via&amp;utm_content=profile&amp;utm_medium=android_app" TargetMode="External"/><Relationship Id="rId1383" Type="http://schemas.openxmlformats.org/officeDocument/2006/relationships/hyperlink" Target="https://www.linkedin.com/in/ravi-hans-jora-685b6151/?originalSubdomain=in" TargetMode="External"/><Relationship Id="rId1384" Type="http://schemas.openxmlformats.org/officeDocument/2006/relationships/hyperlink" Target="https://www.linkedin.com/in/mayank1180/?originalSubdomain=in" TargetMode="External"/><Relationship Id="rId312" Type="http://schemas.openxmlformats.org/officeDocument/2006/relationships/hyperlink" Target="https://www.linkedin.com/in/rashinarang/" TargetMode="External"/><Relationship Id="rId796" Type="http://schemas.openxmlformats.org/officeDocument/2006/relationships/hyperlink" Target="https://www.linkedin.com/in/lucy-guo-a7804955?utm_source=share&amp;utm_campaign=share_via&amp;utm_content=profile&amp;utm_medium=android_app" TargetMode="External"/><Relationship Id="rId1385" Type="http://schemas.openxmlformats.org/officeDocument/2006/relationships/hyperlink" Target="https://www.linkedin.com/in/manohar-charan/?originalSubdomain=in" TargetMode="External"/><Relationship Id="rId311" Type="http://schemas.openxmlformats.org/officeDocument/2006/relationships/hyperlink" Target="https://www.linkedin.com/in/rahul-yadav-minimalist/" TargetMode="External"/><Relationship Id="rId795" Type="http://schemas.openxmlformats.org/officeDocument/2006/relationships/hyperlink" Target="https://www.linkedin.com/in/alexisohanian?utm_source=share&amp;utm_campaign=share_via&amp;utm_content=profile&amp;utm_medium=android_app" TargetMode="External"/><Relationship Id="rId1386" Type="http://schemas.openxmlformats.org/officeDocument/2006/relationships/hyperlink" Target="https://www.linkedin.com/in/vinay-juluri-24b02555/?originalSubdomain=in" TargetMode="External"/><Relationship Id="rId310" Type="http://schemas.openxmlformats.org/officeDocument/2006/relationships/hyperlink" Target="https://www.linkedin.com/in/mohit-yadav-minimalist/" TargetMode="External"/><Relationship Id="rId794" Type="http://schemas.openxmlformats.org/officeDocument/2006/relationships/hyperlink" Target="https://www.linkedin.com/in/aarthir?utm_source=share&amp;utm_campaign=share_via&amp;utm_content=profile&amp;utm_medium=android_app" TargetMode="External"/><Relationship Id="rId1387" Type="http://schemas.openxmlformats.org/officeDocument/2006/relationships/hyperlink" Target="https://www.linkedin.com/in/abhay-mathur-aba9aa5/?originalSubdomain=in" TargetMode="External"/><Relationship Id="rId793" Type="http://schemas.openxmlformats.org/officeDocument/2006/relationships/hyperlink" Target="https://www.linkedin.com/in/harshilmathur?utm_source=share&amp;utm_campaign=share_via&amp;utm_content=profile&amp;utm_medium=android_app" TargetMode="External"/><Relationship Id="rId1388" Type="http://schemas.openxmlformats.org/officeDocument/2006/relationships/hyperlink" Target="https://www.linkedin.com/in/ankit-gadia-958bb514/?originalSubdomain=in" TargetMode="External"/><Relationship Id="rId297" Type="http://schemas.openxmlformats.org/officeDocument/2006/relationships/hyperlink" Target="https://www.linkedin.com/in/nikita-prasad-giva/" TargetMode="External"/><Relationship Id="rId296" Type="http://schemas.openxmlformats.org/officeDocument/2006/relationships/hyperlink" Target="https://www.linkedin.com/in/ishendra-agarwal-23a91a55/" TargetMode="External"/><Relationship Id="rId295" Type="http://schemas.openxmlformats.org/officeDocument/2006/relationships/hyperlink" Target="http://linkedin.com/in/saroja-yeramilli-2540321?originalSubdomain=in" TargetMode="External"/><Relationship Id="rId294" Type="http://schemas.openxmlformats.org/officeDocument/2006/relationships/hyperlink" Target="https://www.linkedin.com/in/gskush/" TargetMode="External"/><Relationship Id="rId299" Type="http://schemas.openxmlformats.org/officeDocument/2006/relationships/hyperlink" Target="https://www.linkedin.com/in/nitin-kaushal-cd/" TargetMode="External"/><Relationship Id="rId298" Type="http://schemas.openxmlformats.org/officeDocument/2006/relationships/hyperlink" Target="https://www.linkedin.com/in/chakradhar-gade/" TargetMode="External"/><Relationship Id="rId271" Type="http://schemas.openxmlformats.org/officeDocument/2006/relationships/hyperlink" Target="http://qure.ai" TargetMode="External"/><Relationship Id="rId270" Type="http://schemas.openxmlformats.org/officeDocument/2006/relationships/hyperlink" Target="https://www.linkedin.com/in/pwarier/" TargetMode="External"/><Relationship Id="rId269" Type="http://schemas.openxmlformats.org/officeDocument/2006/relationships/hyperlink" Target="http://qure.ai" TargetMode="External"/><Relationship Id="rId264" Type="http://schemas.openxmlformats.org/officeDocument/2006/relationships/hyperlink" Target="https://www.linkedin.com/in/enbasekar/" TargetMode="External"/><Relationship Id="rId263" Type="http://schemas.openxmlformats.org/officeDocument/2006/relationships/hyperlink" Target="https://www.linkedin.com/in/satishkannan16/" TargetMode="External"/><Relationship Id="rId262" Type="http://schemas.openxmlformats.org/officeDocument/2006/relationships/hyperlink" Target="https://www.linkedin.com/in/vatsal-singhal/" TargetMode="External"/><Relationship Id="rId261" Type="http://schemas.openxmlformats.org/officeDocument/2006/relationships/hyperlink" Target="https://www.linkedin.com/in/mohit-kumar-ultrahuman/" TargetMode="External"/><Relationship Id="rId268" Type="http://schemas.openxmlformats.org/officeDocument/2006/relationships/hyperlink" Target="https://www.linkedin.com/in/tarunbhambra/" TargetMode="External"/><Relationship Id="rId267" Type="http://schemas.openxmlformats.org/officeDocument/2006/relationships/hyperlink" Target="https://www.linkedin.com/in/dhruvgupta1?originalSubdomain=in" TargetMode="External"/><Relationship Id="rId266" Type="http://schemas.openxmlformats.org/officeDocument/2006/relationships/hyperlink" Target="https://www.linkedin.com/in/dheerajjain/" TargetMode="External"/><Relationship Id="rId265" Type="http://schemas.openxmlformats.org/officeDocument/2006/relationships/hyperlink" Target="https://www.linkedin.com/in/adityakandoi/" TargetMode="External"/><Relationship Id="rId260" Type="http://schemas.openxmlformats.org/officeDocument/2006/relationships/hyperlink" Target="https://www.linkedin.com/in/sachinshenoy/" TargetMode="External"/><Relationship Id="rId259" Type="http://schemas.openxmlformats.org/officeDocument/2006/relationships/hyperlink" Target="https://www.linkedin.com/in/tusharvashisht/" TargetMode="External"/><Relationship Id="rId258" Type="http://schemas.openxmlformats.org/officeDocument/2006/relationships/hyperlink" Target="https://www.linkedin.com/in/krishnakumar-simplilearn/" TargetMode="External"/><Relationship Id="rId253" Type="http://schemas.openxmlformats.org/officeDocument/2006/relationships/hyperlink" Target="https://www.linkedin.com/in/anil-nagar/" TargetMode="External"/><Relationship Id="rId252" Type="http://schemas.openxmlformats.org/officeDocument/2006/relationships/hyperlink" Target="https://www.linkedin.com/in/anshuman-singh-scaler/" TargetMode="External"/><Relationship Id="rId251" Type="http://schemas.openxmlformats.org/officeDocument/2006/relationships/hyperlink" Target="https://www.linkedin.com/in/abhimanyusaxena/" TargetMode="External"/><Relationship Id="rId250" Type="http://schemas.openxmlformats.org/officeDocument/2006/relationships/hyperlink" Target="https://www.linkedin.com/in/manankhurma/" TargetMode="External"/><Relationship Id="rId257" Type="http://schemas.openxmlformats.org/officeDocument/2006/relationships/hyperlink" Target="https://www.linkedin.com/in/akshaychaturvedi/" TargetMode="External"/><Relationship Id="rId256" Type="http://schemas.openxmlformats.org/officeDocument/2006/relationships/hyperlink" Target="https://www.linkedin.com/in/saurabh-jain-collegedekho/" TargetMode="External"/><Relationship Id="rId255" Type="http://schemas.openxmlformats.org/officeDocument/2006/relationships/hyperlink" Target="https://www.linkedin.com/in/aroraruchir?originalSubdomain=in" TargetMode="External"/><Relationship Id="rId254" Type="http://schemas.openxmlformats.org/officeDocument/2006/relationships/hyperlink" Target="https://www.linkedin.com/in/saurabh-bansal-adda247/" TargetMode="External"/><Relationship Id="rId293" Type="http://schemas.openxmlformats.org/officeDocument/2006/relationships/hyperlink" Target="https://www.linkedin.com/in/kaushikmukherjee/" TargetMode="External"/><Relationship Id="rId292" Type="http://schemas.openxmlformats.org/officeDocument/2006/relationships/hyperlink" Target="https://www.linkedin.com/in/vineetasingh-sugar/" TargetMode="External"/><Relationship Id="rId291" Type="http://schemas.openxmlformats.org/officeDocument/2006/relationships/hyperlink" Target="https://www.linkedin.com/in/saurabhtandon-betterplace/" TargetMode="External"/><Relationship Id="rId290" Type="http://schemas.openxmlformats.org/officeDocument/2006/relationships/hyperlink" Target="https://www.linkedin.com/in/pravinagarwala/" TargetMode="External"/><Relationship Id="rId286" Type="http://schemas.openxmlformats.org/officeDocument/2006/relationships/hyperlink" Target="https://www.linkedin.com/in/khadimbatti/" TargetMode="External"/><Relationship Id="rId285" Type="http://schemas.openxmlformats.org/officeDocument/2006/relationships/hyperlink" Target="https://www.linkedin.com/in/ishwarsridharan/" TargetMode="External"/><Relationship Id="rId284" Type="http://schemas.openxmlformats.org/officeDocument/2006/relationships/hyperlink" Target="https://www.linkedin.com/in/shivku/" TargetMode="External"/><Relationship Id="rId283" Type="http://schemas.openxmlformats.org/officeDocument/2006/relationships/hyperlink" Target="https://www.linkedin.com/in/amitlakhotia/" TargetMode="External"/><Relationship Id="rId289" Type="http://schemas.openxmlformats.org/officeDocument/2006/relationships/hyperlink" Target="https://www.linkedin.com/in/jaysingh-lambdatest/" TargetMode="External"/><Relationship Id="rId288" Type="http://schemas.openxmlformats.org/officeDocument/2006/relationships/hyperlink" Target="https://www.linkedin.com/in/asad-khan-lambdatest/" TargetMode="External"/><Relationship Id="rId287" Type="http://schemas.openxmlformats.org/officeDocument/2006/relationships/hyperlink" Target="https://www.linkedin.com/in/varakumar/" TargetMode="External"/><Relationship Id="rId282" Type="http://schemas.openxmlformats.org/officeDocument/2006/relationships/hyperlink" Target="https://www.linkedin.com/in/vaibhav-khandelwal/" TargetMode="External"/><Relationship Id="rId281" Type="http://schemas.openxmlformats.org/officeDocument/2006/relationships/hyperlink" Target="https://www.linkedin.com/in/abhishek-bansal-shadowfax/" TargetMode="External"/><Relationship Id="rId280" Type="http://schemas.openxmlformats.org/officeDocument/2006/relationships/hyperlink" Target="https://www.linkedin.com/in/gautam-kumar-fareye/" TargetMode="External"/><Relationship Id="rId275" Type="http://schemas.openxmlformats.org/officeDocument/2006/relationships/hyperlink" Target="https://www.linkedin.com/in/akash-gupta-greyorange/" TargetMode="External"/><Relationship Id="rId274" Type="http://schemas.openxmlformats.org/officeDocument/2006/relationships/hyperlink" Target="https://www.linkedin.com/in/samaykohli/" TargetMode="External"/><Relationship Id="rId273" Type="http://schemas.openxmlformats.org/officeDocument/2006/relationships/hyperlink" Target="https://www.linkedin.com/in/jitendrachouksey/" TargetMode="External"/><Relationship Id="rId272" Type="http://schemas.openxmlformats.org/officeDocument/2006/relationships/hyperlink" Target="https://www.linkedin.com/in/pooja-rao-qure/" TargetMode="External"/><Relationship Id="rId279" Type="http://schemas.openxmlformats.org/officeDocument/2006/relationships/hyperlink" Target="https://www.linkedin.com/in/gaurav-srivastava-fareye/" TargetMode="External"/><Relationship Id="rId278" Type="http://schemas.openxmlformats.org/officeDocument/2006/relationships/hyperlink" Target="https://www.linkedin.com/in/kushalnahata/" TargetMode="External"/><Relationship Id="rId277" Type="http://schemas.openxmlformats.org/officeDocument/2006/relationships/hyperlink" Target="https://www.linkedin.com/in/geet-garg/" TargetMode="External"/><Relationship Id="rId276" Type="http://schemas.openxmlformats.org/officeDocument/2006/relationships/hyperlink" Target="https://www.linkedin.com/in/nishithrastogi/" TargetMode="External"/><Relationship Id="rId1851" Type="http://schemas.openxmlformats.org/officeDocument/2006/relationships/hyperlink" Target="https://www.linkedin.com/in/saurabhnarain007/" TargetMode="External"/><Relationship Id="rId1852" Type="http://schemas.openxmlformats.org/officeDocument/2006/relationships/hyperlink" Target="https://www.linkedin.com/in/nagbhushan-rao-41670215/" TargetMode="External"/><Relationship Id="rId1853" Type="http://schemas.openxmlformats.org/officeDocument/2006/relationships/hyperlink" Target="https://www.linkedin.com/in/aman-mehta-25170960/" TargetMode="External"/><Relationship Id="rId1854" Type="http://schemas.openxmlformats.org/officeDocument/2006/relationships/hyperlink" Target="https://www.linkedin.com/in/parimol-balsaraf-47277321/" TargetMode="External"/><Relationship Id="rId1855" Type="http://schemas.openxmlformats.org/officeDocument/2006/relationships/hyperlink" Target="https://www.linkedin.com/in/snehit-ashok-joshi-1ba0875b/" TargetMode="External"/><Relationship Id="rId1856" Type="http://schemas.openxmlformats.org/officeDocument/2006/relationships/hyperlink" Target="http://linkedin.com/in/nishant-kumar-99240b3a/" TargetMode="External"/><Relationship Id="rId1857" Type="http://schemas.openxmlformats.org/officeDocument/2006/relationships/hyperlink" Target="https://www.linkedin.com/in/satyajit-maity-617980b/" TargetMode="External"/><Relationship Id="rId1858" Type="http://schemas.openxmlformats.org/officeDocument/2006/relationships/hyperlink" Target="https://www.linkedin.com/in/tarun-jha-2823161b/" TargetMode="External"/><Relationship Id="rId1859" Type="http://schemas.openxmlformats.org/officeDocument/2006/relationships/hyperlink" Target="https://www.linkedin.com/in/devotosh-kumar-das/" TargetMode="External"/><Relationship Id="rId1850" Type="http://schemas.openxmlformats.org/officeDocument/2006/relationships/hyperlink" Target="https://www.linkedin.com/in/debashis-sarkar-416b2713/" TargetMode="External"/><Relationship Id="rId1840" Type="http://schemas.openxmlformats.org/officeDocument/2006/relationships/hyperlink" Target="https://www.linkedin.com/in/prasann-shrivastava-6396b3b/" TargetMode="External"/><Relationship Id="rId1841" Type="http://schemas.openxmlformats.org/officeDocument/2006/relationships/hyperlink" Target="https://www.linkedin.com/in/abhijitsomvanshi/" TargetMode="External"/><Relationship Id="rId1842" Type="http://schemas.openxmlformats.org/officeDocument/2006/relationships/hyperlink" Target="https://www.linkedin.com/in/vijay-anandh-888a9612/" TargetMode="External"/><Relationship Id="rId1843" Type="http://schemas.openxmlformats.org/officeDocument/2006/relationships/hyperlink" Target="https://www.linkedin.com/in/azmat-habibulla62765911/" TargetMode="External"/><Relationship Id="rId1844" Type="http://schemas.openxmlformats.org/officeDocument/2006/relationships/hyperlink" Target="https://www.linkedin.com/in/somasreebose/" TargetMode="External"/><Relationship Id="rId1845" Type="http://schemas.openxmlformats.org/officeDocument/2006/relationships/hyperlink" Target="https://www.linkedin.com/in/soumyajit-mukherjee-9771b827/" TargetMode="External"/><Relationship Id="rId1846" Type="http://schemas.openxmlformats.org/officeDocument/2006/relationships/hyperlink" Target="https://www.linkedin.com/in/siddharth-gupta-65609214/" TargetMode="External"/><Relationship Id="rId1847" Type="http://schemas.openxmlformats.org/officeDocument/2006/relationships/hyperlink" Target="https://www.linkedin.com/in/mayank-pravinchandra-shah-bb38a61b/" TargetMode="External"/><Relationship Id="rId1848" Type="http://schemas.openxmlformats.org/officeDocument/2006/relationships/hyperlink" Target="https://www.linkedin.com/in/narendra-choudhari-1a97231a/?originalSubdomain=in" TargetMode="External"/><Relationship Id="rId1849" Type="http://schemas.openxmlformats.org/officeDocument/2006/relationships/hyperlink" Target="https://www.linkedin.com/in/supratiksengupta/" TargetMode="External"/><Relationship Id="rId1862" Type="http://schemas.openxmlformats.org/officeDocument/2006/relationships/hyperlink" Target="https://www.linkedin.com/in/parthasarathy-ramanujam-7b814349/" TargetMode="External"/><Relationship Id="rId1863" Type="http://schemas.openxmlformats.org/officeDocument/2006/relationships/hyperlink" Target="https://www.linkedin.com/in/shailendra-deshpande-8447517/" TargetMode="External"/><Relationship Id="rId1864" Type="http://schemas.openxmlformats.org/officeDocument/2006/relationships/hyperlink" Target="https://www.linkedin.com/in/jagdish-nainwal-48382815/" TargetMode="External"/><Relationship Id="rId1865" Type="http://schemas.openxmlformats.org/officeDocument/2006/relationships/hyperlink" Target="https://www.linkedin.com/in/sandeep-tanwani-771797/?originalSubdomain=in" TargetMode="External"/><Relationship Id="rId1866" Type="http://schemas.openxmlformats.org/officeDocument/2006/relationships/hyperlink" Target="http://linkedin.com/in/nitin-kore-b30214338/" TargetMode="External"/><Relationship Id="rId1867" Type="http://schemas.openxmlformats.org/officeDocument/2006/relationships/hyperlink" Target="https://www.linkedin.com/in/abhimanyu-roy-5983b914/" TargetMode="External"/><Relationship Id="rId1868" Type="http://schemas.openxmlformats.org/officeDocument/2006/relationships/drawing" Target="../drawings/drawing1.xml"/><Relationship Id="rId1860" Type="http://schemas.openxmlformats.org/officeDocument/2006/relationships/hyperlink" Target="https://www.linkedin.com/in/ajaymdang/?originalSubdomain=in" TargetMode="External"/><Relationship Id="rId1861" Type="http://schemas.openxmlformats.org/officeDocument/2006/relationships/hyperlink" Target="https://www.linkedin.com/in/pushp-raj-singh-4103a013/" TargetMode="External"/><Relationship Id="rId1810" Type="http://schemas.openxmlformats.org/officeDocument/2006/relationships/hyperlink" Target="https://www.linkedin.com/in/mansi-saxena-07610b1ab/" TargetMode="External"/><Relationship Id="rId1811" Type="http://schemas.openxmlformats.org/officeDocument/2006/relationships/hyperlink" Target="https://www.linkedin.com/in/milindpathak/" TargetMode="External"/><Relationship Id="rId1812" Type="http://schemas.openxmlformats.org/officeDocument/2006/relationships/hyperlink" Target="https://www.linkedin.com/in/mohitkochar/" TargetMode="External"/><Relationship Id="rId1813" Type="http://schemas.openxmlformats.org/officeDocument/2006/relationships/hyperlink" Target="https://www.linkedin.com/in/muskan-singh/" TargetMode="External"/><Relationship Id="rId1814" Type="http://schemas.openxmlformats.org/officeDocument/2006/relationships/hyperlink" Target="https://www.linkedin.com/in/nidhialexander/" TargetMode="External"/><Relationship Id="rId1815" Type="http://schemas.openxmlformats.org/officeDocument/2006/relationships/hyperlink" Target="https://www.linkedin.com/in/prafulg/" TargetMode="External"/><Relationship Id="rId1816" Type="http://schemas.openxmlformats.org/officeDocument/2006/relationships/hyperlink" Target="https://www.linkedin.com/in/pratip-francis-82ab537/?originalSubdomain=in" TargetMode="External"/><Relationship Id="rId1817" Type="http://schemas.openxmlformats.org/officeDocument/2006/relationships/hyperlink" Target="https://www.linkedin.com/in/ranjita-ghosh-24137120/" TargetMode="External"/><Relationship Id="rId1818" Type="http://schemas.openxmlformats.org/officeDocument/2006/relationships/hyperlink" Target="https://www.linkedin.com/in/ravi-santhanam-089b065/" TargetMode="External"/><Relationship Id="rId1819" Type="http://schemas.openxmlformats.org/officeDocument/2006/relationships/hyperlink" Target="https://www.linkedin.com/in/rekha-sahay-3aa6961/" TargetMode="External"/><Relationship Id="rId1800" Type="http://schemas.openxmlformats.org/officeDocument/2006/relationships/hyperlink" Target="https://www.linkedin.com/in/abkumar/?originalSubdomain=be" TargetMode="External"/><Relationship Id="rId1801" Type="http://schemas.openxmlformats.org/officeDocument/2006/relationships/hyperlink" Target="https://www.linkedin.com/in/adityanmktng/overlay/contact-info/?lipi=urn%3Ali%3Apage%3Ad_flagship3_profile_view_base%3ByOGJn2JlS4C1izXgA6Y1QQ%3D%3D" TargetMode="External"/><Relationship Id="rId1802" Type="http://schemas.openxmlformats.org/officeDocument/2006/relationships/hyperlink" Target="https://www.linkedin.com/in/sehgalanshul/overlay/contact-info/?lipi=urn%3Ali%3Apage%3Ad_flagship3_profile_view_base%3B1WTU0xceQr%2BSjxXgunGvHQ%3D%3D" TargetMode="External"/><Relationship Id="rId1803" Type="http://schemas.openxmlformats.org/officeDocument/2006/relationships/hyperlink" Target="http://linkedin.com/in/debal-dutt-52446393/" TargetMode="External"/><Relationship Id="rId1804" Type="http://schemas.openxmlformats.org/officeDocument/2006/relationships/hyperlink" Target="https://www.linkedin.com/in/kiranveigas/" TargetMode="External"/><Relationship Id="rId1805" Type="http://schemas.openxmlformats.org/officeDocument/2006/relationships/hyperlink" Target="https://www.linkedin.com/in/harshita-kushwaha28/" TargetMode="External"/><Relationship Id="rId1806" Type="http://schemas.openxmlformats.org/officeDocument/2006/relationships/hyperlink" Target="https://www.linkedin.com/in/hkbhardwaj/" TargetMode="External"/><Relationship Id="rId1807" Type="http://schemas.openxmlformats.org/officeDocument/2006/relationships/hyperlink" Target="https://www.linkedin.com/in/jayati-singh-b3b5572/" TargetMode="External"/><Relationship Id="rId1808" Type="http://schemas.openxmlformats.org/officeDocument/2006/relationships/hyperlink" Target="https://www.linkedin.com/in/jaydeeps/?originalSubdomain=in" TargetMode="External"/><Relationship Id="rId1809" Type="http://schemas.openxmlformats.org/officeDocument/2006/relationships/hyperlink" Target="https://www.linkedin.com/in/jennifer-cruz-508272107/" TargetMode="External"/><Relationship Id="rId1830" Type="http://schemas.openxmlformats.org/officeDocument/2006/relationships/hyperlink" Target="https://www.linkedin.com/in/shaktiu/" TargetMode="External"/><Relationship Id="rId1831" Type="http://schemas.openxmlformats.org/officeDocument/2006/relationships/hyperlink" Target="https://www.linkedin.com/in/rajan-babu-91852447/" TargetMode="External"/><Relationship Id="rId1832" Type="http://schemas.openxmlformats.org/officeDocument/2006/relationships/hyperlink" Target="https://www.linkedin.com/in/rajeshrajmani/?originalSubdomain=in" TargetMode="External"/><Relationship Id="rId1833" Type="http://schemas.openxmlformats.org/officeDocument/2006/relationships/hyperlink" Target="mailto:gbh1984@gmail.com" TargetMode="External"/><Relationship Id="rId1834" Type="http://schemas.openxmlformats.org/officeDocument/2006/relationships/hyperlink" Target="https://www.linkedin.com/in/piyush-pathak-35465b27/" TargetMode="External"/><Relationship Id="rId1835" Type="http://schemas.openxmlformats.org/officeDocument/2006/relationships/hyperlink" Target="https://www.linkedin.com/in/rahul-jaiswal-2504b121/" TargetMode="External"/><Relationship Id="rId1836" Type="http://schemas.openxmlformats.org/officeDocument/2006/relationships/hyperlink" Target="https://www.linkedin.com/in/sheranmehra/" TargetMode="External"/><Relationship Id="rId1837" Type="http://schemas.openxmlformats.org/officeDocument/2006/relationships/hyperlink" Target="https://www.linkedin.com/in/nipun-kaushal-4818039/" TargetMode="External"/><Relationship Id="rId1838" Type="http://schemas.openxmlformats.org/officeDocument/2006/relationships/hyperlink" Target="http://linkedin.com/in/mvsmurthy/" TargetMode="External"/><Relationship Id="rId1839" Type="http://schemas.openxmlformats.org/officeDocument/2006/relationships/hyperlink" Target="https://www.linkedin.com/in/shreepadshende/" TargetMode="External"/><Relationship Id="rId1820" Type="http://schemas.openxmlformats.org/officeDocument/2006/relationships/hyperlink" Target="https://www.linkedin.com/in/runkigoswami/" TargetMode="External"/><Relationship Id="rId1821" Type="http://schemas.openxmlformats.org/officeDocument/2006/relationships/hyperlink" Target="https://www.linkedin.com/in/samirbagga/" TargetMode="External"/><Relationship Id="rId1822" Type="http://schemas.openxmlformats.org/officeDocument/2006/relationships/hyperlink" Target="https://www.linkedin.com/in/shimona-chadha-7879288/" TargetMode="External"/><Relationship Id="rId1823" Type="http://schemas.openxmlformats.org/officeDocument/2006/relationships/hyperlink" Target="https://www.linkedin.com/in/shuvadip-banerjee-1667725/" TargetMode="External"/><Relationship Id="rId1824" Type="http://schemas.openxmlformats.org/officeDocument/2006/relationships/hyperlink" Target="https://www.linkedin.com/in/tripathisudhanshu/" TargetMode="External"/><Relationship Id="rId1825" Type="http://schemas.openxmlformats.org/officeDocument/2006/relationships/hyperlink" Target="https://www.linkedin.com/in/sujit-ganguli-9072a3a/" TargetMode="External"/><Relationship Id="rId1826" Type="http://schemas.openxmlformats.org/officeDocument/2006/relationships/hyperlink" Target="https://www.linkedin.com/in/sumitdave/" TargetMode="External"/><Relationship Id="rId1827" Type="http://schemas.openxmlformats.org/officeDocument/2006/relationships/hyperlink" Target="https://www.linkedin.com/in/virmanisumit/" TargetMode="External"/><Relationship Id="rId1828" Type="http://schemas.openxmlformats.org/officeDocument/2006/relationships/hyperlink" Target="https://www.linkedin.com/in/tarun-devasia-2483074/" TargetMode="External"/><Relationship Id="rId1829" Type="http://schemas.openxmlformats.org/officeDocument/2006/relationships/hyperlink" Target="https://www.linkedin.com/in/rohit-sharma-527b722/" TargetMode="External"/><Relationship Id="rId1455" Type="http://schemas.openxmlformats.org/officeDocument/2006/relationships/hyperlink" Target="https://www.linkedin.com/in/subodh-garg-4364487/?originalSubdomain=inn" TargetMode="External"/><Relationship Id="rId1456" Type="http://schemas.openxmlformats.org/officeDocument/2006/relationships/hyperlink" Target="https://www.linkedin.com/in/akash-gupta-1b773816/?originalSubdomain=in" TargetMode="External"/><Relationship Id="rId1457" Type="http://schemas.openxmlformats.org/officeDocument/2006/relationships/hyperlink" Target="https://www.linkedin.com/in/pranav-dahiya-4a06725/?originalSubdomain=in" TargetMode="External"/><Relationship Id="rId1458" Type="http://schemas.openxmlformats.org/officeDocument/2006/relationships/hyperlink" Target="https://www.linkedin.com/in/suman-jaisinghani-67557856/?originalSubdomain=in" TargetMode="External"/><Relationship Id="rId1459" Type="http://schemas.openxmlformats.org/officeDocument/2006/relationships/hyperlink" Target="https://www.linkedin.com/in/angad-k-68478312/?originalSubdomain=in" TargetMode="External"/><Relationship Id="rId629" Type="http://schemas.openxmlformats.org/officeDocument/2006/relationships/hyperlink" Target="https://www.linkedin.com/in/alison-kennedy-2aaa6b14/" TargetMode="External"/><Relationship Id="rId624" Type="http://schemas.openxmlformats.org/officeDocument/2006/relationships/hyperlink" Target="https://www.linkedin.com/in/julie-sweet/" TargetMode="External"/><Relationship Id="rId623" Type="http://schemas.openxmlformats.org/officeDocument/2006/relationships/hyperlink" Target="https://www.linkedin.com/in/marchamilton/" TargetMode="External"/><Relationship Id="rId622" Type="http://schemas.openxmlformats.org/officeDocument/2006/relationships/hyperlink" Target="https://www.linkedin.com/in/yagrawal/" TargetMode="External"/><Relationship Id="rId621" Type="http://schemas.openxmlformats.org/officeDocument/2006/relationships/hyperlink" Target="https://www.linkedin.com/in/laura-fay-b95688/" TargetMode="External"/><Relationship Id="rId628" Type="http://schemas.openxmlformats.org/officeDocument/2006/relationships/hyperlink" Target="https://www.linkedin.com/in/priyankaabbi09/" TargetMode="External"/><Relationship Id="rId627" Type="http://schemas.openxmlformats.org/officeDocument/2006/relationships/hyperlink" Target="https://www.linkedin.com/in/raghupolisetty/" TargetMode="External"/><Relationship Id="rId626" Type="http://schemas.openxmlformats.org/officeDocument/2006/relationships/hyperlink" Target="https://www.linkedin.com/in/arundhati-chak/" TargetMode="External"/><Relationship Id="rId625" Type="http://schemas.openxmlformats.org/officeDocument/2006/relationships/hyperlink" Target="https://www.linkedin.com/in/ajay-vij-040292/?originalSubdomain=in" TargetMode="External"/><Relationship Id="rId1450" Type="http://schemas.openxmlformats.org/officeDocument/2006/relationships/hyperlink" Target="https://www.linkedin.com/in/mitesh-shah-0627873/?originalSubdomain=in" TargetMode="External"/><Relationship Id="rId620" Type="http://schemas.openxmlformats.org/officeDocument/2006/relationships/hyperlink" Target="https://www.linkedin.com/in/sydneymassing/" TargetMode="External"/><Relationship Id="rId1451" Type="http://schemas.openxmlformats.org/officeDocument/2006/relationships/hyperlink" Target="https://www.linkedin.com/in/amit-kumar-45459a15/?originalSubdomain=in" TargetMode="External"/><Relationship Id="rId1452" Type="http://schemas.openxmlformats.org/officeDocument/2006/relationships/hyperlink" Target="https://www.linkedin.com/in/sunil-jain-bordia/?originalSubdomain=in" TargetMode="External"/><Relationship Id="rId1453" Type="http://schemas.openxmlformats.org/officeDocument/2006/relationships/hyperlink" Target="https://www.linkedin.com/in/mathew-george-2b23569/?originalSubdomain=in" TargetMode="External"/><Relationship Id="rId1454" Type="http://schemas.openxmlformats.org/officeDocument/2006/relationships/hyperlink" Target="https://www.linkedin.com/in/vikas-guru-42745b13/?originalSubdomain=in" TargetMode="External"/><Relationship Id="rId1444" Type="http://schemas.openxmlformats.org/officeDocument/2006/relationships/hyperlink" Target="https://www.linkedin.com/in/deepakrohida/" TargetMode="External"/><Relationship Id="rId1445" Type="http://schemas.openxmlformats.org/officeDocument/2006/relationships/hyperlink" Target="https://www.linkedin.com/in/ravi-dugar/?originalSubdomain=in" TargetMode="External"/><Relationship Id="rId1446" Type="http://schemas.openxmlformats.org/officeDocument/2006/relationships/hyperlink" Target="https://www.linkedin.com/in/krishan-gopal-66916916/?originalSubdomain=in" TargetMode="External"/><Relationship Id="rId1447" Type="http://schemas.openxmlformats.org/officeDocument/2006/relationships/hyperlink" Target="https://www.linkedin.com/in/sreeram-ramachandran-9b70b029/?originalSubdomain=in" TargetMode="External"/><Relationship Id="rId1448" Type="http://schemas.openxmlformats.org/officeDocument/2006/relationships/hyperlink" Target="https://www.linkedin.com/in/amit-bhardwaj-89365244/?originalSubdomain=in" TargetMode="External"/><Relationship Id="rId1449" Type="http://schemas.openxmlformats.org/officeDocument/2006/relationships/hyperlink" Target="https://www.linkedin.com/in/rumitd/?originalSubdomain=in" TargetMode="External"/><Relationship Id="rId619" Type="http://schemas.openxmlformats.org/officeDocument/2006/relationships/hyperlink" Target="https://www.linkedin.com/in/janine-paniagua-23560747/" TargetMode="External"/><Relationship Id="rId618" Type="http://schemas.openxmlformats.org/officeDocument/2006/relationships/hyperlink" Target="https://www.linkedin.com/in/anabella-james-a9434826/" TargetMode="External"/><Relationship Id="rId613" Type="http://schemas.openxmlformats.org/officeDocument/2006/relationships/hyperlink" Target="https://www.linkedin.com/in/ganesh-mohan-5840841/?originalSubdomain=in" TargetMode="External"/><Relationship Id="rId612" Type="http://schemas.openxmlformats.org/officeDocument/2006/relationships/hyperlink" Target="https://www.linkedin.com/in/sanjiv-r-bajaj/?originalSubdomain=in" TargetMode="External"/><Relationship Id="rId611" Type="http://schemas.openxmlformats.org/officeDocument/2006/relationships/hyperlink" Target="https://www.linkedin.com/in/lalit-tyagi-8643b416/?originalSubdomain=in" TargetMode="External"/><Relationship Id="rId610" Type="http://schemas.openxmlformats.org/officeDocument/2006/relationships/hyperlink" Target="https://www.linkedin.com/in/dr-debadatta-chand-0208b711a/?originalSubdomain=in" TargetMode="External"/><Relationship Id="rId617" Type="http://schemas.openxmlformats.org/officeDocument/2006/relationships/hyperlink" Target="https://www.linkedin.com/in/vishaldhupar/?originalSubdomain=in" TargetMode="External"/><Relationship Id="rId616" Type="http://schemas.openxmlformats.org/officeDocument/2006/relationships/hyperlink" Target="https://www.linkedin.com/in/sachiko-gomez-57219777/" TargetMode="External"/><Relationship Id="rId615" Type="http://schemas.openxmlformats.org/officeDocument/2006/relationships/hyperlink" Target="https://www.linkedin.com/in/colette-kress-22328346/" TargetMode="External"/><Relationship Id="rId614" Type="http://schemas.openxmlformats.org/officeDocument/2006/relationships/hyperlink" Target="https://www.linkedin.com/in/jenhsunhuang/" TargetMode="External"/><Relationship Id="rId1440" Type="http://schemas.openxmlformats.org/officeDocument/2006/relationships/hyperlink" Target="https://www.linkedin.com/in/ravi-iyer-24180a12/?originalSubdomain=in" TargetMode="External"/><Relationship Id="rId1441" Type="http://schemas.openxmlformats.org/officeDocument/2006/relationships/hyperlink" Target="https://www.linkedin.com/in/caneeraj-choudhary/" TargetMode="External"/><Relationship Id="rId1442" Type="http://schemas.openxmlformats.org/officeDocument/2006/relationships/hyperlink" Target="https://www.linkedin.com/in/dinesh-iyer-a5871520/?originalSubdomain=in" TargetMode="External"/><Relationship Id="rId1443" Type="http://schemas.openxmlformats.org/officeDocument/2006/relationships/hyperlink" Target="https://www.linkedin.com/in/deepak-khetan-6223571/?originalSubdomain=in" TargetMode="External"/><Relationship Id="rId1477" Type="http://schemas.openxmlformats.org/officeDocument/2006/relationships/hyperlink" Target="https://www.linkedin.com/in/nilesh-gupta-8a310147/?originalSubdomain=in" TargetMode="External"/><Relationship Id="rId1478" Type="http://schemas.openxmlformats.org/officeDocument/2006/relationships/hyperlink" Target="https://www.linkedin.com/in/vipul-joshi-924b261/?originalSubdomain=in" TargetMode="External"/><Relationship Id="rId1479" Type="http://schemas.openxmlformats.org/officeDocument/2006/relationships/hyperlink" Target="https://www.linkedin.com/in/cavinaysaraf/?originalSubdomain=in" TargetMode="External"/><Relationship Id="rId646" Type="http://schemas.openxmlformats.org/officeDocument/2006/relationships/hyperlink" Target="https://www.linkedin.com/in/dilipgaur/?originalSubdomain=in" TargetMode="External"/><Relationship Id="rId645" Type="http://schemas.openxmlformats.org/officeDocument/2006/relationships/hyperlink" Target="https://www.linkedin.com/in/kumar-manglam-a95a316b/?originalSubdomain=in" TargetMode="External"/><Relationship Id="rId644" Type="http://schemas.openxmlformats.org/officeDocument/2006/relationships/hyperlink" Target="https://www.linkedin.com/in/anuradha-mukherjee-chaudhuri-2b1b5538/" TargetMode="External"/><Relationship Id="rId643" Type="http://schemas.openxmlformats.org/officeDocument/2006/relationships/hyperlink" Target="https://www.linkedin.com/in/rashmi-soni-scpm%C2%AE-227ba51/" TargetMode="External"/><Relationship Id="rId649" Type="http://schemas.openxmlformats.org/officeDocument/2006/relationships/hyperlink" Target="https://www.linkedin.com/in/yusuf-hamied-9bb8b610b/?originalSubdomain=mu" TargetMode="External"/><Relationship Id="rId648" Type="http://schemas.openxmlformats.org/officeDocument/2006/relationships/hyperlink" Target="http://linkedin.com/in/erez-israeli-50a35585?originalSubdomain=il" TargetMode="External"/><Relationship Id="rId647" Type="http://schemas.openxmlformats.org/officeDocument/2006/relationships/hyperlink" Target="https://www.linkedin.com/in/gvprasadster/?originalSubdomain=in" TargetMode="External"/><Relationship Id="rId1470" Type="http://schemas.openxmlformats.org/officeDocument/2006/relationships/hyperlink" Target="https://www.linkedin.com/in/magdalena-pasecka-749104196/?originalSubdomain=pl" TargetMode="External"/><Relationship Id="rId1471" Type="http://schemas.openxmlformats.org/officeDocument/2006/relationships/hyperlink" Target="https://www.linkedin.com/in/aditya-todi-4b01887/?originalSubdomain=in" TargetMode="External"/><Relationship Id="rId1472" Type="http://schemas.openxmlformats.org/officeDocument/2006/relationships/hyperlink" Target="https://www.linkedin.com/in/gfrantzen/" TargetMode="External"/><Relationship Id="rId642" Type="http://schemas.openxmlformats.org/officeDocument/2006/relationships/hyperlink" Target="https://www.linkedin.com/in/rahul-bhatia-55a4b61/?originalSubdomain=in" TargetMode="External"/><Relationship Id="rId1473" Type="http://schemas.openxmlformats.org/officeDocument/2006/relationships/hyperlink" Target="https://www.linkedin.com/in/rameshsethuraman/" TargetMode="External"/><Relationship Id="rId641" Type="http://schemas.openxmlformats.org/officeDocument/2006/relationships/hyperlink" Target="https://www.linkedin.com/in/sreedhar-rajendran-5a1a96248/?originalSubdomain=in" TargetMode="External"/><Relationship Id="rId1474" Type="http://schemas.openxmlformats.org/officeDocument/2006/relationships/hyperlink" Target="https://www.linkedin.com/in/pawan-aggrawal-pa/?originalSubdomain=in" TargetMode="External"/><Relationship Id="rId640" Type="http://schemas.openxmlformats.org/officeDocument/2006/relationships/hyperlink" Target="https://www.linkedin.com/in/shankar-raman-2193808/?originalSubdomain=in" TargetMode="External"/><Relationship Id="rId1475" Type="http://schemas.openxmlformats.org/officeDocument/2006/relationships/hyperlink" Target="https://www.linkedin.com/in/kamal-deep-singh-429239104/?originalSubdomain=in" TargetMode="External"/><Relationship Id="rId1476" Type="http://schemas.openxmlformats.org/officeDocument/2006/relationships/hyperlink" Target="https://www.linkedin.com/in/kaliyuga/?originalSubdomain=in" TargetMode="External"/><Relationship Id="rId1466" Type="http://schemas.openxmlformats.org/officeDocument/2006/relationships/hyperlink" Target="https://www.linkedin.com/in/amit-gupta-10876115/" TargetMode="External"/><Relationship Id="rId1467" Type="http://schemas.openxmlformats.org/officeDocument/2006/relationships/hyperlink" Target="https://www.linkedin.com/in/ksadarsh/?originalSubdomain=in" TargetMode="External"/><Relationship Id="rId1468" Type="http://schemas.openxmlformats.org/officeDocument/2006/relationships/hyperlink" Target="https://www.linkedin.com/in/ashishgoyalearlysalary/?originalSubdomain=in" TargetMode="External"/><Relationship Id="rId1469" Type="http://schemas.openxmlformats.org/officeDocument/2006/relationships/hyperlink" Target="https://www.linkedin.com/in/ketan-merchant-6a955824/?originalSubdomain=in" TargetMode="External"/><Relationship Id="rId635" Type="http://schemas.openxmlformats.org/officeDocument/2006/relationships/hyperlink" Target="https://www.linkedin.com/in/thomas-kurian-469b6219/" TargetMode="External"/><Relationship Id="rId634" Type="http://schemas.openxmlformats.org/officeDocument/2006/relationships/hyperlink" Target="https://www.linkedin.com/in/amit-kumar-11241a7/" TargetMode="External"/><Relationship Id="rId633" Type="http://schemas.openxmlformats.org/officeDocument/2006/relationships/hyperlink" Target="https://www.linkedin.com/in/roma-datta-chobey-8474bb31/?originalSubdomain=in" TargetMode="External"/><Relationship Id="rId632" Type="http://schemas.openxmlformats.org/officeDocument/2006/relationships/hyperlink" Target="https://www.linkedin.com/in/sundarpichai/" TargetMode="External"/><Relationship Id="rId639" Type="http://schemas.openxmlformats.org/officeDocument/2006/relationships/hyperlink" Target="https://www.linkedin.com/in/s-r-subramanian-475207b/?originalSubdomain=in" TargetMode="External"/><Relationship Id="rId638" Type="http://schemas.openxmlformats.org/officeDocument/2006/relationships/hyperlink" Target="https://www.linkedin.com/in/jackie-wang-41bb012/" TargetMode="External"/><Relationship Id="rId637" Type="http://schemas.openxmlformats.org/officeDocument/2006/relationships/hyperlink" Target="https://www.linkedin.com/in/saiyai/" TargetMode="External"/><Relationship Id="rId636" Type="http://schemas.openxmlformats.org/officeDocument/2006/relationships/hyperlink" Target="https://www.linkedin.com/in/bhaskargaurav/?originalSubdomain=sg" TargetMode="External"/><Relationship Id="rId1460" Type="http://schemas.openxmlformats.org/officeDocument/2006/relationships/hyperlink" Target="https://www.linkedin.com/in/sankalp-aggarwal-26866748/?originalSubdomain=in" TargetMode="External"/><Relationship Id="rId1461" Type="http://schemas.openxmlformats.org/officeDocument/2006/relationships/hyperlink" Target="https://www.linkedin.com/in/jen-hsu-b2459716/" TargetMode="External"/><Relationship Id="rId631" Type="http://schemas.openxmlformats.org/officeDocument/2006/relationships/hyperlink" Target="https://www.linkedin.com/in/kumar-manglam-a95a316b/?originalSubdomain=in" TargetMode="External"/><Relationship Id="rId1462" Type="http://schemas.openxmlformats.org/officeDocument/2006/relationships/hyperlink" Target="https://www.linkedin.com/in/alla-arkhipova/" TargetMode="External"/><Relationship Id="rId630" Type="http://schemas.openxmlformats.org/officeDocument/2006/relationships/hyperlink" Target="https://www.linkedin.com/in/sumedha-mahorey-4a523a3/" TargetMode="External"/><Relationship Id="rId1463" Type="http://schemas.openxmlformats.org/officeDocument/2006/relationships/hyperlink" Target="https://www.linkedin.com/in/nishiagrawal01/?originalSubdomain=in" TargetMode="External"/><Relationship Id="rId1464" Type="http://schemas.openxmlformats.org/officeDocument/2006/relationships/hyperlink" Target="https://www.linkedin.com/in/samir-kulshrestha-b83a2814/?originalSubdomain=in" TargetMode="External"/><Relationship Id="rId1465" Type="http://schemas.openxmlformats.org/officeDocument/2006/relationships/hyperlink" Target="https://www.linkedin.com/in/caagarwalaashish/?originalSubdomain=in" TargetMode="External"/><Relationship Id="rId1411" Type="http://schemas.openxmlformats.org/officeDocument/2006/relationships/hyperlink" Target="https://www.linkedin.com/in/nikhilkamathcio/?originalSubdomain=in" TargetMode="External"/><Relationship Id="rId1412" Type="http://schemas.openxmlformats.org/officeDocument/2006/relationships/hyperlink" Target="https://www.linkedin.com/in/arpit-chug-5928354/?originalSubdomain=in" TargetMode="External"/><Relationship Id="rId1413" Type="http://schemas.openxmlformats.org/officeDocument/2006/relationships/hyperlink" Target="https://www.linkedin.com/in/abhishek-pipara-40a21a2b/?originalSubdomain=in" TargetMode="External"/><Relationship Id="rId1414" Type="http://schemas.openxmlformats.org/officeDocument/2006/relationships/hyperlink" Target="https://www.linkedin.com/in/sblitchok/" TargetMode="External"/><Relationship Id="rId1415" Type="http://schemas.openxmlformats.org/officeDocument/2006/relationships/hyperlink" Target="https://www.linkedin.com/in/manish-bajoria/?originalSubdomain=in" TargetMode="External"/><Relationship Id="rId1416" Type="http://schemas.openxmlformats.org/officeDocument/2006/relationships/hyperlink" Target="https://www.linkedin.com/in/amit-agarwal-027b195/?originalSubdomain=in" TargetMode="External"/><Relationship Id="rId1417" Type="http://schemas.openxmlformats.org/officeDocument/2006/relationships/hyperlink" Target="https://www.linkedin.com/in/agarwal-navin/?originalSubdomain=in" TargetMode="External"/><Relationship Id="rId1418" Type="http://schemas.openxmlformats.org/officeDocument/2006/relationships/hyperlink" Target="https://www.linkedin.com/in/rajat-bahri-79b5004/" TargetMode="External"/><Relationship Id="rId1419" Type="http://schemas.openxmlformats.org/officeDocument/2006/relationships/hyperlink" Target="https://www.linkedin.com/in/jagroopbal/" TargetMode="External"/><Relationship Id="rId1410" Type="http://schemas.openxmlformats.org/officeDocument/2006/relationships/hyperlink" Target="https://www.linkedin.com/in/sameer-kamath-1561077/?originalSubdomain=in" TargetMode="External"/><Relationship Id="rId1400" Type="http://schemas.openxmlformats.org/officeDocument/2006/relationships/hyperlink" Target="https://www.linkedin.com/in/ramanpreet-sohi-1635328/?originalSubdomain=in" TargetMode="External"/><Relationship Id="rId1401" Type="http://schemas.openxmlformats.org/officeDocument/2006/relationships/hyperlink" Target="https://www.linkedin.com/in/amit-shrivastav-50763a201/?originalSubdomain=in" TargetMode="External"/><Relationship Id="rId1402" Type="http://schemas.openxmlformats.org/officeDocument/2006/relationships/hyperlink" Target="https://www.linkedin.com/in/ishan-bansal-8678b216/?originalSubdomain=in" TargetMode="External"/><Relationship Id="rId1403" Type="http://schemas.openxmlformats.org/officeDocument/2006/relationships/hyperlink" Target="https://www.linkedin.com/in/sanjeev-arora-2038b812/" TargetMode="External"/><Relationship Id="rId1404" Type="http://schemas.openxmlformats.org/officeDocument/2006/relationships/hyperlink" Target="https://www.linkedin.com/in/ca-manish-porwal-363ba74/" TargetMode="External"/><Relationship Id="rId1405" Type="http://schemas.openxmlformats.org/officeDocument/2006/relationships/hyperlink" Target="https://www.linkedin.com/in/piyush-kakkad-b991a2a1/?originalSubdomain=in" TargetMode="External"/><Relationship Id="rId1406" Type="http://schemas.openxmlformats.org/officeDocument/2006/relationships/hyperlink" Target="https://www.linkedin.com/in/shivanshumakkar/?originalSubdomain=in" TargetMode="External"/><Relationship Id="rId1407" Type="http://schemas.openxmlformats.org/officeDocument/2006/relationships/hyperlink" Target="https://www.linkedin.com/in/prakashan-manikoth/" TargetMode="External"/><Relationship Id="rId1408" Type="http://schemas.openxmlformats.org/officeDocument/2006/relationships/hyperlink" Target="https://www.linkedin.com/in/cagautamsharma/?originalSubdomain=in" TargetMode="External"/><Relationship Id="rId1409" Type="http://schemas.openxmlformats.org/officeDocument/2006/relationships/hyperlink" Target="https://www.linkedin.com/in/pganesh1/?originalSubdomain=in" TargetMode="External"/><Relationship Id="rId1433" Type="http://schemas.openxmlformats.org/officeDocument/2006/relationships/hyperlink" Target="https://www.linkedin.com/in/mohit-kabra-5b64615/?originalSubdomain=in" TargetMode="External"/><Relationship Id="rId1434" Type="http://schemas.openxmlformats.org/officeDocument/2006/relationships/hyperlink" Target="https://www.linkedin.com/in/akriti-chopra-2a21aa56/?originalSubdomain=in" TargetMode="External"/><Relationship Id="rId1435" Type="http://schemas.openxmlformats.org/officeDocument/2006/relationships/hyperlink" Target="https://www.linkedin.com/in/kartikgupta1/?originalSubdomain=ae" TargetMode="External"/><Relationship Id="rId1436" Type="http://schemas.openxmlformats.org/officeDocument/2006/relationships/hyperlink" Target="https://www.linkedin.com/in/chintan-thakkar/?originalSubdomain=in" TargetMode="External"/><Relationship Id="rId1437" Type="http://schemas.openxmlformats.org/officeDocument/2006/relationships/hyperlink" Target="https://www.linkedin.com/in/l-sivagnana-selvam-16b6375/?originalSubdomain=in" TargetMode="External"/><Relationship Id="rId1438" Type="http://schemas.openxmlformats.org/officeDocument/2006/relationships/hyperlink" Target="https://www.linkedin.com/in/vikas-bhasin-5b673710/?originalSubdomain=in" TargetMode="External"/><Relationship Id="rId1439" Type="http://schemas.openxmlformats.org/officeDocument/2006/relationships/hyperlink" Target="https://www.linkedin.com/in/marc-steifman-1237a/" TargetMode="External"/><Relationship Id="rId609" Type="http://schemas.openxmlformats.org/officeDocument/2006/relationships/hyperlink" Target="https://www.linkedin.com/in/lauren-myers-cavanagh-71801517/" TargetMode="External"/><Relationship Id="rId608" Type="http://schemas.openxmlformats.org/officeDocument/2006/relationships/hyperlink" Target="https://www.linkedin.com/in/pallaviwalia/?originalSubdomain=in" TargetMode="External"/><Relationship Id="rId607" Type="http://schemas.openxmlformats.org/officeDocument/2006/relationships/hyperlink" Target="https://www.linkedin.com/in/mustafa-suleyman/" TargetMode="External"/><Relationship Id="rId602" Type="http://schemas.openxmlformats.org/officeDocument/2006/relationships/hyperlink" Target="https://www.linkedin.com/in/srini-pallia/" TargetMode="External"/><Relationship Id="rId601" Type="http://schemas.openxmlformats.org/officeDocument/2006/relationships/hyperlink" Target="https://www.google.com/search?q=Uday+Kotak+site%3Alinkedin.com" TargetMode="External"/><Relationship Id="rId600" Type="http://schemas.openxmlformats.org/officeDocument/2006/relationships/hyperlink" Target="https://www.linkedin.com/in/rishi-basu-b067574a/" TargetMode="External"/><Relationship Id="rId606" Type="http://schemas.openxmlformats.org/officeDocument/2006/relationships/hyperlink" Target="https://www.linkedin.com/in/guthriescott/" TargetMode="External"/><Relationship Id="rId605" Type="http://schemas.openxmlformats.org/officeDocument/2006/relationships/hyperlink" Target="https://www.linkedin.com/in/satyanadella/" TargetMode="External"/><Relationship Id="rId604" Type="http://schemas.openxmlformats.org/officeDocument/2006/relationships/hyperlink" Target="https://www.linkedin.com/in/rajivk-ms/" TargetMode="External"/><Relationship Id="rId603" Type="http://schemas.openxmlformats.org/officeDocument/2006/relationships/hyperlink" Target="https://www.linkedin.com/in/ashokvaswani/?originalSubdomain=in" TargetMode="External"/><Relationship Id="rId1430" Type="http://schemas.openxmlformats.org/officeDocument/2006/relationships/hyperlink" Target="https://www.linkedin.com/in/kailashvaswani/?originalSubdomain=in" TargetMode="External"/><Relationship Id="rId1431" Type="http://schemas.openxmlformats.org/officeDocument/2006/relationships/hyperlink" Target="https://www.linkedin.com/in/deepak-sharma-6b67818/?originalSubdomain=in" TargetMode="External"/><Relationship Id="rId1432" Type="http://schemas.openxmlformats.org/officeDocument/2006/relationships/hyperlink" Target="https://www.linkedin.com/in/manish-kumar-9bb75856/?originalSubdomain=ae" TargetMode="External"/><Relationship Id="rId1422" Type="http://schemas.openxmlformats.org/officeDocument/2006/relationships/hyperlink" Target="https://www.linkedin.com/in/srinivasu/?originalSubdomain=in" TargetMode="External"/><Relationship Id="rId1423" Type="http://schemas.openxmlformats.org/officeDocument/2006/relationships/hyperlink" Target="https://www.linkedin.com/in/madhurdeora/?originalSubdomain=in" TargetMode="External"/><Relationship Id="rId1424" Type="http://schemas.openxmlformats.org/officeDocument/2006/relationships/hyperlink" Target="https://www.linkedin.com/in/rakesh-kumar-a672316/?originalSubdomain=in" TargetMode="External"/><Relationship Id="rId1425" Type="http://schemas.openxmlformats.org/officeDocument/2006/relationships/hyperlink" Target="https://www.linkedin.com/in/tylersloat/" TargetMode="External"/><Relationship Id="rId1426" Type="http://schemas.openxmlformats.org/officeDocument/2006/relationships/hyperlink" Target="https://www.linkedin.com/in/rahul-bothra-0231608/" TargetMode="External"/><Relationship Id="rId1427" Type="http://schemas.openxmlformats.org/officeDocument/2006/relationships/hyperlink" Target="https://www.linkedin.com/in/mandeep-mehta/?originalSubdomain=in" TargetMode="External"/><Relationship Id="rId1428" Type="http://schemas.openxmlformats.org/officeDocument/2006/relationships/hyperlink" Target="https://www.linkedin.com/in/aditya-pande-0a175980/?originalSubdomain=in" TargetMode="External"/><Relationship Id="rId1429" Type="http://schemas.openxmlformats.org/officeDocument/2006/relationships/hyperlink" Target="https://www.linkedin.com/in/adarsh-nahata-4a349413/?originalSubdomain=in" TargetMode="External"/><Relationship Id="rId1420" Type="http://schemas.openxmlformats.org/officeDocument/2006/relationships/hyperlink" Target="https://www.linkedin.com/in/g-r-arun-kumar-86523314/?originalSubdomain=in" TargetMode="External"/><Relationship Id="rId1421" Type="http://schemas.openxmlformats.org/officeDocument/2006/relationships/hyperlink" Target="https://www.linkedin.com/in/abhishek-gupta-140ab611/?originalSubdomain=in" TargetMode="External"/><Relationship Id="rId1059" Type="http://schemas.openxmlformats.org/officeDocument/2006/relationships/hyperlink" Target="https://www.linkedin.com/in/amitkrdubey/" TargetMode="External"/><Relationship Id="rId228" Type="http://schemas.openxmlformats.org/officeDocument/2006/relationships/hyperlink" Target="https://www.linkedin.com/in/gaurav-kumar-a6a3245/" TargetMode="External"/><Relationship Id="rId227" Type="http://schemas.openxmlformats.org/officeDocument/2006/relationships/hyperlink" Target="https://www.linkedin.com/in/vineet-sukumar-5264b32/" TargetMode="External"/><Relationship Id="rId226" Type="http://schemas.openxmlformats.org/officeDocument/2006/relationships/hyperlink" Target="https://www.linkedin.com/in/rohan-gupta-86289924/" TargetMode="External"/><Relationship Id="rId225" Type="http://schemas.openxmlformats.org/officeDocument/2006/relationships/hyperlink" Target="https://www.linkedin.com/in/anugrah-shrivastava-58721422/" TargetMode="External"/><Relationship Id="rId229" Type="http://schemas.openxmlformats.org/officeDocument/2006/relationships/hyperlink" Target="https://www.linkedin.com/in/alok-mittal-590a/" TargetMode="External"/><Relationship Id="rId1050" Type="http://schemas.openxmlformats.org/officeDocument/2006/relationships/hyperlink" Target="http://superops.ai" TargetMode="External"/><Relationship Id="rId220" Type="http://schemas.openxmlformats.org/officeDocument/2006/relationships/hyperlink" Target="https://www.linkedin.com/in/nitin-saluja-6a88297/?originalSubdomain=in" TargetMode="External"/><Relationship Id="rId1051" Type="http://schemas.openxmlformats.org/officeDocument/2006/relationships/hyperlink" Target="https://www.linkedin.com/in/damovasudevan/" TargetMode="External"/><Relationship Id="rId1052" Type="http://schemas.openxmlformats.org/officeDocument/2006/relationships/hyperlink" Target="https://www.linkedin.com/in/akshaygolechha/" TargetMode="External"/><Relationship Id="rId1053" Type="http://schemas.openxmlformats.org/officeDocument/2006/relationships/hyperlink" Target="https://www.linkedin.com/in/abhinavsinghgangal/" TargetMode="External"/><Relationship Id="rId1054" Type="http://schemas.openxmlformats.org/officeDocument/2006/relationships/hyperlink" Target="https://www.linkedin.com/in/purugovind/" TargetMode="External"/><Relationship Id="rId224" Type="http://schemas.openxmlformats.org/officeDocument/2006/relationships/hyperlink" Target="https://www.linkedin.com/in/vasanthskamath/" TargetMode="External"/><Relationship Id="rId1055" Type="http://schemas.openxmlformats.org/officeDocument/2006/relationships/hyperlink" Target="https://www.linkedin.com/in/smritisri/" TargetMode="External"/><Relationship Id="rId223" Type="http://schemas.openxmlformats.org/officeDocument/2006/relationships/hyperlink" Target="https://www.linkedin.com/in/sumitmaniyar/" TargetMode="External"/><Relationship Id="rId1056" Type="http://schemas.openxmlformats.org/officeDocument/2006/relationships/hyperlink" Target="https://www.linkedin.com/in/nikhilvij/" TargetMode="External"/><Relationship Id="rId222" Type="http://schemas.openxmlformats.org/officeDocument/2006/relationships/hyperlink" Target="https://www.linkedin.com/in/shradha-khapra/?originalSubdomain=in" TargetMode="External"/><Relationship Id="rId1057" Type="http://schemas.openxmlformats.org/officeDocument/2006/relationships/hyperlink" Target="https://www.linkedin.com/in/pradyumna-chowdhary-39249b110/" TargetMode="External"/><Relationship Id="rId221" Type="http://schemas.openxmlformats.org/officeDocument/2006/relationships/hyperlink" Target="https://www.linkedin.com/in/prabhkiran-singh-a5124918/?originalSubdomain=in" TargetMode="External"/><Relationship Id="rId1058" Type="http://schemas.openxmlformats.org/officeDocument/2006/relationships/hyperlink" Target="https://www.linkedin.com/in/prem-rupareliya-337b0b20/" TargetMode="External"/><Relationship Id="rId1048" Type="http://schemas.openxmlformats.org/officeDocument/2006/relationships/hyperlink" Target="https://www.linkedin.com/in/tabishgilani/" TargetMode="External"/><Relationship Id="rId1049" Type="http://schemas.openxmlformats.org/officeDocument/2006/relationships/hyperlink" Target="https://www.linkedin.com/in/ankitabhosle/" TargetMode="External"/><Relationship Id="rId217" Type="http://schemas.openxmlformats.org/officeDocument/2006/relationships/hyperlink" Target="https://www.linkedin.com/in/gupta-aviral/?originalSubdomain=in" TargetMode="External"/><Relationship Id="rId216" Type="http://schemas.openxmlformats.org/officeDocument/2006/relationships/hyperlink" Target="https://www.linkedin.com/in/dvcoolster/?originalSubdomain=in" TargetMode="External"/><Relationship Id="rId215" Type="http://schemas.openxmlformats.org/officeDocument/2006/relationships/hyperlink" Target="https://www.linkedin.com/in/sandeep-sinha-hr/?originalSubdomain=in" TargetMode="External"/><Relationship Id="rId699" Type="http://schemas.openxmlformats.org/officeDocument/2006/relationships/hyperlink" Target="https://www.linkedin.com/in/himanshu-kapania/" TargetMode="External"/><Relationship Id="rId214" Type="http://schemas.openxmlformats.org/officeDocument/2006/relationships/hyperlink" Target="https://www.linkedin.com/in/anirudh-sharma-877ab2a0/?originalSubdomain=in" TargetMode="External"/><Relationship Id="rId698" Type="http://schemas.openxmlformats.org/officeDocument/2006/relationships/hyperlink" Target="https://www.linkedin.com/in/sunil-mehta-29a98298/" TargetMode="External"/><Relationship Id="rId219" Type="http://schemas.openxmlformats.org/officeDocument/2006/relationships/hyperlink" Target="http://linkedin.com/in/raghav-verma-59367349?originalSubdomain=in" TargetMode="External"/><Relationship Id="rId218" Type="http://schemas.openxmlformats.org/officeDocument/2006/relationships/hyperlink" Target="https://www.linkedin.com/in/abhutra/?originalSubdomain=in" TargetMode="External"/><Relationship Id="rId693" Type="http://schemas.openxmlformats.org/officeDocument/2006/relationships/hyperlink" Target="https://www.linkedin.com/in/avanimahendra/" TargetMode="External"/><Relationship Id="rId1040" Type="http://schemas.openxmlformats.org/officeDocument/2006/relationships/hyperlink" Target="https://www.linkedin.com/in/julienpicaud/" TargetMode="External"/><Relationship Id="rId692" Type="http://schemas.openxmlformats.org/officeDocument/2006/relationships/hyperlink" Target="https://www.linkedin.com/in/vishesh-kumar-82605a2a/" TargetMode="External"/><Relationship Id="rId1041" Type="http://schemas.openxmlformats.org/officeDocument/2006/relationships/hyperlink" Target="https://www.linkedin.com/in/kevingdsouza/" TargetMode="External"/><Relationship Id="rId691" Type="http://schemas.openxmlformats.org/officeDocument/2006/relationships/hyperlink" Target="https://www.linkedin.com/in/krishnakulkarni1975/" TargetMode="External"/><Relationship Id="rId1042" Type="http://schemas.openxmlformats.org/officeDocument/2006/relationships/hyperlink" Target="https://www.linkedin.com/in/kevin-graebel/" TargetMode="External"/><Relationship Id="rId690" Type="http://schemas.openxmlformats.org/officeDocument/2006/relationships/hyperlink" Target="https://www.linkedin.com/in/subbaperepa/" TargetMode="External"/><Relationship Id="rId1043" Type="http://schemas.openxmlformats.org/officeDocument/2006/relationships/hyperlink" Target="https://www.linkedin.com/in/kevinweil/" TargetMode="External"/><Relationship Id="rId213" Type="http://schemas.openxmlformats.org/officeDocument/2006/relationships/hyperlink" Target="https://www.linkedin.com/in/rajat-luthra-a9826b8/?originalSubdomain=in" TargetMode="External"/><Relationship Id="rId697" Type="http://schemas.openxmlformats.org/officeDocument/2006/relationships/hyperlink" Target="https://www.linkedin.com/in/rajiv-anand-2730946/" TargetMode="External"/><Relationship Id="rId1044" Type="http://schemas.openxmlformats.org/officeDocument/2006/relationships/hyperlink" Target="https://www.linkedin.com/in/abhishek-bapna-529908/" TargetMode="External"/><Relationship Id="rId212" Type="http://schemas.openxmlformats.org/officeDocument/2006/relationships/hyperlink" Target="https://www.linkedin.com/in/harsh-lal-98247648/?originalSubdomain=in" TargetMode="External"/><Relationship Id="rId696" Type="http://schemas.openxmlformats.org/officeDocument/2006/relationships/hyperlink" Target="https://www.linkedin.com/in/andy-jassy-8b1615/" TargetMode="External"/><Relationship Id="rId1045" Type="http://schemas.openxmlformats.org/officeDocument/2006/relationships/hyperlink" Target="https://www.linkedin.com/in/jeffboudier/" TargetMode="External"/><Relationship Id="rId211" Type="http://schemas.openxmlformats.org/officeDocument/2006/relationships/hyperlink" Target="https://www.linkedin.com/in/vedang-patel-40aba34b/?originalSubdomain=in" TargetMode="External"/><Relationship Id="rId695" Type="http://schemas.openxmlformats.org/officeDocument/2006/relationships/hyperlink" Target="https://www.linkedin.com/in/patrick-burton-82a533/" TargetMode="External"/><Relationship Id="rId1046" Type="http://schemas.openxmlformats.org/officeDocument/2006/relationships/hyperlink" Target="https://www.linkedin.com/in/mickgupta/" TargetMode="External"/><Relationship Id="rId210" Type="http://schemas.openxmlformats.org/officeDocument/2006/relationships/hyperlink" Target="https://www.linkedin.com/in/aditya-sharma-33018634/?originalSubdomain=in" TargetMode="External"/><Relationship Id="rId694" Type="http://schemas.openxmlformats.org/officeDocument/2006/relationships/hyperlink" Target="https://www.linkedin.com/in/brianmarchiony/" TargetMode="External"/><Relationship Id="rId1047" Type="http://schemas.openxmlformats.org/officeDocument/2006/relationships/hyperlink" Target="https://www.linkedin.com/in/ryanpellis/" TargetMode="External"/><Relationship Id="rId249" Type="http://schemas.openxmlformats.org/officeDocument/2006/relationships/hyperlink" Target="https://www.linkedin.com/in/divyansh-bordia/" TargetMode="External"/><Relationship Id="rId248" Type="http://schemas.openxmlformats.org/officeDocument/2006/relationships/hyperlink" Target="https://www.linkedin.com/in/payoj-jain/" TargetMode="External"/><Relationship Id="rId247" Type="http://schemas.openxmlformats.org/officeDocument/2006/relationships/hyperlink" Target="https://www.linkedin.com/in/gmihir/" TargetMode="External"/><Relationship Id="rId1070" Type="http://schemas.openxmlformats.org/officeDocument/2006/relationships/hyperlink" Target="https://www.linkedin.com/in/akansha-kumari-32771543/" TargetMode="External"/><Relationship Id="rId1071" Type="http://schemas.openxmlformats.org/officeDocument/2006/relationships/hyperlink" Target="https://www.linkedin.com/in/richatrivedi/" TargetMode="External"/><Relationship Id="rId1072" Type="http://schemas.openxmlformats.org/officeDocument/2006/relationships/hyperlink" Target="https://www.linkedin.com/in/anugeorgeiimb/?originalSubdomain=in" TargetMode="External"/><Relationship Id="rId242" Type="http://schemas.openxmlformats.org/officeDocument/2006/relationships/hyperlink" Target="https://www.linkedin.com/in/misbahashraf/" TargetMode="External"/><Relationship Id="rId1073" Type="http://schemas.openxmlformats.org/officeDocument/2006/relationships/hyperlink" Target="https://www.linkedin.com/in/sakshi-choudhary-68b597128/" TargetMode="External"/><Relationship Id="rId241" Type="http://schemas.openxmlformats.org/officeDocument/2006/relationships/hyperlink" Target="https://www.linkedin.com/in/nishchay-ag-904b325/" TargetMode="External"/><Relationship Id="rId1074" Type="http://schemas.openxmlformats.org/officeDocument/2006/relationships/hyperlink" Target="https://www.linkedin.com/in/arya-k-arya-nair-0234b6110/" TargetMode="External"/><Relationship Id="rId240" Type="http://schemas.openxmlformats.org/officeDocument/2006/relationships/hyperlink" Target="https://www.linkedin.com/in/prateek-jindal-0560b213/" TargetMode="External"/><Relationship Id="rId1075" Type="http://schemas.openxmlformats.org/officeDocument/2006/relationships/hyperlink" Target="https://www.linkedin.com/in/gayathri-rajan-81b226/" TargetMode="External"/><Relationship Id="rId1076" Type="http://schemas.openxmlformats.org/officeDocument/2006/relationships/hyperlink" Target="https://www.linkedin.com/in/tina-martinez-6767a94/" TargetMode="External"/><Relationship Id="rId246" Type="http://schemas.openxmlformats.org/officeDocument/2006/relationships/hyperlink" Target="https://www.linkedin.com/in/bhaswat-agarwal-classplus/" TargetMode="External"/><Relationship Id="rId1077" Type="http://schemas.openxmlformats.org/officeDocument/2006/relationships/hyperlink" Target="https://www.linkedin.com/in/stephanieneill/" TargetMode="External"/><Relationship Id="rId245" Type="http://schemas.openxmlformats.org/officeDocument/2006/relationships/hyperlink" Target="https://www.linkedin.com/in/mukul-rustagi-45462316/" TargetMode="External"/><Relationship Id="rId1078" Type="http://schemas.openxmlformats.org/officeDocument/2006/relationships/hyperlink" Target="http://decisionx.ai" TargetMode="External"/><Relationship Id="rId244" Type="http://schemas.openxmlformats.org/officeDocument/2006/relationships/hyperlink" Target="https://www.linkedin.com/in/ashish-goyal-a5554313/" TargetMode="External"/><Relationship Id="rId1079" Type="http://schemas.openxmlformats.org/officeDocument/2006/relationships/hyperlink" Target="http://linkedin.com/in/baggagaurav" TargetMode="External"/><Relationship Id="rId243" Type="http://schemas.openxmlformats.org/officeDocument/2006/relationships/hyperlink" Target="https://www.linkedin.com/in/akshay-mehrotra-b671925/" TargetMode="External"/><Relationship Id="rId239" Type="http://schemas.openxmlformats.org/officeDocument/2006/relationships/hyperlink" Target="https://www.linkedin.com/posts/joydipgupta_nitin-gupta-founder-ceo-uni-cards-on-activity-7290657794477719552-gw7W/" TargetMode="External"/><Relationship Id="rId238" Type="http://schemas.openxmlformats.org/officeDocument/2006/relationships/hyperlink" Target="https://www.linkedin.com/in/apoorvkumar/" TargetMode="External"/><Relationship Id="rId237" Type="http://schemas.openxmlformats.org/officeDocument/2006/relationships/hyperlink" Target="https://www.linkedin.com/in/chitreshsharma/" TargetMode="External"/><Relationship Id="rId236" Type="http://schemas.openxmlformats.org/officeDocument/2006/relationships/hyperlink" Target="https://www.linkedin.com/in/sumitgwalani/" TargetMode="External"/><Relationship Id="rId1060" Type="http://schemas.openxmlformats.org/officeDocument/2006/relationships/hyperlink" Target="https://www.linkedin.com/in/alkarmi/" TargetMode="External"/><Relationship Id="rId1061" Type="http://schemas.openxmlformats.org/officeDocument/2006/relationships/hyperlink" Target="https://www.linkedin.com/in/yuhki/" TargetMode="External"/><Relationship Id="rId231" Type="http://schemas.openxmlformats.org/officeDocument/2006/relationships/hyperlink" Target="https://www.linkedin.com/in/sanjaysharmaaye/" TargetMode="External"/><Relationship Id="rId1062" Type="http://schemas.openxmlformats.org/officeDocument/2006/relationships/hyperlink" Target="https://www.linkedin.com/in/robkawalsky/" TargetMode="External"/><Relationship Id="rId230" Type="http://schemas.openxmlformats.org/officeDocument/2006/relationships/hyperlink" Target="https://www.linkedin.com/in/siddharth-mahanot-173305/" TargetMode="External"/><Relationship Id="rId1063" Type="http://schemas.openxmlformats.org/officeDocument/2006/relationships/hyperlink" Target="https://www.linkedin.com/in/guptaamar/" TargetMode="External"/><Relationship Id="rId1064" Type="http://schemas.openxmlformats.org/officeDocument/2006/relationships/hyperlink" Target="https://www.linkedin.com/in/mayur/" TargetMode="External"/><Relationship Id="rId1065" Type="http://schemas.openxmlformats.org/officeDocument/2006/relationships/hyperlink" Target="https://www.linkedin.com/in/swastikmishraxlri/" TargetMode="External"/><Relationship Id="rId235" Type="http://schemas.openxmlformats.org/officeDocument/2006/relationships/hyperlink" Target="https://www.linkedin.com/in/sujithnarayanan/" TargetMode="External"/><Relationship Id="rId1066" Type="http://schemas.openxmlformats.org/officeDocument/2006/relationships/hyperlink" Target="https://www.linkedin.com/in/abosesf/" TargetMode="External"/><Relationship Id="rId234" Type="http://schemas.openxmlformats.org/officeDocument/2006/relationships/hyperlink" Target="https://www.linkedin.com/in/virender-bisht-a6b1078/" TargetMode="External"/><Relationship Id="rId1067" Type="http://schemas.openxmlformats.org/officeDocument/2006/relationships/hyperlink" Target="https://www.linkedin.com/in/bharatibalakrishnan/" TargetMode="External"/><Relationship Id="rId233" Type="http://schemas.openxmlformats.org/officeDocument/2006/relationships/hyperlink" Target="http://linkedin.com/in/guptajiten?originalSubdomain=in" TargetMode="External"/><Relationship Id="rId1068" Type="http://schemas.openxmlformats.org/officeDocument/2006/relationships/hyperlink" Target="https://www.linkedin.com/in/mamta-naik-6b170013b/" TargetMode="External"/><Relationship Id="rId232" Type="http://schemas.openxmlformats.org/officeDocument/2006/relationships/hyperlink" Target="https://www.linkedin.com/in/vikram-jetley-b3489816/" TargetMode="External"/><Relationship Id="rId1069" Type="http://schemas.openxmlformats.org/officeDocument/2006/relationships/hyperlink" Target="https://www.linkedin.com/in/nabarupabanerjee/" TargetMode="External"/><Relationship Id="rId1015" Type="http://schemas.openxmlformats.org/officeDocument/2006/relationships/hyperlink" Target="https://www.linkedin.com/in/saurabh514/?originalSubdomain=in" TargetMode="External"/><Relationship Id="rId1499" Type="http://schemas.openxmlformats.org/officeDocument/2006/relationships/hyperlink" Target="https://www.linkedin.com/in/anurag-sharma-2aa57854/?originalSubdomain=in" TargetMode="External"/><Relationship Id="rId1016" Type="http://schemas.openxmlformats.org/officeDocument/2006/relationships/hyperlink" Target="https://www.linkedin.com/in/sudhirsmani/?originalSubdomain=in" TargetMode="External"/><Relationship Id="rId1017" Type="http://schemas.openxmlformats.org/officeDocument/2006/relationships/hyperlink" Target="https://www.linkedin.com/in/mangla/?originalSubdomain=in" TargetMode="External"/><Relationship Id="rId1018" Type="http://schemas.openxmlformats.org/officeDocument/2006/relationships/hyperlink" Target="https://www.linkedin.com/in/vaibhavrustogi/?originalSubdomain=in" TargetMode="External"/><Relationship Id="rId1019" Type="http://schemas.openxmlformats.org/officeDocument/2006/relationships/hyperlink" Target="https://www.linkedin.com/in/ankitgoyalnitie/?originalSubdomain=in" TargetMode="External"/><Relationship Id="rId668" Type="http://schemas.openxmlformats.org/officeDocument/2006/relationships/hyperlink" Target="https://www.linkedin.com/in/laurencefink/" TargetMode="External"/><Relationship Id="rId667" Type="http://schemas.openxmlformats.org/officeDocument/2006/relationships/hyperlink" Target="https://www.linkedin.com/in/kristin-huguet-quayle-a362b21/" TargetMode="External"/><Relationship Id="rId666" Type="http://schemas.openxmlformats.org/officeDocument/2006/relationships/hyperlink" Target="https://www.linkedin.com/in/nickleahy/" TargetMode="External"/><Relationship Id="rId665" Type="http://schemas.openxmlformats.org/officeDocument/2006/relationships/hyperlink" Target="https://www.linkedin.com/in/adamjhhunt/?originalSubdomain=ae" TargetMode="External"/><Relationship Id="rId669" Type="http://schemas.openxmlformats.org/officeDocument/2006/relationships/hyperlink" Target="https://www.linkedin.com/in/vanessa-walker-4a25b851/" TargetMode="External"/><Relationship Id="rId1490" Type="http://schemas.openxmlformats.org/officeDocument/2006/relationships/hyperlink" Target="https://www.linkedin.com/in/gianni-pesce-89827940/" TargetMode="External"/><Relationship Id="rId660" Type="http://schemas.openxmlformats.org/officeDocument/2006/relationships/hyperlink" Target="https://www.linkedin.com/in/anil-sardana-30771721/" TargetMode="External"/><Relationship Id="rId1491" Type="http://schemas.openxmlformats.org/officeDocument/2006/relationships/hyperlink" Target="https://www.linkedin.com/in/dhruvilsanghvi/" TargetMode="External"/><Relationship Id="rId1492" Type="http://schemas.openxmlformats.org/officeDocument/2006/relationships/hyperlink" Target="https://www.linkedin.com/in/praveenboda/?originalSubdomain=in" TargetMode="External"/><Relationship Id="rId1493" Type="http://schemas.openxmlformats.org/officeDocument/2006/relationships/hyperlink" Target="https://www.linkedin.com/in/vivek-venkatesan-1562758/?originalSubdomain=in" TargetMode="External"/><Relationship Id="rId1010" Type="http://schemas.openxmlformats.org/officeDocument/2006/relationships/hyperlink" Target="https://www.linkedin.com/in/vishalnshah/" TargetMode="External"/><Relationship Id="rId1494" Type="http://schemas.openxmlformats.org/officeDocument/2006/relationships/hyperlink" Target="https://www.linkedin.com/in/gourav-kumar-58091a7/?originalSubdomain=in" TargetMode="External"/><Relationship Id="rId664" Type="http://schemas.openxmlformats.org/officeDocument/2006/relationships/hyperlink" Target="https://www.linkedin.com/in/shweta-mahajan-27b577122/?originalSubdomain=in" TargetMode="External"/><Relationship Id="rId1011" Type="http://schemas.openxmlformats.org/officeDocument/2006/relationships/hyperlink" Target="https://www.linkedin.com/in/pulkitmathur0104/" TargetMode="External"/><Relationship Id="rId1495" Type="http://schemas.openxmlformats.org/officeDocument/2006/relationships/hyperlink" Target="https://www.linkedin.com/in/madhusudan-bihani-535a1814/?originalSubdomain=in" TargetMode="External"/><Relationship Id="rId663" Type="http://schemas.openxmlformats.org/officeDocument/2006/relationships/hyperlink" Target="https://www.linkedin.com/in/katiejurowbarkett/" TargetMode="External"/><Relationship Id="rId1012" Type="http://schemas.openxmlformats.org/officeDocument/2006/relationships/hyperlink" Target="https://www.linkedin.com/in/sachinkansal/" TargetMode="External"/><Relationship Id="rId1496" Type="http://schemas.openxmlformats.org/officeDocument/2006/relationships/hyperlink" Target="https://www.linkedin.com/in/ritesh-agarwal-59972195/?originalSubdomain=ae" TargetMode="External"/><Relationship Id="rId662" Type="http://schemas.openxmlformats.org/officeDocument/2006/relationships/hyperlink" Target="https://www.linkedin.com/in/virat-bhatia-19304a97/?originalSubdomain=in" TargetMode="External"/><Relationship Id="rId1013" Type="http://schemas.openxmlformats.org/officeDocument/2006/relationships/hyperlink" Target="https://www.linkedin.com/in/sindhugangadharan/?originalSubdomain=in" TargetMode="External"/><Relationship Id="rId1497" Type="http://schemas.openxmlformats.org/officeDocument/2006/relationships/hyperlink" Target="https://www.linkedin.com/in/srishti-bajpai-02578039/?originalSubdomain=in" TargetMode="External"/><Relationship Id="rId661" Type="http://schemas.openxmlformats.org/officeDocument/2006/relationships/hyperlink" Target="https://www.linkedin.com/in/cooktim/?originalSubdomain=uk" TargetMode="External"/><Relationship Id="rId1014" Type="http://schemas.openxmlformats.org/officeDocument/2006/relationships/hyperlink" Target="https://www.linkedin.com/in/amitzavery/" TargetMode="External"/><Relationship Id="rId1498" Type="http://schemas.openxmlformats.org/officeDocument/2006/relationships/hyperlink" Target="https://www.linkedin.com/in/will-briggs-51994021/?originalSubdomain=uk" TargetMode="External"/><Relationship Id="rId1004" Type="http://schemas.openxmlformats.org/officeDocument/2006/relationships/hyperlink" Target="https://www.linkedin.com/in/gosinha/" TargetMode="External"/><Relationship Id="rId1488" Type="http://schemas.openxmlformats.org/officeDocument/2006/relationships/hyperlink" Target="https://www.linkedin.com/in/vivek-veda-0aa162a/?original_referer=https%3A%2F%2Fwww%2Egoogle%2Ecom%2F&amp;originalSubdomain=in" TargetMode="External"/><Relationship Id="rId1005" Type="http://schemas.openxmlformats.org/officeDocument/2006/relationships/hyperlink" Target="https://www.linkedin.com/in/emacosky/" TargetMode="External"/><Relationship Id="rId1489" Type="http://schemas.openxmlformats.org/officeDocument/2006/relationships/hyperlink" Target="https://www.linkedin.com/in/naveen-gupta-a61910/?originalSubdomain=in" TargetMode="External"/><Relationship Id="rId1006" Type="http://schemas.openxmlformats.org/officeDocument/2006/relationships/hyperlink" Target="https://www.linkedin.com/in/kirensekar/" TargetMode="External"/><Relationship Id="rId1007" Type="http://schemas.openxmlformats.org/officeDocument/2006/relationships/hyperlink" Target="https://www.linkedin.com/in/karthik-narain/" TargetMode="External"/><Relationship Id="rId1008" Type="http://schemas.openxmlformats.org/officeDocument/2006/relationships/hyperlink" Target="https://www.linkedin.com/in/vijayrvr/" TargetMode="External"/><Relationship Id="rId1009" Type="http://schemas.openxmlformats.org/officeDocument/2006/relationships/hyperlink" Target="https://www.linkedin.com/in/nikhilparuchuri/" TargetMode="External"/><Relationship Id="rId657" Type="http://schemas.openxmlformats.org/officeDocument/2006/relationships/hyperlink" Target="https://www.linkedin.com/in/shenu-agarwal/" TargetMode="External"/><Relationship Id="rId656" Type="http://schemas.openxmlformats.org/officeDocument/2006/relationships/hyperlink" Target="https://www.linkedin.com/in/hazel-menezes/" TargetMode="External"/><Relationship Id="rId655" Type="http://schemas.openxmlformats.org/officeDocument/2006/relationships/hyperlink" Target="https://www.linkedin.com/in/bhumika-gupta/?originalSubdomain=in" TargetMode="External"/><Relationship Id="rId654" Type="http://schemas.openxmlformats.org/officeDocument/2006/relationships/hyperlink" Target="https://www.linkedin.com/in/varunboppana/" TargetMode="External"/><Relationship Id="rId659" Type="http://schemas.openxmlformats.org/officeDocument/2006/relationships/hyperlink" Target="https://www.linkedin.com/in/ramanathan-s-m-64235320/" TargetMode="External"/><Relationship Id="rId658" Type="http://schemas.openxmlformats.org/officeDocument/2006/relationships/hyperlink" Target="https://www.linkedin.com/in/sadashiv-murthy-koppu-512216242/" TargetMode="External"/><Relationship Id="rId1480" Type="http://schemas.openxmlformats.org/officeDocument/2006/relationships/hyperlink" Target="https://www.linkedin.com/in/chintan-thakkar/?originalSubdomain=in" TargetMode="External"/><Relationship Id="rId1481" Type="http://schemas.openxmlformats.org/officeDocument/2006/relationships/hyperlink" Target="https://www.linkedin.com/in/sunil-bhagat-405a4097/?originalSubdomain=in" TargetMode="External"/><Relationship Id="rId1482" Type="http://schemas.openxmlformats.org/officeDocument/2006/relationships/hyperlink" Target="https://www.linkedin.com/in/adithya-u-g-8b848414/?originalSubdomain=in" TargetMode="External"/><Relationship Id="rId1483" Type="http://schemas.openxmlformats.org/officeDocument/2006/relationships/hyperlink" Target="https://www.linkedin.com/in/rajan-joshi-17a70476/?originalSubdomain=in" TargetMode="External"/><Relationship Id="rId653" Type="http://schemas.openxmlformats.org/officeDocument/2006/relationships/hyperlink" Target="https://www.linkedin.com/in/dhruv-sethi-ab675118/" TargetMode="External"/><Relationship Id="rId1000" Type="http://schemas.openxmlformats.org/officeDocument/2006/relationships/hyperlink" Target="https://www.linkedin.com/in/scott-koenigsberg-717812/" TargetMode="External"/><Relationship Id="rId1484" Type="http://schemas.openxmlformats.org/officeDocument/2006/relationships/hyperlink" Target="https://www.linkedin.com/in/prabhat-agarwal/?originalSubdomain=in" TargetMode="External"/><Relationship Id="rId652" Type="http://schemas.openxmlformats.org/officeDocument/2006/relationships/hyperlink" Target="https://www.linkedin.com/in/varun-gaba-3a7432164/" TargetMode="External"/><Relationship Id="rId1001" Type="http://schemas.openxmlformats.org/officeDocument/2006/relationships/hyperlink" Target="https://www.linkedin.com/in/gauravsingh241/" TargetMode="External"/><Relationship Id="rId1485" Type="http://schemas.openxmlformats.org/officeDocument/2006/relationships/hyperlink" Target="https://www.linkedin.com/in/abhaymaheshwari07/?originalSubdomain=in" TargetMode="External"/><Relationship Id="rId651" Type="http://schemas.openxmlformats.org/officeDocument/2006/relationships/hyperlink" Target="https://www.linkedin.com/in/saurabhchhajer/" TargetMode="External"/><Relationship Id="rId1002" Type="http://schemas.openxmlformats.org/officeDocument/2006/relationships/hyperlink" Target="https://www.linkedin.com/in/ankursi/" TargetMode="External"/><Relationship Id="rId1486" Type="http://schemas.openxmlformats.org/officeDocument/2006/relationships/hyperlink" Target="https://www.linkedin.com/in/raghavendra-g-s-6092012/?originalSubdomain=in" TargetMode="External"/><Relationship Id="rId650" Type="http://schemas.openxmlformats.org/officeDocument/2006/relationships/hyperlink" Target="https://www.linkedin.com/in/umangvohra/?originalSubdomain=in" TargetMode="External"/><Relationship Id="rId1003" Type="http://schemas.openxmlformats.org/officeDocument/2006/relationships/hyperlink" Target="https://www.linkedin.com/in/rajamani/" TargetMode="External"/><Relationship Id="rId1487" Type="http://schemas.openxmlformats.org/officeDocument/2006/relationships/hyperlink" Target="https://www.linkedin.com/in/ranvir-singh-23701719/?originalSubdomain=in" TargetMode="External"/><Relationship Id="rId1037" Type="http://schemas.openxmlformats.org/officeDocument/2006/relationships/hyperlink" Target="https://www.linkedin.com/in/juddheape/" TargetMode="External"/><Relationship Id="rId1038" Type="http://schemas.openxmlformats.org/officeDocument/2006/relationships/hyperlink" Target="https://www.linkedin.com/in/muralimohang/" TargetMode="External"/><Relationship Id="rId1039" Type="http://schemas.openxmlformats.org/officeDocument/2006/relationships/hyperlink" Target="https://www.linkedin.com/in/rakesh-s-anig" TargetMode="External"/><Relationship Id="rId206" Type="http://schemas.openxmlformats.org/officeDocument/2006/relationships/hyperlink" Target="https://www.linkedin.com/in/thirukumaran-nagarajan-51870242/?originalSubdomain=in" TargetMode="External"/><Relationship Id="rId205" Type="http://schemas.openxmlformats.org/officeDocument/2006/relationships/hyperlink" Target="https://www.linkedin.com/in/gowtham-elango-ab613759/?originalSubdomain=in" TargetMode="External"/><Relationship Id="rId689" Type="http://schemas.openxmlformats.org/officeDocument/2006/relationships/hyperlink" Target="https://www.linkedin.com/in/vidhya-duthaluru-1b0bb734/" TargetMode="External"/><Relationship Id="rId204" Type="http://schemas.openxmlformats.org/officeDocument/2006/relationships/hyperlink" Target="https://www.linkedin.com/in/lavish-soni-0a000342/?originalSubdomain=in" TargetMode="External"/><Relationship Id="rId688" Type="http://schemas.openxmlformats.org/officeDocument/2006/relationships/hyperlink" Target="https://www.linkedin.com/in/kavita-gopal-8772036a/" TargetMode="External"/><Relationship Id="rId203" Type="http://schemas.openxmlformats.org/officeDocument/2006/relationships/hyperlink" Target="https://www.linkedin.com/in/manish-poddar-08b013207/?originalSubdomain=in" TargetMode="External"/><Relationship Id="rId687" Type="http://schemas.openxmlformats.org/officeDocument/2006/relationships/hyperlink" Target="https://www.linkedin.com/in/ajay-deshmukh-5984a015/" TargetMode="External"/><Relationship Id="rId209" Type="http://schemas.openxmlformats.org/officeDocument/2006/relationships/hyperlink" Target="https://www.linkedin.com/in/anujasinghhr/?originalSubdomain=in" TargetMode="External"/><Relationship Id="rId208" Type="http://schemas.openxmlformats.org/officeDocument/2006/relationships/hyperlink" Target="https://www.linkedin.com/in/kartheeswarankk/?originalSubdomain=in" TargetMode="External"/><Relationship Id="rId207" Type="http://schemas.openxmlformats.org/officeDocument/2006/relationships/hyperlink" Target="https://www.linkedin.com/in/sharathloganathan/?originalSubdomain=in" TargetMode="External"/><Relationship Id="rId682" Type="http://schemas.openxmlformats.org/officeDocument/2006/relationships/hyperlink" Target="https://www.linkedin.com/in/kvaidyan/" TargetMode="External"/><Relationship Id="rId681" Type="http://schemas.openxmlformats.org/officeDocument/2006/relationships/hyperlink" Target="https://www.linkedin.com/in/chaitra-purushotham-22259917/" TargetMode="External"/><Relationship Id="rId1030" Type="http://schemas.openxmlformats.org/officeDocument/2006/relationships/hyperlink" Target="https://www.linkedin.com/in/kishorekonakanchi/" TargetMode="External"/><Relationship Id="rId680" Type="http://schemas.openxmlformats.org/officeDocument/2006/relationships/hyperlink" Target="https://www.linkedin.com/in/ankit-chowdhari-a9846148/" TargetMode="External"/><Relationship Id="rId1031" Type="http://schemas.openxmlformats.org/officeDocument/2006/relationships/hyperlink" Target="https://www.linkedin.com/in/nabendudas/?originalSubdomain=in" TargetMode="External"/><Relationship Id="rId1032" Type="http://schemas.openxmlformats.org/officeDocument/2006/relationships/hyperlink" Target="https://www.linkedin.com/in/eisar/" TargetMode="External"/><Relationship Id="rId202" Type="http://schemas.openxmlformats.org/officeDocument/2006/relationships/hyperlink" Target="https://www.linkedin.com/in/mayurimakwana/" TargetMode="External"/><Relationship Id="rId686" Type="http://schemas.openxmlformats.org/officeDocument/2006/relationships/hyperlink" Target="https://www.linkedin.com/in/jamiedimon/" TargetMode="External"/><Relationship Id="rId1033" Type="http://schemas.openxmlformats.org/officeDocument/2006/relationships/hyperlink" Target="https://www.linkedin.com/in/prasanna-boni-b4abb09/?originalSubdomain=in" TargetMode="External"/><Relationship Id="rId201" Type="http://schemas.openxmlformats.org/officeDocument/2006/relationships/hyperlink" Target="https://www.linkedin.com/in/niraj-shukla-07709b8a/?originalSubdomain=in" TargetMode="External"/><Relationship Id="rId685" Type="http://schemas.openxmlformats.org/officeDocument/2006/relationships/hyperlink" Target="https://www.linkedin.com/in/jared-cohen-13b071a/" TargetMode="External"/><Relationship Id="rId1034" Type="http://schemas.openxmlformats.org/officeDocument/2006/relationships/hyperlink" Target="https://www.linkedin.com/in/ashwani-jain/?originalSubdomain=ca" TargetMode="External"/><Relationship Id="rId200" Type="http://schemas.openxmlformats.org/officeDocument/2006/relationships/hyperlink" Target="https://www.linkedin.com/in/ankit-patel81/?originalSubdomain=in" TargetMode="External"/><Relationship Id="rId684" Type="http://schemas.openxmlformats.org/officeDocument/2006/relationships/hyperlink" Target="https://www.linkedin.com/in/jennifer-zuccarelli-8945994a/" TargetMode="External"/><Relationship Id="rId1035" Type="http://schemas.openxmlformats.org/officeDocument/2006/relationships/hyperlink" Target="https://www.linkedin.com/in/bhanuvalluri/" TargetMode="External"/><Relationship Id="rId683" Type="http://schemas.openxmlformats.org/officeDocument/2006/relationships/hyperlink" Target="https://www.linkedin.com/in/shivaprasannahebbar/?originalSubdomain=in" TargetMode="External"/><Relationship Id="rId1036" Type="http://schemas.openxmlformats.org/officeDocument/2006/relationships/hyperlink" Target="https://www.linkedin.com/in/kanika-jain-2121a373/" TargetMode="External"/><Relationship Id="rId1026" Type="http://schemas.openxmlformats.org/officeDocument/2006/relationships/hyperlink" Target="https://www.linkedin.com/in/gauravshahlot/?originalSubdomain=in" TargetMode="External"/><Relationship Id="rId1027" Type="http://schemas.openxmlformats.org/officeDocument/2006/relationships/hyperlink" Target="https://www.linkedin.com/in/piyushthakker/?originalSubdomain=in" TargetMode="External"/><Relationship Id="rId1028" Type="http://schemas.openxmlformats.org/officeDocument/2006/relationships/hyperlink" Target="https://www.linkedin.com/in/singhalashu/?originalSubdomain=de" TargetMode="External"/><Relationship Id="rId1029" Type="http://schemas.openxmlformats.org/officeDocument/2006/relationships/hyperlink" Target="https://www.linkedin.com/in/arthur-silveira-71a34052/?originalSubdomain=br" TargetMode="External"/><Relationship Id="rId679" Type="http://schemas.openxmlformats.org/officeDocument/2006/relationships/hyperlink" Target="https://www.linkedin.com/in/tabish-khan-0b850923/" TargetMode="External"/><Relationship Id="rId678" Type="http://schemas.openxmlformats.org/officeDocument/2006/relationships/hyperlink" Target="https://www.linkedin.com/in/harneet-kaur-3429863/" TargetMode="External"/><Relationship Id="rId677" Type="http://schemas.openxmlformats.org/officeDocument/2006/relationships/hyperlink" Target="https://www.linkedin.com/in/jai-sahani-2a40a5b/" TargetMode="External"/><Relationship Id="rId676" Type="http://schemas.openxmlformats.org/officeDocument/2006/relationships/hyperlink" Target="https://www.linkedin.com/in/rameshkamath/?originalSubdomain=in" TargetMode="External"/><Relationship Id="rId671" Type="http://schemas.openxmlformats.org/officeDocument/2006/relationships/hyperlink" Target="https://www.linkedin.com/in/prashant-sehgal-884b68/" TargetMode="External"/><Relationship Id="rId670" Type="http://schemas.openxmlformats.org/officeDocument/2006/relationships/hyperlink" Target="https://www.linkedin.com/in/pravin-goel-2452a54/?originalSubdomain=in" TargetMode="External"/><Relationship Id="rId1020" Type="http://schemas.openxmlformats.org/officeDocument/2006/relationships/hyperlink" Target="https://www.linkedin.com/in/rohil-ahmed/?originalSubdomain=in" TargetMode="External"/><Relationship Id="rId1021" Type="http://schemas.openxmlformats.org/officeDocument/2006/relationships/hyperlink" Target="https://www.linkedin.com/in/gunjan-kumar-56936450/?originalSubdomain=in" TargetMode="External"/><Relationship Id="rId675" Type="http://schemas.openxmlformats.org/officeDocument/2006/relationships/hyperlink" Target="https://www.linkedin.com/in/david-m-solomon/" TargetMode="External"/><Relationship Id="rId1022" Type="http://schemas.openxmlformats.org/officeDocument/2006/relationships/hyperlink" Target="https://www.linkedin.com/in/vijeth-pandit-71544516/?originalSubdomain=in" TargetMode="External"/><Relationship Id="rId674" Type="http://schemas.openxmlformats.org/officeDocument/2006/relationships/hyperlink" Target="https://www.linkedin.com/in/sachin-bavishi/" TargetMode="External"/><Relationship Id="rId1023" Type="http://schemas.openxmlformats.org/officeDocument/2006/relationships/hyperlink" Target="https://www.linkedin.com/in/nidhigupta02/?originalSubdomain=in" TargetMode="External"/><Relationship Id="rId673" Type="http://schemas.openxmlformats.org/officeDocument/2006/relationships/hyperlink" Target="https://www.linkedin.com/in/christine-anderson-33aa99123/" TargetMode="External"/><Relationship Id="rId1024" Type="http://schemas.openxmlformats.org/officeDocument/2006/relationships/hyperlink" Target="https://www.linkedin.com/in/deepak-phadke-85401830/?originalSubdomain=in" TargetMode="External"/><Relationship Id="rId672" Type="http://schemas.openxmlformats.org/officeDocument/2006/relationships/hyperlink" Target="https://www.linkedin.com/in/leigh-farris-6bba456/" TargetMode="External"/><Relationship Id="rId1025" Type="http://schemas.openxmlformats.org/officeDocument/2006/relationships/hyperlink" Target="https://www.linkedin.com/in/suyash-peshkar-95517519/?originalSubdomain=in" TargetMode="External"/><Relationship Id="rId190" Type="http://schemas.openxmlformats.org/officeDocument/2006/relationships/hyperlink" Target="https://www.linkedin.com/in/rahul-seth-22697743/?originalSubdomain=in" TargetMode="External"/><Relationship Id="rId194" Type="http://schemas.openxmlformats.org/officeDocument/2006/relationships/hyperlink" Target="https://www.linkedin.com/in/gsrinivas/?originalSubdomain=in" TargetMode="External"/><Relationship Id="rId193" Type="http://schemas.openxmlformats.org/officeDocument/2006/relationships/hyperlink" Target="https://www.linkedin.com/in/sagar-j-daryani-950085b7/?originalSubdomain=in" TargetMode="External"/><Relationship Id="rId192" Type="http://schemas.openxmlformats.org/officeDocument/2006/relationships/hyperlink" Target="https://www.linkedin.com/in/mehrab-ilavia-ab021b1a/?originalSubdomain=in" TargetMode="External"/><Relationship Id="rId191" Type="http://schemas.openxmlformats.org/officeDocument/2006/relationships/hyperlink" Target="https://www.linkedin.com/in/kabir-jeet-singh-6265439/" TargetMode="External"/><Relationship Id="rId187" Type="http://schemas.openxmlformats.org/officeDocument/2006/relationships/hyperlink" Target="https://www.linkedin.com/in/vivek-billore-00049a1a6/?originalSubdomain=in" TargetMode="External"/><Relationship Id="rId186" Type="http://schemas.openxmlformats.org/officeDocument/2006/relationships/hyperlink" Target="https://www.linkedin.com/in/sunny-bhatia-9244b314/?originalSubdomain=in" TargetMode="External"/><Relationship Id="rId185" Type="http://schemas.openxmlformats.org/officeDocument/2006/relationships/hyperlink" Target="https://www.linkedin.com/in/dhirendra-mahyavanshi-turtlemint/?originalSubdomain=in" TargetMode="External"/><Relationship Id="rId184" Type="http://schemas.openxmlformats.org/officeDocument/2006/relationships/hyperlink" Target="https://www.linkedin.com/in/anandprabhudesai/?originalSubdomain=in" TargetMode="External"/><Relationship Id="rId189" Type="http://schemas.openxmlformats.org/officeDocument/2006/relationships/hyperlink" Target="https://www.linkedin.com/in/nandini-goyal-15a64b113/?originalSubdomain=in" TargetMode="External"/><Relationship Id="rId188" Type="http://schemas.openxmlformats.org/officeDocument/2006/relationships/hyperlink" Target="https://www.linkedin.com/in/prafull-billore-a228019b/?originalSubdomain=in" TargetMode="External"/><Relationship Id="rId183" Type="http://schemas.openxmlformats.org/officeDocument/2006/relationships/hyperlink" Target="https://www.linkedin.com/in/anupama-tigga-40952846/?originalSubdomain=in" TargetMode="External"/><Relationship Id="rId182" Type="http://schemas.openxmlformats.org/officeDocument/2006/relationships/hyperlink" Target="https://www.linkedin.com/in/sachin-agrawal-903b8323/?originalSubdomain=in" TargetMode="External"/><Relationship Id="rId181" Type="http://schemas.openxmlformats.org/officeDocument/2006/relationships/hyperlink" Target="https://www.linkedin.com/in/bhuvan/?originalSubdomain=in" TargetMode="External"/><Relationship Id="rId180" Type="http://schemas.openxmlformats.org/officeDocument/2006/relationships/hyperlink" Target="https://www.linkedin.com/in/dvenkatesh/" TargetMode="External"/><Relationship Id="rId176" Type="http://schemas.openxmlformats.org/officeDocument/2006/relationships/hyperlink" Target="https://www.linkedin.com/in/sandeepg/?originalSubdomain=in" TargetMode="External"/><Relationship Id="rId175" Type="http://schemas.openxmlformats.org/officeDocument/2006/relationships/hyperlink" Target="https://www.linkedin.com/in/lakshmi-narasimha-manyam-3a6663360/?originalSubdomain=in" TargetMode="External"/><Relationship Id="rId174" Type="http://schemas.openxmlformats.org/officeDocument/2006/relationships/hyperlink" Target="https://www.linkedin.com/in/mohammad-nishanth-09901a193/?originalSubdomain=in" TargetMode="External"/><Relationship Id="rId173" Type="http://schemas.openxmlformats.org/officeDocument/2006/relationships/hyperlink" Target="https://www.linkedin.com/in/akshada-kardile/?originalSubdomain=in" TargetMode="External"/><Relationship Id="rId179" Type="http://schemas.openxmlformats.org/officeDocument/2006/relationships/hyperlink" Target="https://www.linkedin.com/in/ankurhan/?originalSubdomain=in" TargetMode="External"/><Relationship Id="rId178" Type="http://schemas.openxmlformats.org/officeDocument/2006/relationships/hyperlink" Target="https://www.linkedin.com/in/bhavnasc/?originalSubdomain=in" TargetMode="External"/><Relationship Id="rId177" Type="http://schemas.openxmlformats.org/officeDocument/2006/relationships/hyperlink" Target="https://www.linkedin.com/in/nitin-devatraj-b6943aa9/?originalSubdomain=in" TargetMode="External"/><Relationship Id="rId198" Type="http://schemas.openxmlformats.org/officeDocument/2006/relationships/hyperlink" Target="https://www.linkedin.com/in/navinparwal/?originalSubdomain=in" TargetMode="External"/><Relationship Id="rId197" Type="http://schemas.openxmlformats.org/officeDocument/2006/relationships/hyperlink" Target="https://www.linkedin.com/in/sangeet-agrawal-2260734a/?originalSubdomain=in" TargetMode="External"/><Relationship Id="rId196" Type="http://schemas.openxmlformats.org/officeDocument/2006/relationships/hyperlink" Target="https://www.linkedin.com/in/murali-krishnan-976a859/?originalSubdomain=in" TargetMode="External"/><Relationship Id="rId195" Type="http://schemas.openxmlformats.org/officeDocument/2006/relationships/hyperlink" Target="https://www.linkedin.com/in/binod-homagai-b652b430/overlay/contact-info/?lipi=urn%3Ali%3Apage%3Ad_flagship3_profile_view_base%3BnOc8vtfwQnyb4iJ3Endytw%3D%3D" TargetMode="External"/><Relationship Id="rId199" Type="http://schemas.openxmlformats.org/officeDocument/2006/relationships/hyperlink" Target="https://www.linkedin.com/in/natasha-naidu-8052218b/?originalSubdomain=in" TargetMode="External"/><Relationship Id="rId150" Type="http://schemas.openxmlformats.org/officeDocument/2006/relationships/hyperlink" Target="https://www.linkedin.com/in/pmi-aanchal-jain/?originalSubdomain=in" TargetMode="External"/><Relationship Id="rId149" Type="http://schemas.openxmlformats.org/officeDocument/2006/relationships/hyperlink" Target="https://www.linkedin.com/in/vandana-mishra/?originalSubdomain=in" TargetMode="External"/><Relationship Id="rId148" Type="http://schemas.openxmlformats.org/officeDocument/2006/relationships/hyperlink" Target="http://linkedin.com/in/vinay/?originalSubdomain=in" TargetMode="External"/><Relationship Id="rId1090" Type="http://schemas.openxmlformats.org/officeDocument/2006/relationships/hyperlink" Target="https://www.linkedin.com/in/santhoshkumarj/?originalSubdomain=in" TargetMode="External"/><Relationship Id="rId1091" Type="http://schemas.openxmlformats.org/officeDocument/2006/relationships/hyperlink" Target="http://linkedin.com/in/khasnis" TargetMode="External"/><Relationship Id="rId1092" Type="http://schemas.openxmlformats.org/officeDocument/2006/relationships/hyperlink" Target="http://linkedin.com/in/kedarpanjiyar" TargetMode="External"/><Relationship Id="rId1093" Type="http://schemas.openxmlformats.org/officeDocument/2006/relationships/hyperlink" Target="http://linkedin.com/in/aman-gupta-7217a515" TargetMode="External"/><Relationship Id="rId1094" Type="http://schemas.openxmlformats.org/officeDocument/2006/relationships/hyperlink" Target="http://linkedin.com/in/ish-babbar-920429205" TargetMode="External"/><Relationship Id="rId143" Type="http://schemas.openxmlformats.org/officeDocument/2006/relationships/hyperlink" Target="https://www.linkedin.com/in/madhavbhagat/?originalSubdomain=in" TargetMode="External"/><Relationship Id="rId1095" Type="http://schemas.openxmlformats.org/officeDocument/2006/relationships/hyperlink" Target="http://linkedin.com/in/ashishgupta97065" TargetMode="External"/><Relationship Id="rId142" Type="http://schemas.openxmlformats.org/officeDocument/2006/relationships/hyperlink" Target="https://www.linkedin.com/in/shashankbijapur/" TargetMode="External"/><Relationship Id="rId1096" Type="http://schemas.openxmlformats.org/officeDocument/2006/relationships/hyperlink" Target="http://linkedin.com/in/nirav-sampat-a533ab113" TargetMode="External"/><Relationship Id="rId141" Type="http://schemas.openxmlformats.org/officeDocument/2006/relationships/hyperlink" Target="https://www.linkedin.com/in/amitsharmaam/?originalSubdomain=in" TargetMode="External"/><Relationship Id="rId1097" Type="http://schemas.openxmlformats.org/officeDocument/2006/relationships/hyperlink" Target="http://linkedin.com/in/yakumar" TargetMode="External"/><Relationship Id="rId140" Type="http://schemas.openxmlformats.org/officeDocument/2006/relationships/hyperlink" Target="https://www.linkedin.com/in/anil-gelra-91890b4/" TargetMode="External"/><Relationship Id="rId1098" Type="http://schemas.openxmlformats.org/officeDocument/2006/relationships/hyperlink" Target="http://linkedin.com/in/vishwanath-ram-8826722" TargetMode="External"/><Relationship Id="rId147" Type="http://schemas.openxmlformats.org/officeDocument/2006/relationships/hyperlink" Target="https://www.linkedin.com/in/ashishsemwal/?originalSubdomain=in" TargetMode="External"/><Relationship Id="rId1099" Type="http://schemas.openxmlformats.org/officeDocument/2006/relationships/hyperlink" Target="http://linkedin.com/in/harrickvin" TargetMode="External"/><Relationship Id="rId146" Type="http://schemas.openxmlformats.org/officeDocument/2006/relationships/hyperlink" Target="https://www.linkedin.com/in/vivekgajula/?originalSubdomain=in" TargetMode="External"/><Relationship Id="rId145" Type="http://schemas.openxmlformats.org/officeDocument/2006/relationships/hyperlink" Target="https://www.linkedin.com/in/rohan-shah-3bb45489/?originalSubdomain=in" TargetMode="External"/><Relationship Id="rId144" Type="http://schemas.openxmlformats.org/officeDocument/2006/relationships/hyperlink" Target="https://www.linkedin.com/in/saubhagya-mehta-m4/?originalSubdomain=in" TargetMode="External"/><Relationship Id="rId139" Type="http://schemas.openxmlformats.org/officeDocument/2006/relationships/hyperlink" Target="https://www.linkedin.com/in/abhineet-sawa-31575b4/" TargetMode="External"/><Relationship Id="rId138" Type="http://schemas.openxmlformats.org/officeDocument/2006/relationships/hyperlink" Target="https://www.linkedin.com/in/nalinagrawal/?originalSubdomain=in" TargetMode="External"/><Relationship Id="rId137" Type="http://schemas.openxmlformats.org/officeDocument/2006/relationships/hyperlink" Target="https://www.linkedin.com/in/siddhanth-sanghavi/?originalSubdomain=in" TargetMode="External"/><Relationship Id="rId1080" Type="http://schemas.openxmlformats.org/officeDocument/2006/relationships/hyperlink" Target="http://linkedin.com/in/rahulkc" TargetMode="External"/><Relationship Id="rId1081" Type="http://schemas.openxmlformats.org/officeDocument/2006/relationships/hyperlink" Target="http://linkedin.com/in/vinayakbaranwal" TargetMode="External"/><Relationship Id="rId1082" Type="http://schemas.openxmlformats.org/officeDocument/2006/relationships/hyperlink" Target="http://linkedin.com/in/saurabh-kishore-1046a42" TargetMode="External"/><Relationship Id="rId1083" Type="http://schemas.openxmlformats.org/officeDocument/2006/relationships/hyperlink" Target="http://linkedin.com/in/shitiz-bansal-3216057" TargetMode="External"/><Relationship Id="rId132" Type="http://schemas.openxmlformats.org/officeDocument/2006/relationships/hyperlink" Target="https://www.linkedin.com/in/arnavk/?originalSubdomain=in" TargetMode="External"/><Relationship Id="rId1084" Type="http://schemas.openxmlformats.org/officeDocument/2006/relationships/hyperlink" Target="http://linkedin.com/in/srividhya-srinivasan-60806b1" TargetMode="External"/><Relationship Id="rId131" Type="http://schemas.openxmlformats.org/officeDocument/2006/relationships/hyperlink" Target="https://www.linkedin.com/in/alissa-sundstedt-ms-atc-otc-capm-59a67492/" TargetMode="External"/><Relationship Id="rId1085" Type="http://schemas.openxmlformats.org/officeDocument/2006/relationships/hyperlink" Target="http://linkedin.com/in/rishabh-sood-8b784a14" TargetMode="External"/><Relationship Id="rId130" Type="http://schemas.openxmlformats.org/officeDocument/2006/relationships/hyperlink" Target="https://www.linkedin.com/in/flyingsardar/" TargetMode="External"/><Relationship Id="rId1086" Type="http://schemas.openxmlformats.org/officeDocument/2006/relationships/hyperlink" Target="http://linkedin.com/in/srinath-ramakkrushnan-a658629" TargetMode="External"/><Relationship Id="rId1087" Type="http://schemas.openxmlformats.org/officeDocument/2006/relationships/hyperlink" Target="http://linkedin.com/in/shashidhar-ramakrishnaiah-7027335" TargetMode="External"/><Relationship Id="rId136" Type="http://schemas.openxmlformats.org/officeDocument/2006/relationships/hyperlink" Target="https://www.linkedin.com/in/abdul-aziz-ansari-93519024b/?originalSubdomain=in" TargetMode="External"/><Relationship Id="rId1088" Type="http://schemas.openxmlformats.org/officeDocument/2006/relationships/hyperlink" Target="http://linkedin.com/in/pankajkgoel" TargetMode="External"/><Relationship Id="rId135" Type="http://schemas.openxmlformats.org/officeDocument/2006/relationships/hyperlink" Target="https://www.linkedin.com/in/romita-mazumdar-063777a5/?originalSubdomain=in" TargetMode="External"/><Relationship Id="rId1089" Type="http://schemas.openxmlformats.org/officeDocument/2006/relationships/hyperlink" Target="http://linkedin.com/in/khandelwalkshitij" TargetMode="External"/><Relationship Id="rId134" Type="http://schemas.openxmlformats.org/officeDocument/2006/relationships/hyperlink" Target="https://www.linkedin.com/in/preeti-tamhane-99a0a7373/?originalSubdomain=in" TargetMode="External"/><Relationship Id="rId133" Type="http://schemas.openxmlformats.org/officeDocument/2006/relationships/hyperlink" Target="https://www.linkedin.com/in/rajan-chaudhary-b3b27423/?originalSubdomain=in" TargetMode="External"/><Relationship Id="rId172" Type="http://schemas.openxmlformats.org/officeDocument/2006/relationships/hyperlink" Target="https://www.linkedin.com/in/kcshah/?originalSubdomain=in" TargetMode="External"/><Relationship Id="rId171" Type="http://schemas.openxmlformats.org/officeDocument/2006/relationships/hyperlink" Target="https://www.linkedin.com/in/yogesh-actuary/?originalSubdomain=in" TargetMode="External"/><Relationship Id="rId170" Type="http://schemas.openxmlformats.org/officeDocument/2006/relationships/hyperlink" Target="https://www.linkedin.com/in/midhun-manohar-77b146123/?originalSubdomain=in" TargetMode="External"/><Relationship Id="rId165" Type="http://schemas.openxmlformats.org/officeDocument/2006/relationships/hyperlink" Target="https://www.linkedin.com/in/gsravanth/?originalSubdomain=in" TargetMode="External"/><Relationship Id="rId164" Type="http://schemas.openxmlformats.org/officeDocument/2006/relationships/hyperlink" Target="https://www.linkedin.com/in/kishan-ap-0736b7194/?originalSubdomain=in" TargetMode="External"/><Relationship Id="rId163" Type="http://schemas.openxmlformats.org/officeDocument/2006/relationships/hyperlink" Target="https://www.linkedin.com/in/priya-venkat-811257122/" TargetMode="External"/><Relationship Id="rId162" Type="http://schemas.openxmlformats.org/officeDocument/2006/relationships/hyperlink" Target="http://linkedin.com/in/vipin-raghavan-6142986/?originalSubdomain=in" TargetMode="External"/><Relationship Id="rId169" Type="http://schemas.openxmlformats.org/officeDocument/2006/relationships/hyperlink" Target="https://www.linkedin.com/in/amevesharma/?originalSubdomain=in" TargetMode="External"/><Relationship Id="rId168" Type="http://schemas.openxmlformats.org/officeDocument/2006/relationships/hyperlink" Target="https://www.linkedin.com/in/shantanu-b535a010/?originalSubdomain=in" TargetMode="External"/><Relationship Id="rId167" Type="http://schemas.openxmlformats.org/officeDocument/2006/relationships/hyperlink" Target="https://www.linkedin.com/in/chandini-velaga-393b83256/?originalSubdomain=in" TargetMode="External"/><Relationship Id="rId166" Type="http://schemas.openxmlformats.org/officeDocument/2006/relationships/hyperlink" Target="https://www.linkedin.com/in/sandeep-bommireddi/?originalSubdomain=in" TargetMode="External"/><Relationship Id="rId161" Type="http://schemas.openxmlformats.org/officeDocument/2006/relationships/hyperlink" Target="https://www.linkedin.com/in/rajat-kedia/?originalSubdomain=in" TargetMode="External"/><Relationship Id="rId160" Type="http://schemas.openxmlformats.org/officeDocument/2006/relationships/hyperlink" Target="https://www.linkedin.com/in/sharadsanghi/?originalSubdomain=in" TargetMode="External"/><Relationship Id="rId159" Type="http://schemas.openxmlformats.org/officeDocument/2006/relationships/hyperlink" Target="https://www.linkedin.com/in/anindya-d-0785a333b/?originalSubdomain=in" TargetMode="External"/><Relationship Id="rId154" Type="http://schemas.openxmlformats.org/officeDocument/2006/relationships/hyperlink" Target="https://www.linkedin.com/in/sharmishtha-roy-a568a38b/?originalSubdomain=in" TargetMode="External"/><Relationship Id="rId153" Type="http://schemas.openxmlformats.org/officeDocument/2006/relationships/hyperlink" Target="https://www.linkedin.com/in/piyushsomani/?originalSubdomain=in" TargetMode="External"/><Relationship Id="rId152" Type="http://schemas.openxmlformats.org/officeDocument/2006/relationships/hyperlink" Target="https://www.linkedin.com/in/megha-rajora-2345311b/?originalSubdomain=in" TargetMode="External"/><Relationship Id="rId151" Type="http://schemas.openxmlformats.org/officeDocument/2006/relationships/hyperlink" Target="https://www.linkedin.com/in/satish-jain-2a5709278/?originalSubdomain=in" TargetMode="External"/><Relationship Id="rId158" Type="http://schemas.openxmlformats.org/officeDocument/2006/relationships/hyperlink" Target="https://www.linkedin.com/in/alessandro-ialongo/?originalSubdomain=in" TargetMode="External"/><Relationship Id="rId157" Type="http://schemas.openxmlformats.org/officeDocument/2006/relationships/hyperlink" Target="https://www.linkedin.com/in/mayank-banerjee-b081507b/?originalSubdomain=in" TargetMode="External"/><Relationship Id="rId156" Type="http://schemas.openxmlformats.org/officeDocument/2006/relationships/hyperlink" Target="https://www.linkedin.com/in/matilde-giglio-774961a8/?originalSubdomain=in" TargetMode="External"/><Relationship Id="rId155" Type="http://schemas.openxmlformats.org/officeDocument/2006/relationships/hyperlink" Target="https://www.linkedin.com/in/iamkishoreshah/?originalSubdomain=in" TargetMode="External"/><Relationship Id="rId1510" Type="http://schemas.openxmlformats.org/officeDocument/2006/relationships/hyperlink" Target="https://www.linkedin.com/in/piyushbothtra/?originalSubdomain=in" TargetMode="External"/><Relationship Id="rId1511" Type="http://schemas.openxmlformats.org/officeDocument/2006/relationships/hyperlink" Target="https://www.linkedin.com/in/caashishkr/?originalSubdomain=in" TargetMode="External"/><Relationship Id="rId1512" Type="http://schemas.openxmlformats.org/officeDocument/2006/relationships/hyperlink" Target="https://www.linkedin.com/in/srinivas-pramodh-emany-606216b/?originalSubdomain=in" TargetMode="External"/><Relationship Id="rId1513" Type="http://schemas.openxmlformats.org/officeDocument/2006/relationships/hyperlink" Target="https://www.linkedin.com/in/naveen-bhadada/?originalSubdomain=in" TargetMode="External"/><Relationship Id="rId1514" Type="http://schemas.openxmlformats.org/officeDocument/2006/relationships/hyperlink" Target="https://www.linkedin.com/in/anupam-vasdani-14594a6/?originalSubdomain=in" TargetMode="External"/><Relationship Id="rId1515" Type="http://schemas.openxmlformats.org/officeDocument/2006/relationships/hyperlink" Target="https://www.linkedin.com/in/badrisanjeevi/?originalSubdomain=in" TargetMode="External"/><Relationship Id="rId1516" Type="http://schemas.openxmlformats.org/officeDocument/2006/relationships/hyperlink" Target="https://www.linkedin.com/in/navesh-gupta/?originalSubdomain=in" TargetMode="External"/><Relationship Id="rId1517" Type="http://schemas.openxmlformats.org/officeDocument/2006/relationships/hyperlink" Target="https://www.linkedin.com/in/sidhartha-patnaik-273a9925/?originalSubdomain=in" TargetMode="External"/><Relationship Id="rId1518" Type="http://schemas.openxmlformats.org/officeDocument/2006/relationships/hyperlink" Target="https://www.linkedin.com/in/cliffordlobo/?originalSubdomain=in" TargetMode="External"/><Relationship Id="rId1519" Type="http://schemas.openxmlformats.org/officeDocument/2006/relationships/hyperlink" Target="https://www.linkedin.com/in/nidhish-patni-881b0453/?originalSubdomain=in" TargetMode="External"/><Relationship Id="rId1500" Type="http://schemas.openxmlformats.org/officeDocument/2006/relationships/hyperlink" Target="https://www.linkedin.com/in/sushilthaker/?originalSubdomain=in" TargetMode="External"/><Relationship Id="rId1501" Type="http://schemas.openxmlformats.org/officeDocument/2006/relationships/hyperlink" Target="https://www.linkedin.com/in/krishan-agarwal-2a167a18/?originalSubdomain=in" TargetMode="External"/><Relationship Id="rId1502" Type="http://schemas.openxmlformats.org/officeDocument/2006/relationships/hyperlink" Target="https://www.linkedin.com/in/rahul-vermani-6b5162102/?originalSubdomain=in" TargetMode="External"/><Relationship Id="rId1503" Type="http://schemas.openxmlformats.org/officeDocument/2006/relationships/hyperlink" Target="https://www.linkedin.com/in/jbilich/" TargetMode="External"/><Relationship Id="rId1504" Type="http://schemas.openxmlformats.org/officeDocument/2006/relationships/hyperlink" Target="https://www.linkedin.com/in/abhinav-vijayvargiya-2812672b/?originalSubdomain=in" TargetMode="External"/><Relationship Id="rId1505" Type="http://schemas.openxmlformats.org/officeDocument/2006/relationships/hyperlink" Target="https://www.linkedin.com/in/sanjivsinghal/?originalSubdomain=in" TargetMode="External"/><Relationship Id="rId1506" Type="http://schemas.openxmlformats.org/officeDocument/2006/relationships/hyperlink" Target="https://www.linkedin.com/in/alok-vaish-14a69617/?originalSubdomain=in" TargetMode="External"/><Relationship Id="rId1507" Type="http://schemas.openxmlformats.org/officeDocument/2006/relationships/hyperlink" Target="https://www.linkedin.com/in/praveen-kumar-kj-78476b1/?originalSubdomain=in" TargetMode="External"/><Relationship Id="rId1508" Type="http://schemas.openxmlformats.org/officeDocument/2006/relationships/hyperlink" Target="https://www.linkedin.com/in/pratik-lohiya-01619311a/?originalSubdomain=in" TargetMode="External"/><Relationship Id="rId1509" Type="http://schemas.openxmlformats.org/officeDocument/2006/relationships/hyperlink" Target="https://www.linkedin.com/in/singhaniketkr/?originalSubdomain=in" TargetMode="External"/><Relationship Id="rId1576" Type="http://schemas.openxmlformats.org/officeDocument/2006/relationships/hyperlink" Target="https://www.linkedin.com/in/nandakumartirumalai/" TargetMode="External"/><Relationship Id="rId1577" Type="http://schemas.openxmlformats.org/officeDocument/2006/relationships/hyperlink" Target="https://www.linkedin.com/in/ashish-goenka-aa680a8/?originalSubdomain=in" TargetMode="External"/><Relationship Id="rId1578" Type="http://schemas.openxmlformats.org/officeDocument/2006/relationships/hyperlink" Target="https://www.linkedin.com/in/samir-seksaria-3526244/?originalSubdomain=in" TargetMode="External"/><Relationship Id="rId1579" Type="http://schemas.openxmlformats.org/officeDocument/2006/relationships/hyperlink" Target="https://www.linkedin.com/in/gaurav-bajaj-1431085/?originalSubdomain=in" TargetMode="External"/><Relationship Id="rId509" Type="http://schemas.openxmlformats.org/officeDocument/2006/relationships/hyperlink" Target="http://linkedin.com/in/siddharth-mehta" TargetMode="External"/><Relationship Id="rId508" Type="http://schemas.openxmlformats.org/officeDocument/2006/relationships/hyperlink" Target="http://linkedin.com/in/siddharth-mehta" TargetMode="External"/><Relationship Id="rId503" Type="http://schemas.openxmlformats.org/officeDocument/2006/relationships/hyperlink" Target="http://linkedin.com/in/mahesh-vyas" TargetMode="External"/><Relationship Id="rId987" Type="http://schemas.openxmlformats.org/officeDocument/2006/relationships/hyperlink" Target="https://www.linkedin.com/in/anikk/" TargetMode="External"/><Relationship Id="rId502" Type="http://schemas.openxmlformats.org/officeDocument/2006/relationships/hyperlink" Target="http://linkedin.com/in/arjunahluwalia" TargetMode="External"/><Relationship Id="rId986" Type="http://schemas.openxmlformats.org/officeDocument/2006/relationships/hyperlink" Target="https://www.linkedin.com/in/kunalchopra1995/" TargetMode="External"/><Relationship Id="rId501" Type="http://schemas.openxmlformats.org/officeDocument/2006/relationships/hyperlink" Target="http://linkedin.com/in/rajeevagrawal" TargetMode="External"/><Relationship Id="rId985" Type="http://schemas.openxmlformats.org/officeDocument/2006/relationships/hyperlink" Target="https://www.linkedin.com/in/pankaj-sable-a12734122/" TargetMode="External"/><Relationship Id="rId500" Type="http://schemas.openxmlformats.org/officeDocument/2006/relationships/hyperlink" Target="http://linkedin.com/in/rajul-jain" TargetMode="External"/><Relationship Id="rId984" Type="http://schemas.openxmlformats.org/officeDocument/2006/relationships/hyperlink" Target="https://www.linkedin.com/in/japan-doshi-a432171/" TargetMode="External"/><Relationship Id="rId507" Type="http://schemas.openxmlformats.org/officeDocument/2006/relationships/hyperlink" Target="http://linkedin.com/in/amarmore" TargetMode="External"/><Relationship Id="rId506" Type="http://schemas.openxmlformats.org/officeDocument/2006/relationships/hyperlink" Target="http://linkedin.com/in/jaibirsiwach" TargetMode="External"/><Relationship Id="rId505" Type="http://schemas.openxmlformats.org/officeDocument/2006/relationships/hyperlink" Target="http://linkedin.com/in/sahilsani" TargetMode="External"/><Relationship Id="rId989" Type="http://schemas.openxmlformats.org/officeDocument/2006/relationships/hyperlink" Target="https://www.linkedin.com/in/sathish-mohan-257b2a3/" TargetMode="External"/><Relationship Id="rId504" Type="http://schemas.openxmlformats.org/officeDocument/2006/relationships/hyperlink" Target="http://linkedin.com/in/priti-sawant" TargetMode="External"/><Relationship Id="rId988" Type="http://schemas.openxmlformats.org/officeDocument/2006/relationships/hyperlink" Target="https://www.linkedin.com/in/anubhavit/" TargetMode="External"/><Relationship Id="rId1570" Type="http://schemas.openxmlformats.org/officeDocument/2006/relationships/hyperlink" Target="https://www.linkedin.com/in/vivek-tongaonkar-0856451/?originalSubdomain=in" TargetMode="External"/><Relationship Id="rId1571" Type="http://schemas.openxmlformats.org/officeDocument/2006/relationships/hyperlink" Target="https://www.linkedin.com/in/kunal-malani-2817b41/?originalSubdomain=in" TargetMode="External"/><Relationship Id="rId983" Type="http://schemas.openxmlformats.org/officeDocument/2006/relationships/hyperlink" Target="https://www.linkedin.com/in/milindpathak/" TargetMode="External"/><Relationship Id="rId1572" Type="http://schemas.openxmlformats.org/officeDocument/2006/relationships/hyperlink" Target="https://www.linkedin.com/in/rahul-jain-a02736154/?originalSubdomain=in" TargetMode="External"/><Relationship Id="rId982" Type="http://schemas.openxmlformats.org/officeDocument/2006/relationships/hyperlink" Target="https://www.linkedin.com/in/thobithabraham/" TargetMode="External"/><Relationship Id="rId1573" Type="http://schemas.openxmlformats.org/officeDocument/2006/relationships/hyperlink" Target="https://www.linkedin.com/in/dr-ashok-kumar-panda-2884a726/?originalSubdomain=in" TargetMode="External"/><Relationship Id="rId981" Type="http://schemas.openxmlformats.org/officeDocument/2006/relationships/hyperlink" Target="http://iksa.ai" TargetMode="External"/><Relationship Id="rId1574" Type="http://schemas.openxmlformats.org/officeDocument/2006/relationships/hyperlink" Target="https://www.linkedin.com/in/c-s-muralidharan-225408138/?originalSubdomain=in" TargetMode="External"/><Relationship Id="rId980" Type="http://schemas.openxmlformats.org/officeDocument/2006/relationships/hyperlink" Target="https://www.linkedin.com/in/harishkurudi/" TargetMode="External"/><Relationship Id="rId1575" Type="http://schemas.openxmlformats.org/officeDocument/2006/relationships/hyperlink" Target="https://www.linkedin.com/in/unnivc/?originalSubdomain=in" TargetMode="External"/><Relationship Id="rId1565" Type="http://schemas.openxmlformats.org/officeDocument/2006/relationships/hyperlink" Target="https://www.linkedin.com/in/madhu-nainan-46430923/?originalSubdomain=in" TargetMode="External"/><Relationship Id="rId1566" Type="http://schemas.openxmlformats.org/officeDocument/2006/relationships/hyperlink" Target="https://www.linkedin.com/in/svetlana-boldina-45343115/?originalSubdomain=in" TargetMode="External"/><Relationship Id="rId1567" Type="http://schemas.openxmlformats.org/officeDocument/2006/relationships/hyperlink" Target="https://www.linkedin.com/in/jaikumar-srinivasan-70055a3/?originalSubdomain=in" TargetMode="External"/><Relationship Id="rId1568" Type="http://schemas.openxmlformats.org/officeDocument/2006/relationships/hyperlink" Target="https://www.linkedin.com/in/colette-kress-22328346/" TargetMode="External"/><Relationship Id="rId1569" Type="http://schemas.openxmlformats.org/officeDocument/2006/relationships/hyperlink" Target="https://www.linkedin.com/in/kallolkundu/?originalSubdomain=ae" TargetMode="External"/><Relationship Id="rId976" Type="http://schemas.openxmlformats.org/officeDocument/2006/relationships/hyperlink" Target="https://www.linkedin.com/in/priyankbarthwal/" TargetMode="External"/><Relationship Id="rId975" Type="http://schemas.openxmlformats.org/officeDocument/2006/relationships/hyperlink" Target="https://www.linkedin.com/in/sainivinay/" TargetMode="External"/><Relationship Id="rId974" Type="http://schemas.openxmlformats.org/officeDocument/2006/relationships/hyperlink" Target="http://neuron7.ai" TargetMode="External"/><Relationship Id="rId973" Type="http://schemas.openxmlformats.org/officeDocument/2006/relationships/hyperlink" Target="https://www.linkedin.com/in/7bharats/" TargetMode="External"/><Relationship Id="rId979" Type="http://schemas.openxmlformats.org/officeDocument/2006/relationships/hyperlink" Target="https://www.linkedin.com/in/ishanvyas/" TargetMode="External"/><Relationship Id="rId978" Type="http://schemas.openxmlformats.org/officeDocument/2006/relationships/hyperlink" Target="https://www.linkedin.com/in/deepunk/" TargetMode="External"/><Relationship Id="rId977" Type="http://schemas.openxmlformats.org/officeDocument/2006/relationships/hyperlink" Target="https://www.linkedin.com/in/aashutoshverma/" TargetMode="External"/><Relationship Id="rId1560" Type="http://schemas.openxmlformats.org/officeDocument/2006/relationships/hyperlink" Target="https://www.linkedin.com/in/shankar-raman-2193808/?originalSubdomain=in" TargetMode="External"/><Relationship Id="rId972" Type="http://schemas.openxmlformats.org/officeDocument/2006/relationships/hyperlink" Target="https://www.linkedin.com/in/naveen-k-3b269778/" TargetMode="External"/><Relationship Id="rId1561" Type="http://schemas.openxmlformats.org/officeDocument/2006/relationships/hyperlink" Target="https://www.linkedin.com/in/ramesh-swaminathan-861a683/?originalSubdomain=in" TargetMode="External"/><Relationship Id="rId971" Type="http://schemas.openxmlformats.org/officeDocument/2006/relationships/hyperlink" Target="https://www.linkedin.com/in/mayankbhola/" TargetMode="External"/><Relationship Id="rId1562" Type="http://schemas.openxmlformats.org/officeDocument/2006/relationships/hyperlink" Target="https://www.linkedin.com/in/pradeep-agrawal-9514341a/?originalSubdomain=in" TargetMode="External"/><Relationship Id="rId970" Type="http://schemas.openxmlformats.org/officeDocument/2006/relationships/hyperlink" Target="https://www.linkedin.com/in/mvs12/" TargetMode="External"/><Relationship Id="rId1563" Type="http://schemas.openxmlformats.org/officeDocument/2006/relationships/hyperlink" Target="https://www.linkedin.com/in/amarjyoti-barua-9b22222/?originalSubdomain=in" TargetMode="External"/><Relationship Id="rId1564" Type="http://schemas.openxmlformats.org/officeDocument/2006/relationships/hyperlink" Target="https://www.linkedin.com/in/amyhood1/" TargetMode="External"/><Relationship Id="rId1114" Type="http://schemas.openxmlformats.org/officeDocument/2006/relationships/hyperlink" Target="http://linkedin.com/in/deepeshdhakad" TargetMode="External"/><Relationship Id="rId1598" Type="http://schemas.openxmlformats.org/officeDocument/2006/relationships/hyperlink" Target="https://www.linkedin.com/in/sujithnarayanan/?originalSubdomain=in" TargetMode="External"/><Relationship Id="rId1115" Type="http://schemas.openxmlformats.org/officeDocument/2006/relationships/hyperlink" Target="http://linkedin.com/in/rakshit-daga-76b467" TargetMode="External"/><Relationship Id="rId1599" Type="http://schemas.openxmlformats.org/officeDocument/2006/relationships/hyperlink" Target="https://www.linkedin.com/in/sumit-kawariya/?originalSubdomain=in" TargetMode="External"/><Relationship Id="rId1116" Type="http://schemas.openxmlformats.org/officeDocument/2006/relationships/hyperlink" Target="http://linkedin.com/in/sajal-gupta-4b966742" TargetMode="External"/><Relationship Id="rId1117" Type="http://schemas.openxmlformats.org/officeDocument/2006/relationships/hyperlink" Target="http://linkedin.com/in/bhushanheda" TargetMode="External"/><Relationship Id="rId1118" Type="http://schemas.openxmlformats.org/officeDocument/2006/relationships/hyperlink" Target="http://linkedin.com/in/bapukota" TargetMode="External"/><Relationship Id="rId1119" Type="http://schemas.openxmlformats.org/officeDocument/2006/relationships/hyperlink" Target="http://linkedin.com/in/devesh-mishra-2aa711105" TargetMode="External"/><Relationship Id="rId525" Type="http://schemas.openxmlformats.org/officeDocument/2006/relationships/hyperlink" Target="http://linkedin.com/in/siddharth-mehta" TargetMode="External"/><Relationship Id="rId524" Type="http://schemas.openxmlformats.org/officeDocument/2006/relationships/hyperlink" Target="http://linkedin.com/in/siddharth-mehta" TargetMode="External"/><Relationship Id="rId523" Type="http://schemas.openxmlformats.org/officeDocument/2006/relationships/hyperlink" Target="http://linkedin.com/in/siddharth-mehta" TargetMode="External"/><Relationship Id="rId522" Type="http://schemas.openxmlformats.org/officeDocument/2006/relationships/hyperlink" Target="http://linkedin.com/in/siddharth-mehta" TargetMode="External"/><Relationship Id="rId529" Type="http://schemas.openxmlformats.org/officeDocument/2006/relationships/hyperlink" Target="https://www.linkedin.com/in/revant/?lipi=urn%3Ali%3Apage%3Ad_flagship3_profile_view_base_contact_details%3BxnQfTvNFSnmc3UZ6%2BtO91g%3D%3D" TargetMode="External"/><Relationship Id="rId528" Type="http://schemas.openxmlformats.org/officeDocument/2006/relationships/hyperlink" Target="https://www.linkedin.com/in/ashishkohli77/?lipi=urn%3Ali%3Apage%3Ad_flagship3_profile_view_base%3Bfnhsv1f3TPS6ALdJWq7J7Q%3D%3D" TargetMode="External"/><Relationship Id="rId527" Type="http://schemas.openxmlformats.org/officeDocument/2006/relationships/hyperlink" Target="http://linkedin.com/in/siddharth-mehta" TargetMode="External"/><Relationship Id="rId526" Type="http://schemas.openxmlformats.org/officeDocument/2006/relationships/hyperlink" Target="http://linkedin.com/in/siddharth-mehta" TargetMode="External"/><Relationship Id="rId1590" Type="http://schemas.openxmlformats.org/officeDocument/2006/relationships/hyperlink" Target="https://www.linkedin.com/in/ankit-agarwal-a1904930/?originalSubdomain=in" TargetMode="External"/><Relationship Id="rId1591" Type="http://schemas.openxmlformats.org/officeDocument/2006/relationships/hyperlink" Target="https://www.linkedin.com/in/arvindgagarwal/?originalSubdomain=in" TargetMode="External"/><Relationship Id="rId1592" Type="http://schemas.openxmlformats.org/officeDocument/2006/relationships/hyperlink" Target="https://www.linkedin.com/in/ashok-sonthalia/?originalSubdomain=in" TargetMode="External"/><Relationship Id="rId1593" Type="http://schemas.openxmlformats.org/officeDocument/2006/relationships/hyperlink" Target="https://www.linkedin.com/in/karunakaran-mohanasundaram-5165586/?originalSubdomain=in" TargetMode="External"/><Relationship Id="rId521" Type="http://schemas.openxmlformats.org/officeDocument/2006/relationships/hyperlink" Target="http://linkedin.com/in/siddharth-mehta" TargetMode="External"/><Relationship Id="rId1110" Type="http://schemas.openxmlformats.org/officeDocument/2006/relationships/hyperlink" Target="http://linkedin.com/in/pandurang" TargetMode="External"/><Relationship Id="rId1594" Type="http://schemas.openxmlformats.org/officeDocument/2006/relationships/hyperlink" Target="https://www.linkedin.com/in/neerajbasur/?originalSubdomain=in" TargetMode="External"/><Relationship Id="rId520" Type="http://schemas.openxmlformats.org/officeDocument/2006/relationships/hyperlink" Target="http://linkedin.com/in/siddharth-mehta" TargetMode="External"/><Relationship Id="rId1111" Type="http://schemas.openxmlformats.org/officeDocument/2006/relationships/hyperlink" Target="http://linkedin.com/in/anupsable" TargetMode="External"/><Relationship Id="rId1595" Type="http://schemas.openxmlformats.org/officeDocument/2006/relationships/hyperlink" Target="https://www.linkedin.com/in/nikhil-s-a4751114/" TargetMode="External"/><Relationship Id="rId1112" Type="http://schemas.openxmlformats.org/officeDocument/2006/relationships/hyperlink" Target="http://linkedin.com/in/snjymhn" TargetMode="External"/><Relationship Id="rId1596" Type="http://schemas.openxmlformats.org/officeDocument/2006/relationships/hyperlink" Target="https://www.linkedin.com/in/nishchay-ag-904b325/?originalSubdomain=in" TargetMode="External"/><Relationship Id="rId1113" Type="http://schemas.openxmlformats.org/officeDocument/2006/relationships/hyperlink" Target="http://linkedin.com/in/piyush-kumar-71425315" TargetMode="External"/><Relationship Id="rId1597" Type="http://schemas.openxmlformats.org/officeDocument/2006/relationships/hyperlink" Target="https://www.linkedin.com/in/rohit-agrawal-20720815/?originalSubdomain=in" TargetMode="External"/><Relationship Id="rId1103" Type="http://schemas.openxmlformats.org/officeDocument/2006/relationships/hyperlink" Target="http://linkedin.com/in/shamarora" TargetMode="External"/><Relationship Id="rId1587" Type="http://schemas.openxmlformats.org/officeDocument/2006/relationships/hyperlink" Target="https://www.linkedin.com/in/niranjan-gupta-8b981619/?original_referer=https%3A%2F%2Fwww%2Egoogle%2Ecom%2F&amp;originalSubdomain=in" TargetMode="External"/><Relationship Id="rId1104" Type="http://schemas.openxmlformats.org/officeDocument/2006/relationships/hyperlink" Target="http://linkedin.com/in/arun-lakshmanan-274b9050" TargetMode="External"/><Relationship Id="rId1588" Type="http://schemas.openxmlformats.org/officeDocument/2006/relationships/hyperlink" Target="https://www.linkedin.com/in/gaurav-bhartia-247a428/?originalSubdomain=in" TargetMode="External"/><Relationship Id="rId1105" Type="http://schemas.openxmlformats.org/officeDocument/2006/relationships/hyperlink" Target="http://linkedin.com/in/ashish-khushu-b844101" TargetMode="External"/><Relationship Id="rId1589" Type="http://schemas.openxmlformats.org/officeDocument/2006/relationships/hyperlink" Target="https://www.linkedin.com/in/amit-dang-7472628/?originalSubdomain=in" TargetMode="External"/><Relationship Id="rId1106" Type="http://schemas.openxmlformats.org/officeDocument/2006/relationships/hyperlink" Target="http://linkedin.com/in/senthilsan" TargetMode="External"/><Relationship Id="rId1107" Type="http://schemas.openxmlformats.org/officeDocument/2006/relationships/hyperlink" Target="http://linkedin.com/in/rpautomation" TargetMode="External"/><Relationship Id="rId1108" Type="http://schemas.openxmlformats.org/officeDocument/2006/relationships/hyperlink" Target="http://linkedin.com/in/kuppukrish" TargetMode="External"/><Relationship Id="rId1109" Type="http://schemas.openxmlformats.org/officeDocument/2006/relationships/hyperlink" Target="http://linkedin.com/in/vivsridh" TargetMode="External"/><Relationship Id="rId519" Type="http://schemas.openxmlformats.org/officeDocument/2006/relationships/hyperlink" Target="http://linkedin.com/in/siddharth-mehta" TargetMode="External"/><Relationship Id="rId514" Type="http://schemas.openxmlformats.org/officeDocument/2006/relationships/hyperlink" Target="http://linkedin.com/in/siddharth-mehta" TargetMode="External"/><Relationship Id="rId998" Type="http://schemas.openxmlformats.org/officeDocument/2006/relationships/hyperlink" Target="https://www.linkedin.com/in/garth-fort-5b0250/" TargetMode="External"/><Relationship Id="rId513" Type="http://schemas.openxmlformats.org/officeDocument/2006/relationships/hyperlink" Target="http://linkedin.com/in/siddharth-mehta" TargetMode="External"/><Relationship Id="rId997" Type="http://schemas.openxmlformats.org/officeDocument/2006/relationships/hyperlink" Target="https://www.linkedin.com/in/kalyankumar/" TargetMode="External"/><Relationship Id="rId512" Type="http://schemas.openxmlformats.org/officeDocument/2006/relationships/hyperlink" Target="http://linkedin.com/in/siddharth-mehta" TargetMode="External"/><Relationship Id="rId996" Type="http://schemas.openxmlformats.org/officeDocument/2006/relationships/hyperlink" Target="https://www.linkedin.com/in/roshan-khatri-185b7375/" TargetMode="External"/><Relationship Id="rId511" Type="http://schemas.openxmlformats.org/officeDocument/2006/relationships/hyperlink" Target="http://linkedin.com/in/siddharth-mehta" TargetMode="External"/><Relationship Id="rId995" Type="http://schemas.openxmlformats.org/officeDocument/2006/relationships/hyperlink" Target="https://www.linkedin.com/in/amneetsingh-acn/" TargetMode="External"/><Relationship Id="rId518" Type="http://schemas.openxmlformats.org/officeDocument/2006/relationships/hyperlink" Target="http://linkedin.com/in/siddharth-mehta" TargetMode="External"/><Relationship Id="rId517" Type="http://schemas.openxmlformats.org/officeDocument/2006/relationships/hyperlink" Target="http://linkedin.com/in/siddharth-mehta" TargetMode="External"/><Relationship Id="rId516" Type="http://schemas.openxmlformats.org/officeDocument/2006/relationships/hyperlink" Target="http://linkedin.com/in/siddharth-mehta" TargetMode="External"/><Relationship Id="rId515" Type="http://schemas.openxmlformats.org/officeDocument/2006/relationships/hyperlink" Target="http://linkedin.com/in/siddharth-mehta" TargetMode="External"/><Relationship Id="rId999" Type="http://schemas.openxmlformats.org/officeDocument/2006/relationships/hyperlink" Target="https://www.linkedin.com/in/yuvalrefua/" TargetMode="External"/><Relationship Id="rId990" Type="http://schemas.openxmlformats.org/officeDocument/2006/relationships/hyperlink" Target="https://www.linkedin.com/in/mikekrieger/" TargetMode="External"/><Relationship Id="rId1580" Type="http://schemas.openxmlformats.org/officeDocument/2006/relationships/hyperlink" Target="https://www.linkedin.com/in/koushik-chatterjee-2910b31" TargetMode="External"/><Relationship Id="rId1581" Type="http://schemas.openxmlformats.org/officeDocument/2006/relationships/hyperlink" Target="https://www.linkedin.com/in/sudhir-menon-7a58a697/?originalSubdomain=in" TargetMode="External"/><Relationship Id="rId1582" Type="http://schemas.openxmlformats.org/officeDocument/2006/relationships/hyperlink" Target="https://www.linkedin.com/in/atul-daga/?originalSubdomain=in" TargetMode="External"/><Relationship Id="rId510" Type="http://schemas.openxmlformats.org/officeDocument/2006/relationships/hyperlink" Target="http://linkedin.com/in/siddharth-mehta" TargetMode="External"/><Relationship Id="rId994" Type="http://schemas.openxmlformats.org/officeDocument/2006/relationships/hyperlink" Target="https://www.linkedin.com/in/reachsenthilnathan/" TargetMode="External"/><Relationship Id="rId1583" Type="http://schemas.openxmlformats.org/officeDocument/2006/relationships/hyperlink" Target="https://www.linkedin.com/in/ajay-goel-767b2215/?originalSubdomain=in" TargetMode="External"/><Relationship Id="rId993" Type="http://schemas.openxmlformats.org/officeDocument/2006/relationships/hyperlink" Target="https://www.linkedin.com/in/chandra-gnanasambandam/" TargetMode="External"/><Relationship Id="rId1100" Type="http://schemas.openxmlformats.org/officeDocument/2006/relationships/hyperlink" Target="http://linkedin.com/in/rafeetarafdar" TargetMode="External"/><Relationship Id="rId1584" Type="http://schemas.openxmlformats.org/officeDocument/2006/relationships/hyperlink" Target="https://www.linkedin.com/in/manish-desai-2a554262/?originalSubdomain=in" TargetMode="External"/><Relationship Id="rId992" Type="http://schemas.openxmlformats.org/officeDocument/2006/relationships/hyperlink" Target="https://www.linkedin.com/in/ankanbanerjee/" TargetMode="External"/><Relationship Id="rId1101" Type="http://schemas.openxmlformats.org/officeDocument/2006/relationships/hyperlink" Target="http://linkedin.com/in/sandhyararun" TargetMode="External"/><Relationship Id="rId1585" Type="http://schemas.openxmlformats.org/officeDocument/2006/relationships/hyperlink" Target="https://www.linkedin.com/m/in/aparna-iyer-7a6a135?originalSubdomain=in" TargetMode="External"/><Relationship Id="rId991" Type="http://schemas.openxmlformats.org/officeDocument/2006/relationships/hyperlink" Target="https://www.linkedin.com/in/imalokagrawal/" TargetMode="External"/><Relationship Id="rId1102" Type="http://schemas.openxmlformats.org/officeDocument/2006/relationships/hyperlink" Target="http://linkedin.com/in/vijay-guntur" TargetMode="External"/><Relationship Id="rId1586" Type="http://schemas.openxmlformats.org/officeDocument/2006/relationships/hyperlink" Target="https://www.linkedin.com/in/mukundvgalgali/?originalSubdomain=in" TargetMode="External"/><Relationship Id="rId1532" Type="http://schemas.openxmlformats.org/officeDocument/2006/relationships/hyperlink" Target="https://www.linkedin.com/in/sushil-agarwal/?originalSubdomain=in" TargetMode="External"/><Relationship Id="rId1533" Type="http://schemas.openxmlformats.org/officeDocument/2006/relationships/hyperlink" Target="https://www.linkedin.com/in/kevan-parekh-231377/" TargetMode="External"/><Relationship Id="rId1534" Type="http://schemas.openxmlformats.org/officeDocument/2006/relationships/hyperlink" Target="https://www.linkedin.com/in/dinesh-thapar-3265a31" TargetMode="External"/><Relationship Id="rId1535" Type="http://schemas.openxmlformats.org/officeDocument/2006/relationships/hyperlink" Target="https://www.linkedin.com/in/ec-prasad-847393b/?originalSubdomain=in" TargetMode="External"/><Relationship Id="rId1536" Type="http://schemas.openxmlformats.org/officeDocument/2006/relationships/hyperlink" Target="https://www.linkedin.com/in/s-sreenivasan-548460118/" TargetMode="External"/><Relationship Id="rId1537" Type="http://schemas.openxmlformats.org/officeDocument/2006/relationships/hyperlink" Target="https://www.linkedin.com/in/paul-tranter-324738/" TargetMode="External"/><Relationship Id="rId1538" Type="http://schemas.openxmlformats.org/officeDocument/2006/relationships/hyperlink" Target="https://www.linkedin.com/in/soumen-ray-61142499" TargetMode="External"/><Relationship Id="rId1539" Type="http://schemas.openxmlformats.org/officeDocument/2006/relationships/hyperlink" Target="https://www.linkedin.com/in/indranil-sen-b3a0bba/?originalSubdomain=in" TargetMode="External"/><Relationship Id="rId949" Type="http://schemas.openxmlformats.org/officeDocument/2006/relationships/hyperlink" Target="https://docs.google.com/spreadsheets/d/1K0r-iS3ENApVSoc8czAbupc0wyEwIO2_tmU18WB2mNk/edit?gid=1720762204" TargetMode="External"/><Relationship Id="rId948" Type="http://schemas.openxmlformats.org/officeDocument/2006/relationships/hyperlink" Target="https://www.linkedin.com/in/anupam-goswami-b4552a50/" TargetMode="External"/><Relationship Id="rId943" Type="http://schemas.openxmlformats.org/officeDocument/2006/relationships/hyperlink" Target="https://www.linkedin.com/in/sukhpreetsekhon/" TargetMode="External"/><Relationship Id="rId942" Type="http://schemas.openxmlformats.org/officeDocument/2006/relationships/hyperlink" Target="https://www.linkedin.com/in/ravitheja-tetali/?originalSubdomain=in" TargetMode="External"/><Relationship Id="rId941" Type="http://schemas.openxmlformats.org/officeDocument/2006/relationships/hyperlink" Target="https://www.linkedin.com/in/ratirajkumar/" TargetMode="External"/><Relationship Id="rId940" Type="http://schemas.openxmlformats.org/officeDocument/2006/relationships/hyperlink" Target="http://bankbazaar.com" TargetMode="External"/><Relationship Id="rId947" Type="http://schemas.openxmlformats.org/officeDocument/2006/relationships/hyperlink" Target="http://arya.ag" TargetMode="External"/><Relationship Id="rId946" Type="http://schemas.openxmlformats.org/officeDocument/2006/relationships/hyperlink" Target="https://www.linkedin.com/in/ananda-das-179631222/" TargetMode="External"/><Relationship Id="rId945" Type="http://schemas.openxmlformats.org/officeDocument/2006/relationships/hyperlink" Target="https://www.linkedin.com/in/paryushan/" TargetMode="External"/><Relationship Id="rId944" Type="http://schemas.openxmlformats.org/officeDocument/2006/relationships/hyperlink" Target="https://www.linkedin.com/in/satish-kumar-b04491b6/" TargetMode="External"/><Relationship Id="rId1530" Type="http://schemas.openxmlformats.org/officeDocument/2006/relationships/hyperlink" Target="https://www.linkedin.com/in/saurabh-shah-9a19a92b4" TargetMode="External"/><Relationship Id="rId1531" Type="http://schemas.openxmlformats.org/officeDocument/2006/relationships/hyperlink" Target="https://www.linkedin.com/in/dilip-jha-11586b29/?originalSubdomain=in" TargetMode="External"/><Relationship Id="rId1521" Type="http://schemas.openxmlformats.org/officeDocument/2006/relationships/hyperlink" Target="https://www.linkedin.com/in/vikas-lal-0240015/?originalSubdomain=in" TargetMode="External"/><Relationship Id="rId1522" Type="http://schemas.openxmlformats.org/officeDocument/2006/relationships/hyperlink" Target="https://www.linkedin.com/in/anuj-tewari-363140b/?originalSubdomain=in" TargetMode="External"/><Relationship Id="rId1523" Type="http://schemas.openxmlformats.org/officeDocument/2006/relationships/hyperlink" Target="https://www.linkedin.com/in/aditya-kumar-73980358/?originalSubdomain=in" TargetMode="External"/><Relationship Id="rId1524" Type="http://schemas.openxmlformats.org/officeDocument/2006/relationships/hyperlink" Target="https://www.linkedin.com/in/wmcnamara/" TargetMode="External"/><Relationship Id="rId1525" Type="http://schemas.openxmlformats.org/officeDocument/2006/relationships/hyperlink" Target="https://www.linkedin.com/in/manish-sharma-63aaa814/?originalSubdomain=in" TargetMode="External"/><Relationship Id="rId1526" Type="http://schemas.openxmlformats.org/officeDocument/2006/relationships/hyperlink" Target="https://www.linkedin.com/in/ankit-maheshwari-7629a573/?originalSubdomain=in" TargetMode="External"/><Relationship Id="rId1527" Type="http://schemas.openxmlformats.org/officeDocument/2006/relationships/hyperlink" Target="https://www.linkedin.com/in/mukesh-singla-4855411a/?originalSubdomain=in" TargetMode="External"/><Relationship Id="rId1528" Type="http://schemas.openxmlformats.org/officeDocument/2006/relationships/hyperlink" Target="http://linkedin.com/m/in/emmajindal" TargetMode="External"/><Relationship Id="rId1529" Type="http://schemas.openxmlformats.org/officeDocument/2006/relationships/hyperlink" Target="https://www.linkedin.com/in/jugeshinder-robbie-singh-maicd-217473a" TargetMode="External"/><Relationship Id="rId939" Type="http://schemas.openxmlformats.org/officeDocument/2006/relationships/hyperlink" Target="https://www.linkedin.com/in/darpan-pathar-30bb77a0/" TargetMode="External"/><Relationship Id="rId938" Type="http://schemas.openxmlformats.org/officeDocument/2006/relationships/hyperlink" Target="https://www.linkedin.com/in/etownsend/" TargetMode="External"/><Relationship Id="rId937" Type="http://schemas.openxmlformats.org/officeDocument/2006/relationships/hyperlink" Target="https://www.linkedin.com/in/saurabhmishra280492/" TargetMode="External"/><Relationship Id="rId932" Type="http://schemas.openxmlformats.org/officeDocument/2006/relationships/hyperlink" Target="http://observe.ai" TargetMode="External"/><Relationship Id="rId931" Type="http://schemas.openxmlformats.org/officeDocument/2006/relationships/hyperlink" Target="https://www.linkedin.com/in/vaibhav-sambre/" TargetMode="External"/><Relationship Id="rId930" Type="http://schemas.openxmlformats.org/officeDocument/2006/relationships/hyperlink" Target="https://www.linkedin.com/in/rohith-salim/" TargetMode="External"/><Relationship Id="rId936" Type="http://schemas.openxmlformats.org/officeDocument/2006/relationships/hyperlink" Target="https://www.linkedin.com/in/pulkit-jain-9797999/" TargetMode="External"/><Relationship Id="rId935" Type="http://schemas.openxmlformats.org/officeDocument/2006/relationships/hyperlink" Target="https://www.linkedin.com/in/himdoshi/" TargetMode="External"/><Relationship Id="rId934" Type="http://schemas.openxmlformats.org/officeDocument/2006/relationships/hyperlink" Target="https://www.linkedin.com/in/onlysid/" TargetMode="External"/><Relationship Id="rId933" Type="http://schemas.openxmlformats.org/officeDocument/2006/relationships/hyperlink" Target="https://www.linkedin.com/in/kolinkoehl/" TargetMode="External"/><Relationship Id="rId1520" Type="http://schemas.openxmlformats.org/officeDocument/2006/relationships/hyperlink" Target="https://www.linkedin.com/in/saumya-singh-rathore-winzo2212/?originalSubdomain=in" TargetMode="External"/><Relationship Id="rId1554" Type="http://schemas.openxmlformats.org/officeDocument/2006/relationships/hyperlink" Target="https://www.linkedin.com/in/anuj-jain-32076a31/?originalSubdomain=in" TargetMode="External"/><Relationship Id="rId1555" Type="http://schemas.openxmlformats.org/officeDocument/2006/relationships/hyperlink" Target="https://www.linkedin.com/in/gaurav-negi-432b08" TargetMode="External"/><Relationship Id="rId1556" Type="http://schemas.openxmlformats.org/officeDocument/2006/relationships/hyperlink" Target="https://www.linkedin.com/in/jayeshsanghrajka06" TargetMode="External"/><Relationship Id="rId1557" Type="http://schemas.openxmlformats.org/officeDocument/2006/relationships/hyperlink" Target="https://www.linkedin.com/in/supratim-dutta-b74a1776" TargetMode="External"/><Relationship Id="rId1558" Type="http://schemas.openxmlformats.org/officeDocument/2006/relationships/hyperlink" Target="https://www.linkedin.com/in/pritesh-vinay-774812169/?originalSubdomain=in" TargetMode="External"/><Relationship Id="rId1559" Type="http://schemas.openxmlformats.org/officeDocument/2006/relationships/hyperlink" Target="https://www.linkedin.com/in/lalit-singhvi-6b851513/?originalSubdomain=in" TargetMode="External"/><Relationship Id="rId965" Type="http://schemas.openxmlformats.org/officeDocument/2006/relationships/hyperlink" Target="https://www.linkedin.com/in/ankurmshra/" TargetMode="External"/><Relationship Id="rId964" Type="http://schemas.openxmlformats.org/officeDocument/2006/relationships/hyperlink" Target="https://www.linkedin.com/in/balakrishnan-narayanan-271879150/" TargetMode="External"/><Relationship Id="rId963" Type="http://schemas.openxmlformats.org/officeDocument/2006/relationships/hyperlink" Target="https://www.linkedin.com/in/darrellstone3/" TargetMode="External"/><Relationship Id="rId962" Type="http://schemas.openxmlformats.org/officeDocument/2006/relationships/hyperlink" Target="https://www.linkedin.com/in/gaurav-srivastava-9a67ba1b/" TargetMode="External"/><Relationship Id="rId969" Type="http://schemas.openxmlformats.org/officeDocument/2006/relationships/hyperlink" Target="https://www.linkedin.com/in/ezhilan/" TargetMode="External"/><Relationship Id="rId968" Type="http://schemas.openxmlformats.org/officeDocument/2006/relationships/hyperlink" Target="https://www.linkedin.com/in/abhishekguptas/" TargetMode="External"/><Relationship Id="rId967" Type="http://schemas.openxmlformats.org/officeDocument/2006/relationships/hyperlink" Target="https://www.linkedin.com/in/goyalmanish/" TargetMode="External"/><Relationship Id="rId966" Type="http://schemas.openxmlformats.org/officeDocument/2006/relationships/hyperlink" Target="https://www.linkedin.com/in/darshan-suresh-99a60642/" TargetMode="External"/><Relationship Id="rId961" Type="http://schemas.openxmlformats.org/officeDocument/2006/relationships/hyperlink" Target="https://www.linkedin.com/in/purugovind/" TargetMode="External"/><Relationship Id="rId1550" Type="http://schemas.openxmlformats.org/officeDocument/2006/relationships/hyperlink" Target="https://www.linkedin.com/in/shiv-walia-886790a0/?originalSubdomain=in" TargetMode="External"/><Relationship Id="rId960" Type="http://schemas.openxmlformats.org/officeDocument/2006/relationships/hyperlink" Target="https://www.linkedin.com/in/rahulnath18/" TargetMode="External"/><Relationship Id="rId1551" Type="http://schemas.openxmlformats.org/officeDocument/2006/relationships/hyperlink" Target="https://www.linkedin.com/in/bharat-goenka-270b7b12/?originalSubdomain=in" TargetMode="External"/><Relationship Id="rId1552" Type="http://schemas.openxmlformats.org/officeDocument/2006/relationships/hyperlink" Target="https://www.linkedin.com/in/gopal-mahadevan-170a6b/?originalSubdomain=in" TargetMode="External"/><Relationship Id="rId1553" Type="http://schemas.openxmlformats.org/officeDocument/2006/relationships/hyperlink" Target="https://www.linkedin.com/in/rajneesh-narang-94383b125/?originalSubdomain=in" TargetMode="External"/><Relationship Id="rId1543" Type="http://schemas.openxmlformats.org/officeDocument/2006/relationships/hyperlink" Target="https://www.linkedin.com/in/ankush-jain-25534630/?originalSubdomain=in" TargetMode="External"/><Relationship Id="rId1544" Type="http://schemas.openxmlformats.org/officeDocument/2006/relationships/hyperlink" Target="https://www.linkedin.com/in/dharmender-tuteja-069345a" TargetMode="External"/><Relationship Id="rId1545" Type="http://schemas.openxmlformats.org/officeDocument/2006/relationships/hyperlink" Target="https://www.linkedin.com/in/parag-agarwal-63b89a45/?originalSubdomain=in" TargetMode="External"/><Relationship Id="rId1546" Type="http://schemas.openxmlformats.org/officeDocument/2006/relationships/hyperlink" Target="https://www.linkedin.com/in/cma-rakesh-kumar-jain-a28810141/?originalSubdomain=in" TargetMode="External"/><Relationship Id="rId1547" Type="http://schemas.openxmlformats.org/officeDocument/2006/relationships/hyperlink" Target="https://www.linkedin.com/in/clement-pinto-0276bba4/?originalSubdomain=in" TargetMode="External"/><Relationship Id="rId1548" Type="http://schemas.openxmlformats.org/officeDocument/2006/relationships/hyperlink" Target="https://www.linkedin.com/in/anat-a-a334433/" TargetMode="External"/><Relationship Id="rId1549" Type="http://schemas.openxmlformats.org/officeDocument/2006/relationships/hyperlink" Target="https://www.linkedin.com/in/pavan-kumar-jain-2a15b714/?originalSubdomain=in" TargetMode="External"/><Relationship Id="rId959" Type="http://schemas.openxmlformats.org/officeDocument/2006/relationships/hyperlink" Target="https://www.linkedin.com/in/vaibhavsawhney/" TargetMode="External"/><Relationship Id="rId954" Type="http://schemas.openxmlformats.org/officeDocument/2006/relationships/hyperlink" Target="https://www.linkedin.com/in/souradeeppaul/" TargetMode="External"/><Relationship Id="rId953" Type="http://schemas.openxmlformats.org/officeDocument/2006/relationships/hyperlink" Target="https://www.linkedin.com/in/debopambasu/" TargetMode="External"/><Relationship Id="rId952" Type="http://schemas.openxmlformats.org/officeDocument/2006/relationships/hyperlink" Target="https://www.linkedin.com/in/mikhilraj/" TargetMode="External"/><Relationship Id="rId951" Type="http://schemas.openxmlformats.org/officeDocument/2006/relationships/hyperlink" Target="https://www.linkedin.com/in/sovan-satyaprakash-73040818/" TargetMode="External"/><Relationship Id="rId958" Type="http://schemas.openxmlformats.org/officeDocument/2006/relationships/hyperlink" Target="https://www.linkedin.com/in/ashishhooda/" TargetMode="External"/><Relationship Id="rId957" Type="http://schemas.openxmlformats.org/officeDocument/2006/relationships/hyperlink" Target="http://cashify.in" TargetMode="External"/><Relationship Id="rId956" Type="http://schemas.openxmlformats.org/officeDocument/2006/relationships/hyperlink" Target="https://www.linkedin.com/in/nitinpulyani/" TargetMode="External"/><Relationship Id="rId955" Type="http://schemas.openxmlformats.org/officeDocument/2006/relationships/hyperlink" Target="https://www.linkedin.com/in/abhineet-kumar-6444b455/" TargetMode="External"/><Relationship Id="rId950" Type="http://schemas.openxmlformats.org/officeDocument/2006/relationships/hyperlink" Target="https://www.linkedin.com/in/rohitmanghnani/?originalSubdomain=in" TargetMode="External"/><Relationship Id="rId1540" Type="http://schemas.openxmlformats.org/officeDocument/2006/relationships/hyperlink" Target="https://www.linkedin.com/in/martin-small-69438213/" TargetMode="External"/><Relationship Id="rId1541" Type="http://schemas.openxmlformats.org/officeDocument/2006/relationships/hyperlink" Target="https://www.linkedin.com/in/ashish-adukia" TargetMode="External"/><Relationship Id="rId1542" Type="http://schemas.openxmlformats.org/officeDocument/2006/relationships/hyperlink" Target="https://www.linkedin.com/in/kaleeswaran-a-4282969/details/experience/" TargetMode="External"/><Relationship Id="rId590" Type="http://schemas.openxmlformats.org/officeDocument/2006/relationships/hyperlink" Target="https://www.linkedin.com/in/dr-nikhil-sikri/?originalSubdomain=in" TargetMode="External"/><Relationship Id="rId107" Type="http://schemas.openxmlformats.org/officeDocument/2006/relationships/hyperlink" Target="https://www.linkedin.com/in/ananya-sharrma-22b73914a/?originalSubdomain=in" TargetMode="External"/><Relationship Id="rId106" Type="http://schemas.openxmlformats.org/officeDocument/2006/relationships/hyperlink" Target="https://www.linkedin.com/in/nitin-katiyar-01615818/" TargetMode="External"/><Relationship Id="rId105" Type="http://schemas.openxmlformats.org/officeDocument/2006/relationships/hyperlink" Target="https://www.linkedin.com/in/vmishra9/?originalSubdomain=in" TargetMode="External"/><Relationship Id="rId589" Type="http://schemas.openxmlformats.org/officeDocument/2006/relationships/hyperlink" Target="https://www.linkedin.com/in/pritesh123iit/?originalSubdomain=uk" TargetMode="External"/><Relationship Id="rId104" Type="http://schemas.openxmlformats.org/officeDocument/2006/relationships/hyperlink" Target="https://www.linkedin.com/in/neha-singh-7260977a/?originalSubdomain=in" TargetMode="External"/><Relationship Id="rId588" Type="http://schemas.openxmlformats.org/officeDocument/2006/relationships/hyperlink" Target="http://linkedin.com/in/raghuravinutala" TargetMode="External"/><Relationship Id="rId109" Type="http://schemas.openxmlformats.org/officeDocument/2006/relationships/hyperlink" Target="https://www.linkedin.com/in/rajesh-gupta-recyclekaro/" TargetMode="External"/><Relationship Id="rId1170" Type="http://schemas.openxmlformats.org/officeDocument/2006/relationships/hyperlink" Target="http://linkedin.com/in/manishsharmapanasonic" TargetMode="External"/><Relationship Id="rId108" Type="http://schemas.openxmlformats.org/officeDocument/2006/relationships/hyperlink" Target="https://www.linkedin.com/in/prassann-daphal-a2a08127/?originalSubdomain=in" TargetMode="External"/><Relationship Id="rId1171" Type="http://schemas.openxmlformats.org/officeDocument/2006/relationships/hyperlink" Target="http://linkedin.com/in/n-venu-hitachi-energy" TargetMode="External"/><Relationship Id="rId583" Type="http://schemas.openxmlformats.org/officeDocument/2006/relationships/hyperlink" Target="https://www.linkedin.com/in/connectram91/?originalSubdomain=in" TargetMode="External"/><Relationship Id="rId1172" Type="http://schemas.openxmlformats.org/officeDocument/2006/relationships/hyperlink" Target="http://linkedin.com/in/alok-srivastava-95ab424" TargetMode="External"/><Relationship Id="rId582" Type="http://schemas.openxmlformats.org/officeDocument/2006/relationships/hyperlink" Target="https://in.linkedin.com/in/anju-srivastava-28843527" TargetMode="External"/><Relationship Id="rId1173" Type="http://schemas.openxmlformats.org/officeDocument/2006/relationships/hyperlink" Target="http://linkedin.com/in/parmod-arora-mitsubishi" TargetMode="External"/><Relationship Id="rId581" Type="http://schemas.openxmlformats.org/officeDocument/2006/relationships/hyperlink" Target="https://www.linkedin.com/in/anil-k-pinapala-57aaa5/" TargetMode="External"/><Relationship Id="rId1174" Type="http://schemas.openxmlformats.org/officeDocument/2006/relationships/hyperlink" Target="http://linkedin.com/in/c-s-chua" TargetMode="External"/><Relationship Id="rId580" Type="http://schemas.openxmlformats.org/officeDocument/2006/relationships/hyperlink" Target="https://www.linkedin.com/in/shoubhit-jain-88a35315/?originalSubdomain=in" TargetMode="External"/><Relationship Id="rId1175" Type="http://schemas.openxmlformats.org/officeDocument/2006/relationships/hyperlink" Target="http://linkedin.com/in/sanjay-mehrotra" TargetMode="External"/><Relationship Id="rId103" Type="http://schemas.openxmlformats.org/officeDocument/2006/relationships/hyperlink" Target="https://www.linkedin.com/in/hirankumarg/?originalSubdomain=in" TargetMode="External"/><Relationship Id="rId587" Type="http://schemas.openxmlformats.org/officeDocument/2006/relationships/hyperlink" Target="http://yellow.ai" TargetMode="External"/><Relationship Id="rId1176" Type="http://schemas.openxmlformats.org/officeDocument/2006/relationships/hyperlink" Target="http://linkedin.com/in/santhosh-kumar-ba34877" TargetMode="External"/><Relationship Id="rId102" Type="http://schemas.openxmlformats.org/officeDocument/2006/relationships/hyperlink" Target="https://www.linkedin.com/in/prashantsachan/?originalSubdomain=in" TargetMode="External"/><Relationship Id="rId586" Type="http://schemas.openxmlformats.org/officeDocument/2006/relationships/hyperlink" Target="http://linkedin.com/in/yogeshkabra" TargetMode="External"/><Relationship Id="rId1177" Type="http://schemas.openxmlformats.org/officeDocument/2006/relationships/hyperlink" Target="http://linkedin.com/in/ashok-jain-1a1b676" TargetMode="External"/><Relationship Id="rId101" Type="http://schemas.openxmlformats.org/officeDocument/2006/relationships/hyperlink" Target="https://www.linkedin.com/in/foram-buch-4ba726184/?originalSubdomain=in" TargetMode="External"/><Relationship Id="rId585" Type="http://schemas.openxmlformats.org/officeDocument/2006/relationships/hyperlink" Target="http://linkedin.com/in/anjana-reddy-48135825/?originalSubdomain=in" TargetMode="External"/><Relationship Id="rId1178" Type="http://schemas.openxmlformats.org/officeDocument/2006/relationships/hyperlink" Target="http://linkedin.com/in/sesha-varadarajan-742b011" TargetMode="External"/><Relationship Id="rId100" Type="http://schemas.openxmlformats.org/officeDocument/2006/relationships/hyperlink" Target="https://www.linkedin.com/in/nikhil-bhawsinka/?originalSubdomain=in" TargetMode="External"/><Relationship Id="rId584" Type="http://schemas.openxmlformats.org/officeDocument/2006/relationships/hyperlink" Target="https://www.linkedin.com/in/ravi-saxena-59802ba/?originalSubdomain=in" TargetMode="External"/><Relationship Id="rId1179" Type="http://schemas.openxmlformats.org/officeDocument/2006/relationships/hyperlink" Target="http://linkedin.com/in/pankaj-saxena-9882347" TargetMode="External"/><Relationship Id="rId1169" Type="http://schemas.openxmlformats.org/officeDocument/2006/relationships/hyperlink" Target="http://linkedin.com/in/sunil-nayyar-a769831" TargetMode="External"/><Relationship Id="rId579" Type="http://schemas.openxmlformats.org/officeDocument/2006/relationships/hyperlink" Target="http://linkedin.com/in/virajbahl" TargetMode="External"/><Relationship Id="rId578" Type="http://schemas.openxmlformats.org/officeDocument/2006/relationships/hyperlink" Target="http://linkedin.com/in/ramaswamy-iyer-b40aa96?originalSubdomain=in" TargetMode="External"/><Relationship Id="rId577" Type="http://schemas.openxmlformats.org/officeDocument/2006/relationships/hyperlink" Target="http://linkedin.com/in/shardgrave?originalSubdomain=in" TargetMode="External"/><Relationship Id="rId1160" Type="http://schemas.openxmlformats.org/officeDocument/2006/relationships/hyperlink" Target="https://www.linkedin.com/in/siddharth-mahanot-a887253/" TargetMode="External"/><Relationship Id="rId572" Type="http://schemas.openxmlformats.org/officeDocument/2006/relationships/hyperlink" Target="https://www.linkedin.com/in/gskvelu/?originalSubdomain=in" TargetMode="External"/><Relationship Id="rId1161" Type="http://schemas.openxmlformats.org/officeDocument/2006/relationships/hyperlink" Target="http://linkedin.com/in/ashish-modi-27504a2" TargetMode="External"/><Relationship Id="rId571" Type="http://schemas.openxmlformats.org/officeDocument/2006/relationships/hyperlink" Target="https://www.linkedin.com/in/guptasidharth/?originalSubdomain=in" TargetMode="External"/><Relationship Id="rId1162" Type="http://schemas.openxmlformats.org/officeDocument/2006/relationships/hyperlink" Target="http://linkedin.com/in/nitinbansal70" TargetMode="External"/><Relationship Id="rId570" Type="http://schemas.openxmlformats.org/officeDocument/2006/relationships/hyperlink" Target="https://www.linkedin.com/in/sankalpagarwal/?originalSubdomain=in" TargetMode="External"/><Relationship Id="rId1163" Type="http://schemas.openxmlformats.org/officeDocument/2006/relationships/hyperlink" Target="http://linkedin.com/in/tarun-chhabra-7296373" TargetMode="External"/><Relationship Id="rId1164" Type="http://schemas.openxmlformats.org/officeDocument/2006/relationships/hyperlink" Target="http://linkedin.com/in/ravi-pasupuleti-2b91a16" TargetMode="External"/><Relationship Id="rId576" Type="http://schemas.openxmlformats.org/officeDocument/2006/relationships/hyperlink" Target="http://linkedin.com/in/gautamkshatriya" TargetMode="External"/><Relationship Id="rId1165" Type="http://schemas.openxmlformats.org/officeDocument/2006/relationships/hyperlink" Target="http://linkedin.com/in/anandguptags" TargetMode="External"/><Relationship Id="rId575" Type="http://schemas.openxmlformats.org/officeDocument/2006/relationships/hyperlink" Target="https://www.linkedin.com/in/siddharth-banerjee-25a3351/?originalSubdomain=in" TargetMode="External"/><Relationship Id="rId1166" Type="http://schemas.openxmlformats.org/officeDocument/2006/relationships/hyperlink" Target="http://linkedin.com/in/aparna-rm" TargetMode="External"/><Relationship Id="rId574" Type="http://schemas.openxmlformats.org/officeDocument/2006/relationships/hyperlink" Target="https://www.linkedin.com/in/ashutosh-sharma-6ba006103/?originalSubdomain=in" TargetMode="External"/><Relationship Id="rId1167" Type="http://schemas.openxmlformats.org/officeDocument/2006/relationships/hyperlink" Target="http://linkedin.com/in/mvenugopal" TargetMode="External"/><Relationship Id="rId573" Type="http://schemas.openxmlformats.org/officeDocument/2006/relationships/hyperlink" Target="https://www.linkedin.com/in/cheolwon-lee-5b110b2/?originalSubdomain=in" TargetMode="External"/><Relationship Id="rId1168" Type="http://schemas.openxmlformats.org/officeDocument/2006/relationships/hyperlink" Target="http://linkedin.com/in/kyroo" TargetMode="External"/><Relationship Id="rId129" Type="http://schemas.openxmlformats.org/officeDocument/2006/relationships/hyperlink" Target="https://www.linkedin.com/in/joylin-d%CA%B9silva-90a5a577/?originalSubdomain=in" TargetMode="External"/><Relationship Id="rId128" Type="http://schemas.openxmlformats.org/officeDocument/2006/relationships/hyperlink" Target="https://www.linkedin.com/in/gaganmakker/" TargetMode="External"/><Relationship Id="rId127" Type="http://schemas.openxmlformats.org/officeDocument/2006/relationships/hyperlink" Target="https://www.linkedin.com/in/anuragkedia/?originalSubdomain=in" TargetMode="External"/><Relationship Id="rId126" Type="http://schemas.openxmlformats.org/officeDocument/2006/relationships/hyperlink" Target="https://www.linkedin.com/in/anandkandadai/?originalSubdomain=in" TargetMode="External"/><Relationship Id="rId1190" Type="http://schemas.openxmlformats.org/officeDocument/2006/relationships/hyperlink" Target="http://linkedin.com/in/satya-easwaran-7292071" TargetMode="External"/><Relationship Id="rId1191" Type="http://schemas.openxmlformats.org/officeDocument/2006/relationships/hyperlink" Target="http://metadome.ai" TargetMode="External"/><Relationship Id="rId1192" Type="http://schemas.openxmlformats.org/officeDocument/2006/relationships/hyperlink" Target="http://linkedin.com/in/mohit-malik-9a658a136" TargetMode="External"/><Relationship Id="rId1193" Type="http://schemas.openxmlformats.org/officeDocument/2006/relationships/hyperlink" Target="http://linkedin.com/in/siddharth-balachandran" TargetMode="External"/><Relationship Id="rId121" Type="http://schemas.openxmlformats.org/officeDocument/2006/relationships/hyperlink" Target="https://www.linkedin.com/in/brijeshsamantaray/" TargetMode="External"/><Relationship Id="rId1194" Type="http://schemas.openxmlformats.org/officeDocument/2006/relationships/hyperlink" Target="http://linkedin.com/in/anand-bhardwaj-131b186" TargetMode="External"/><Relationship Id="rId120" Type="http://schemas.openxmlformats.org/officeDocument/2006/relationships/hyperlink" Target="https://www.linkedin.com/in/victorsenapaty/?originalSubdomain=in" TargetMode="External"/><Relationship Id="rId1195" Type="http://schemas.openxmlformats.org/officeDocument/2006/relationships/hyperlink" Target="http://linkedin.com/in/sharad-pungalia-40249b16" TargetMode="External"/><Relationship Id="rId1196" Type="http://schemas.openxmlformats.org/officeDocument/2006/relationships/hyperlink" Target="http://linkedin.com/in/pratik-kumar-a07185b" TargetMode="External"/><Relationship Id="rId1197" Type="http://schemas.openxmlformats.org/officeDocument/2006/relationships/hyperlink" Target="http://linkedin.com/in/umesh-shanghvi-571a3274" TargetMode="External"/><Relationship Id="rId125" Type="http://schemas.openxmlformats.org/officeDocument/2006/relationships/hyperlink" Target="https://www.linkedin.com/in/poonamdugar/?originalSubdomain=in" TargetMode="External"/><Relationship Id="rId1198" Type="http://schemas.openxmlformats.org/officeDocument/2006/relationships/hyperlink" Target="http://linkedin.com/in/sumitcan" TargetMode="External"/><Relationship Id="rId124" Type="http://schemas.openxmlformats.org/officeDocument/2006/relationships/hyperlink" Target="https://www.linkedin.com/in/anilgoteti/" TargetMode="External"/><Relationship Id="rId1199" Type="http://schemas.openxmlformats.org/officeDocument/2006/relationships/hyperlink" Target="http://linkedin.com/in/renukaramnath" TargetMode="External"/><Relationship Id="rId123" Type="http://schemas.openxmlformats.org/officeDocument/2006/relationships/hyperlink" Target="https://www.linkedin.com/in/nagarajan-ramachandran-3422ba234/?originalSubdomain=in" TargetMode="External"/><Relationship Id="rId122" Type="http://schemas.openxmlformats.org/officeDocument/2006/relationships/hyperlink" Target="https://www.linkedin.com/in/bibhu-prasad-das-cfa/?originalSubdomain=in" TargetMode="External"/><Relationship Id="rId118" Type="http://schemas.openxmlformats.org/officeDocument/2006/relationships/hyperlink" Target="https://www.linkedin.com/in/ankurmuchhal/" TargetMode="External"/><Relationship Id="rId117" Type="http://schemas.openxmlformats.org/officeDocument/2006/relationships/hyperlink" Target="https://www.linkedin.com/in/kunal-sharma-23830a9/?originalSubdomain=in" TargetMode="External"/><Relationship Id="rId116" Type="http://schemas.openxmlformats.org/officeDocument/2006/relationships/hyperlink" Target="https://www.linkedin.com/in/shubham-kumar-aa2032105/?originalSubdomain=in" TargetMode="External"/><Relationship Id="rId115" Type="http://schemas.openxmlformats.org/officeDocument/2006/relationships/hyperlink" Target="https://www.linkedin.com/in/abhishek-agarwal-0b442690/?originalSubdomain=in" TargetMode="External"/><Relationship Id="rId599" Type="http://schemas.openxmlformats.org/officeDocument/2006/relationships/hyperlink" Target="https://www.linkedin.com/in/k-krithivasan-84659325/" TargetMode="External"/><Relationship Id="rId1180" Type="http://schemas.openxmlformats.org/officeDocument/2006/relationships/hyperlink" Target="http://linkedin.com/in/pramach2" TargetMode="External"/><Relationship Id="rId1181" Type="http://schemas.openxmlformats.org/officeDocument/2006/relationships/hyperlink" Target="http://linkedin.com/in/asheshbadani" TargetMode="External"/><Relationship Id="rId119" Type="http://schemas.openxmlformats.org/officeDocument/2006/relationships/hyperlink" Target="https://www.linkedin.com/in/tarun-kondepudi/?originalSubdomain=in" TargetMode="External"/><Relationship Id="rId1182" Type="http://schemas.openxmlformats.org/officeDocument/2006/relationships/hyperlink" Target="http://linkedin.com/in/rajiv-ramaswami-b365704" TargetMode="External"/><Relationship Id="rId110" Type="http://schemas.openxmlformats.org/officeDocument/2006/relationships/hyperlink" Target="https://www.linkedin.com/in/vinod-lokhande-282991307/?originalSubdomain=in" TargetMode="External"/><Relationship Id="rId594" Type="http://schemas.openxmlformats.org/officeDocument/2006/relationships/hyperlink" Target="https://www.google.com/search?q=Vivek+Chandrakant+Tongaonkar+site%3Alinkedin.com" TargetMode="External"/><Relationship Id="rId1183" Type="http://schemas.openxmlformats.org/officeDocument/2006/relationships/hyperlink" Target="http://linkedin.com/in/shankar-krishnamoorthy-614ab6" TargetMode="External"/><Relationship Id="rId593" Type="http://schemas.openxmlformats.org/officeDocument/2006/relationships/hyperlink" Target="https://www.linkedin.com/in/sanjay-kumar-118603ba/" TargetMode="External"/><Relationship Id="rId1184" Type="http://schemas.openxmlformats.org/officeDocument/2006/relationships/hyperlink" Target="http://linkedin.com/in/devgan" TargetMode="External"/><Relationship Id="rId592" Type="http://schemas.openxmlformats.org/officeDocument/2006/relationships/hyperlink" Target="https://www.linkedin.com/in/shrikant-m-vaidya/" TargetMode="External"/><Relationship Id="rId1185" Type="http://schemas.openxmlformats.org/officeDocument/2006/relationships/hyperlink" Target="http://linkedin.com/in/ankur-anand-01825621" TargetMode="External"/><Relationship Id="rId591" Type="http://schemas.openxmlformats.org/officeDocument/2006/relationships/hyperlink" Target="https://www.linkedin.com/in/nikhil-meswani-357b5838/" TargetMode="External"/><Relationship Id="rId1186" Type="http://schemas.openxmlformats.org/officeDocument/2006/relationships/hyperlink" Target="http://linkedin.com/in/hasinha" TargetMode="External"/><Relationship Id="rId114" Type="http://schemas.openxmlformats.org/officeDocument/2006/relationships/hyperlink" Target="https://www.linkedin.com/in/akash92sharma/?originalSubdomain=in" TargetMode="External"/><Relationship Id="rId598" Type="http://schemas.openxmlformats.org/officeDocument/2006/relationships/hyperlink" Target="https://www.linkedin.com/in/t-v-narendran-5b531816/" TargetMode="External"/><Relationship Id="rId1187" Type="http://schemas.openxmlformats.org/officeDocument/2006/relationships/hyperlink" Target="http://linkedin.com/in/paroma-chatterjee-503193" TargetMode="External"/><Relationship Id="rId113" Type="http://schemas.openxmlformats.org/officeDocument/2006/relationships/hyperlink" Target="https://www.linkedin.com/in/pratikagarwal11/?originalSubdomain=in" TargetMode="External"/><Relationship Id="rId597" Type="http://schemas.openxmlformats.org/officeDocument/2006/relationships/hyperlink" Target="https://www.linkedin.com/in/shaileshchandra13/" TargetMode="External"/><Relationship Id="rId1188" Type="http://schemas.openxmlformats.org/officeDocument/2006/relationships/hyperlink" Target="http://linkedin.com/in/bhaskaran-rajagopalan-289aa79" TargetMode="External"/><Relationship Id="rId112" Type="http://schemas.openxmlformats.org/officeDocument/2006/relationships/hyperlink" Target="https://www.linkedin.com/in/hardik-parekh-3884a099/" TargetMode="External"/><Relationship Id="rId596" Type="http://schemas.openxmlformats.org/officeDocument/2006/relationships/hyperlink" Target="https://www.linkedin.com/in/dr-pushp-joshi-57759643/" TargetMode="External"/><Relationship Id="rId1189" Type="http://schemas.openxmlformats.org/officeDocument/2006/relationships/hyperlink" Target="http://linkedin.com/in/prathammittal" TargetMode="External"/><Relationship Id="rId111" Type="http://schemas.openxmlformats.org/officeDocument/2006/relationships/hyperlink" Target="https://www.linkedin.com/in/siddharthrdungarwal/?originalSubdomain=in" TargetMode="External"/><Relationship Id="rId595" Type="http://schemas.openxmlformats.org/officeDocument/2006/relationships/hyperlink" Target="https://www.google.com/search?q=G.+Krishnakumar+site%3Alinkedin.com" TargetMode="External"/><Relationship Id="rId1136" Type="http://schemas.openxmlformats.org/officeDocument/2006/relationships/hyperlink" Target="http://linkedin.com/in/srini-venkatesan" TargetMode="External"/><Relationship Id="rId1137" Type="http://schemas.openxmlformats.org/officeDocument/2006/relationships/hyperlink" Target="http://linkedin.com/in/asethi" TargetMode="External"/><Relationship Id="rId1138" Type="http://schemas.openxmlformats.org/officeDocument/2006/relationships/hyperlink" Target="http://linkedin.com/in/prabhjeetsingh1" TargetMode="External"/><Relationship Id="rId1139" Type="http://schemas.openxmlformats.org/officeDocument/2006/relationships/hyperlink" Target="http://linkedin.com/in/amitkrdubey" TargetMode="External"/><Relationship Id="rId547" Type="http://schemas.openxmlformats.org/officeDocument/2006/relationships/hyperlink" Target="http://linkedin.com/in/balachandersekhar" TargetMode="External"/><Relationship Id="rId546" Type="http://schemas.openxmlformats.org/officeDocument/2006/relationships/hyperlink" Target="http://linkedin.com/in/ketanmehta" TargetMode="External"/><Relationship Id="rId545" Type="http://schemas.openxmlformats.org/officeDocument/2006/relationships/hyperlink" Target="http://linkedin.com/in/ankit042" TargetMode="External"/><Relationship Id="rId544" Type="http://schemas.openxmlformats.org/officeDocument/2006/relationships/hyperlink" Target="https://www.linkedin.com/in/vinamrapandiya/" TargetMode="External"/><Relationship Id="rId549" Type="http://schemas.openxmlformats.org/officeDocument/2006/relationships/hyperlink" Target="http://linkedin.com/in/aravindmani" TargetMode="External"/><Relationship Id="rId548" Type="http://schemas.openxmlformats.org/officeDocument/2006/relationships/hyperlink" Target="https://www.linkedin.com/in/mayanktiwari1/?originalSubdomain=in" TargetMode="External"/><Relationship Id="rId1130" Type="http://schemas.openxmlformats.org/officeDocument/2006/relationships/hyperlink" Target="http://linkedin.com/in/santhoshviswanathan" TargetMode="External"/><Relationship Id="rId1131" Type="http://schemas.openxmlformats.org/officeDocument/2006/relationships/hyperlink" Target="http://linkedin.com/in/savi-soin-050a17" TargetMode="External"/><Relationship Id="rId543" Type="http://schemas.openxmlformats.org/officeDocument/2006/relationships/hyperlink" Target="https://www.linkedin.com/in/abhishek-monty-agarwal-52b17215/?originalSubdomain=in" TargetMode="External"/><Relationship Id="rId1132" Type="http://schemas.openxmlformats.org/officeDocument/2006/relationships/hyperlink" Target="http://linkedin.com/in/vinay-sinha-33092389" TargetMode="External"/><Relationship Id="rId542" Type="http://schemas.openxmlformats.org/officeDocument/2006/relationships/hyperlink" Target="https://www.linkedin.com/in/nishanthdongari/?originalSubdomain=in" TargetMode="External"/><Relationship Id="rId1133" Type="http://schemas.openxmlformats.org/officeDocument/2006/relationships/hyperlink" Target="http://linkedin.com/in/sandeep-bhatia-8957045" TargetMode="External"/><Relationship Id="rId541" Type="http://schemas.openxmlformats.org/officeDocument/2006/relationships/hyperlink" Target="http://linkedin.com/in/hashimkhan?originalSubdomain=in" TargetMode="External"/><Relationship Id="rId1134" Type="http://schemas.openxmlformats.org/officeDocument/2006/relationships/hyperlink" Target="http://linkedin.com/in/rajeev9778" TargetMode="External"/><Relationship Id="rId540" Type="http://schemas.openxmlformats.org/officeDocument/2006/relationships/hyperlink" Target="https://www.linkedin.com/in/pallavishrivastava/?originalSubdomain=in" TargetMode="External"/><Relationship Id="rId1135" Type="http://schemas.openxmlformats.org/officeDocument/2006/relationships/hyperlink" Target="http://linkedin.com/in/arundhati-bhattacharya-salesforce" TargetMode="External"/><Relationship Id="rId1125" Type="http://schemas.openxmlformats.org/officeDocument/2006/relationships/hyperlink" Target="http://linkedin.com/in/anil-sinha-82261a1" TargetMode="External"/><Relationship Id="rId1126" Type="http://schemas.openxmlformats.org/officeDocument/2006/relationships/hyperlink" Target="http://linkedin.com/in/sanjay-aggarwal-iitd" TargetMode="External"/><Relationship Id="rId1127" Type="http://schemas.openxmlformats.org/officeDocument/2006/relationships/hyperlink" Target="https://www.linkedin.com/in/prerakm/?originalSubdomain=in" TargetMode="External"/><Relationship Id="rId1128" Type="http://schemas.openxmlformats.org/officeDocument/2006/relationships/hyperlink" Target="http://linkedin.com/in/arun-srinivas-6064721" TargetMode="External"/><Relationship Id="rId1129" Type="http://schemas.openxmlformats.org/officeDocument/2006/relationships/hyperlink" Target="http://linkedin.com/in/vishaldhupar" TargetMode="External"/><Relationship Id="rId536" Type="http://schemas.openxmlformats.org/officeDocument/2006/relationships/hyperlink" Target="https://www.linkedin.com/in/kalyan-muppaneni-591378b7/?lipi=urn%3Ali%3Apage%3Ad_flagship3_profile_view_base%3BDfngw6IiSGGfqrku17wsbA%3D%3D" TargetMode="External"/><Relationship Id="rId535" Type="http://schemas.openxmlformats.org/officeDocument/2006/relationships/hyperlink" Target="https://www.linkedin.com/in/gagan-maini-5038542/?lipi=urn%3Ali%3Apage%3Ad_flagship3_profile_view_base%3BCnP83fbzQqW54ekyAIemGA%3D%3D" TargetMode="External"/><Relationship Id="rId534" Type="http://schemas.openxmlformats.org/officeDocument/2006/relationships/hyperlink" Target="https://www.linkedin.com/in/harsh-pokharna/?lipi=urn%3Ali%3Apage%3Ad_flagship3_profile_view_base%3BH1En%2FlfsSaOTmbGkANxsFw%3D%3D" TargetMode="External"/><Relationship Id="rId533" Type="http://schemas.openxmlformats.org/officeDocument/2006/relationships/hyperlink" Target="https://www.linkedin.com/in/sameerjoshi73/?lipi=urn%3Ali%3Apage%3Ad_flagship3_profile_view_base%3BIPPVKspqTfy5QJIJiAYcyw%3D%3D" TargetMode="External"/><Relationship Id="rId539" Type="http://schemas.openxmlformats.org/officeDocument/2006/relationships/hyperlink" Target="https://www.linkedin.com/in/satyenjain/" TargetMode="External"/><Relationship Id="rId538" Type="http://schemas.openxmlformats.org/officeDocument/2006/relationships/hyperlink" Target="https://www.linkedin.com/in/ranjeetpsingh/?lipi=urn%3Ali%3Apage%3Ad_flagship3_profile_view_base_contact_details%3BVXqZfFzNRxOpJWeFfXg0Vg%3D%3D" TargetMode="External"/><Relationship Id="rId537" Type="http://schemas.openxmlformats.org/officeDocument/2006/relationships/hyperlink" Target="https://www.linkedin.com/in/awaisahmedna/?locale=%3B%7B%7D&amp;lipi=urn%3Ali%3Apage%3Ad_flagship3_profile_view_base%3BUmjKwF5hSWWnDGMPQIbmYg%3D%3D" TargetMode="External"/><Relationship Id="rId1120" Type="http://schemas.openxmlformats.org/officeDocument/2006/relationships/hyperlink" Target="http://linkedin.com/in/rajatbansal77" TargetMode="External"/><Relationship Id="rId532" Type="http://schemas.openxmlformats.org/officeDocument/2006/relationships/hyperlink" Target="https://www.linkedin.com/in/chenyukun/?lipi=urn%3Ali%3Apage%3Ad_flagship3_profile_view_base%3BnCcMACdvTpmBuLnxFEYWTA%3D%3D" TargetMode="External"/><Relationship Id="rId1121" Type="http://schemas.openxmlformats.org/officeDocument/2006/relationships/hyperlink" Target="http://linkedin.com/in/ankit-mah" TargetMode="External"/><Relationship Id="rId531" Type="http://schemas.openxmlformats.org/officeDocument/2006/relationships/hyperlink" Target="https://www.linkedin.com/in/girishbatranetambit/?lipi=urn%3Ali%3Apage%3Ad_flagship3_profile_view_base%3BwaogsZL5Qk%2BZN%2B%2BYj3lgNA%3D%3D" TargetMode="External"/><Relationship Id="rId1122" Type="http://schemas.openxmlformats.org/officeDocument/2006/relationships/hyperlink" Target="http://linkedin.com/in/sandipdevarkonda" TargetMode="External"/><Relationship Id="rId530" Type="http://schemas.openxmlformats.org/officeDocument/2006/relationships/hyperlink" Target="https://www.linkedin.com/in/vijayarathna-venkatraman-83b82656/?lipi=urn%3Ali%3Apage%3Ad_flagship3_profile_view_base%3BaNdD6uCnQtiS%2BeSa8iAf3Q%3D%3D" TargetMode="External"/><Relationship Id="rId1123" Type="http://schemas.openxmlformats.org/officeDocument/2006/relationships/hyperlink" Target="http://linkedin.com/in/ravimayuram" TargetMode="External"/><Relationship Id="rId1124" Type="http://schemas.openxmlformats.org/officeDocument/2006/relationships/hyperlink" Target="http://linkedin.com/in/sumit-nigam-557343" TargetMode="External"/><Relationship Id="rId1158" Type="http://schemas.openxmlformats.org/officeDocument/2006/relationships/hyperlink" Target="http://linkedin.com/in/deepak-sharma-41b0079" TargetMode="External"/><Relationship Id="rId1159" Type="http://schemas.openxmlformats.org/officeDocument/2006/relationships/hyperlink" Target="http://linkedin.com/in/adilrehan" TargetMode="External"/><Relationship Id="rId569" Type="http://schemas.openxmlformats.org/officeDocument/2006/relationships/hyperlink" Target="https://www.linkedin.com/in/narayanaswami-shekhar-29b4947/?originalSubdomain=in" TargetMode="External"/><Relationship Id="rId568" Type="http://schemas.openxmlformats.org/officeDocument/2006/relationships/hyperlink" Target="http://linkedin.com/in/ashishmunjal" TargetMode="External"/><Relationship Id="rId567" Type="http://schemas.openxmlformats.org/officeDocument/2006/relationships/hyperlink" Target="https://www.linkedin.com/in/mainichetan/?originalSubdomain=in" TargetMode="External"/><Relationship Id="rId566" Type="http://schemas.openxmlformats.org/officeDocument/2006/relationships/hyperlink" Target="http://linkedin.com/in/satyaprabhakar" TargetMode="External"/><Relationship Id="rId561" Type="http://schemas.openxmlformats.org/officeDocument/2006/relationships/hyperlink" Target="https://www.linkedin.com/in/bhargav-kotadia-35a0951b/?originalSubdomain=in" TargetMode="External"/><Relationship Id="rId1150" Type="http://schemas.openxmlformats.org/officeDocument/2006/relationships/hyperlink" Target="http://linkedin.com/in/sagnik-nandy" TargetMode="External"/><Relationship Id="rId560" Type="http://schemas.openxmlformats.org/officeDocument/2006/relationships/hyperlink" Target="https://www.linkedin.com/in/pawan-kumar-chandana-a90b6514/?originalSubdomain=in" TargetMode="External"/><Relationship Id="rId1151" Type="http://schemas.openxmlformats.org/officeDocument/2006/relationships/hyperlink" Target="http://linkedin.com/in/vaibhav-taranekar-a50b5916" TargetMode="External"/><Relationship Id="rId1152" Type="http://schemas.openxmlformats.org/officeDocument/2006/relationships/hyperlink" Target="http://linkedin.com/in/vikasvarma" TargetMode="External"/><Relationship Id="rId1153" Type="http://schemas.openxmlformats.org/officeDocument/2006/relationships/hyperlink" Target="http://linkedin.com/in/radhakrishnan-g-7111515" TargetMode="External"/><Relationship Id="rId565" Type="http://schemas.openxmlformats.org/officeDocument/2006/relationships/hyperlink" Target="https://www.linkedin.com/in/ishpreet-singh-gandhi-539893b/?originalSubdomain=in" TargetMode="External"/><Relationship Id="rId1154" Type="http://schemas.openxmlformats.org/officeDocument/2006/relationships/hyperlink" Target="http://linkedin.com/in/rohan-bhindwale" TargetMode="External"/><Relationship Id="rId564" Type="http://schemas.openxmlformats.org/officeDocument/2006/relationships/hyperlink" Target="https://www.linkedin.com/in/amit-mundawala/?originalSubdomain=in" TargetMode="External"/><Relationship Id="rId1155" Type="http://schemas.openxmlformats.org/officeDocument/2006/relationships/hyperlink" Target="http://linkedin.com/in/sunil-mathur" TargetMode="External"/><Relationship Id="rId563" Type="http://schemas.openxmlformats.org/officeDocument/2006/relationships/hyperlink" Target="https://www.linkedin.com/in/tanuj-shori-420b402/?originalSubdomain=ae" TargetMode="External"/><Relationship Id="rId1156" Type="http://schemas.openxmlformats.org/officeDocument/2006/relationships/hyperlink" Target="http://linkedin.com/in/guru-mallikarjuna-8054b82" TargetMode="External"/><Relationship Id="rId562" Type="http://schemas.openxmlformats.org/officeDocument/2006/relationships/hyperlink" Target="https://www.linkedin.com/in/sahil-dharia-810278b/?originalSubdomain=in" TargetMode="External"/><Relationship Id="rId1157" Type="http://schemas.openxmlformats.org/officeDocument/2006/relationships/hyperlink" Target="http://linkedin.com/in/sanjeev-sharma-5b47a010" TargetMode="External"/><Relationship Id="rId1147" Type="http://schemas.openxmlformats.org/officeDocument/2006/relationships/hyperlink" Target="http://linkedin.com/in/vijayant-rai-226203a" TargetMode="External"/><Relationship Id="rId1148" Type="http://schemas.openxmlformats.org/officeDocument/2006/relationships/hyperlink" Target="http://linkedin.com/in/ranjitmavinkurve" TargetMode="External"/><Relationship Id="rId1149" Type="http://schemas.openxmlformats.org/officeDocument/2006/relationships/hyperlink" Target="http://linkedin.com/in/rajeev-rajan" TargetMode="External"/><Relationship Id="rId558" Type="http://schemas.openxmlformats.org/officeDocument/2006/relationships/hyperlink" Target="http://linkedin.com/in/trdastidar?originalSubdomain=in" TargetMode="External"/><Relationship Id="rId557" Type="http://schemas.openxmlformats.org/officeDocument/2006/relationships/hyperlink" Target="http://linkedin.com/in/amitucla" TargetMode="External"/><Relationship Id="rId556" Type="http://schemas.openxmlformats.org/officeDocument/2006/relationships/hyperlink" Target="http://linkedin.com/in/anildharni" TargetMode="External"/><Relationship Id="rId555" Type="http://schemas.openxmlformats.org/officeDocument/2006/relationships/hyperlink" Target="https://www.linkedin.com/in/vishalgauri/" TargetMode="External"/><Relationship Id="rId559" Type="http://schemas.openxmlformats.org/officeDocument/2006/relationships/hyperlink" Target="https://www.linkedin.com/in/suhas-rajkumar-277824150/?originalSubdomain=in" TargetMode="External"/><Relationship Id="rId550" Type="http://schemas.openxmlformats.org/officeDocument/2006/relationships/hyperlink" Target="http://linkedin.com/in/writetopiyush?originalSubdomain=in" TargetMode="External"/><Relationship Id="rId1140" Type="http://schemas.openxmlformats.org/officeDocument/2006/relationships/hyperlink" Target="http://linkedin.com/in/monika-shergill-8a616b2b" TargetMode="External"/><Relationship Id="rId1141" Type="http://schemas.openxmlformats.org/officeDocument/2006/relationships/hyperlink" Target="http://linkedin.com/in/aparna-khurjekar" TargetMode="External"/><Relationship Id="rId1142" Type="http://schemas.openxmlformats.org/officeDocument/2006/relationships/hyperlink" Target="http://linkedin.com/in/manishgupta05" TargetMode="External"/><Relationship Id="rId554" Type="http://schemas.openxmlformats.org/officeDocument/2006/relationships/hyperlink" Target="http://linkedin.com/in/atulshinghal" TargetMode="External"/><Relationship Id="rId1143" Type="http://schemas.openxmlformats.org/officeDocument/2006/relationships/hyperlink" Target="http://linkedin.com/in/vinod-gupta-everest" TargetMode="External"/><Relationship Id="rId553" Type="http://schemas.openxmlformats.org/officeDocument/2006/relationships/hyperlink" Target="https://www.linkedin.com/in/vivek-raghavan-16005424/?originalSubdomain=in" TargetMode="External"/><Relationship Id="rId1144" Type="http://schemas.openxmlformats.org/officeDocument/2006/relationships/hyperlink" Target="http://linkedin.com/in/ipsita-dasgupta-66244" TargetMode="External"/><Relationship Id="rId552" Type="http://schemas.openxmlformats.org/officeDocument/2006/relationships/hyperlink" Target="https://www.linkedin.com/in/anilkumar-sg/?originalSubdomain=in" TargetMode="External"/><Relationship Id="rId1145" Type="http://schemas.openxmlformats.org/officeDocument/2006/relationships/hyperlink" Target="http://linkedin.com/in/vivek-srivastava-cybersecurity" TargetMode="External"/><Relationship Id="rId551" Type="http://schemas.openxmlformats.org/officeDocument/2006/relationships/hyperlink" Target="http://linkedin.com/in/nilshammar" TargetMode="External"/><Relationship Id="rId1146" Type="http://schemas.openxmlformats.org/officeDocument/2006/relationships/hyperlink" Target="http://linkedin.com/in/anil-z-chakravarthy-54481016" TargetMode="External"/><Relationship Id="rId495" Type="http://schemas.openxmlformats.org/officeDocument/2006/relationships/hyperlink" Target="http://linkedin.com/in/dhruv-agarwala" TargetMode="External"/><Relationship Id="rId494" Type="http://schemas.openxmlformats.org/officeDocument/2006/relationships/hyperlink" Target="http://housing.com" TargetMode="External"/><Relationship Id="rId493" Type="http://schemas.openxmlformats.org/officeDocument/2006/relationships/hyperlink" Target="http://linkedin.com/in/ratulpuri" TargetMode="External"/><Relationship Id="rId492" Type="http://schemas.openxmlformats.org/officeDocument/2006/relationships/hyperlink" Target="http://linkedin.com/in/mohitgarg" TargetMode="External"/><Relationship Id="rId499" Type="http://schemas.openxmlformats.org/officeDocument/2006/relationships/hyperlink" Target="http://linkedin.com/in/ashokhariharan" TargetMode="External"/><Relationship Id="rId498" Type="http://schemas.openxmlformats.org/officeDocument/2006/relationships/hyperlink" Target="http://linkedin.com/in/pcmusthafa" TargetMode="External"/><Relationship Id="rId497" Type="http://schemas.openxmlformats.org/officeDocument/2006/relationships/hyperlink" Target="http://linkedin.com/in/vkmathews" TargetMode="External"/><Relationship Id="rId496" Type="http://schemas.openxmlformats.org/officeDocument/2006/relationships/hyperlink" Target="http://linkedin.com/in/manojsinha" TargetMode="External"/><Relationship Id="rId1610" Type="http://schemas.openxmlformats.org/officeDocument/2006/relationships/hyperlink" Target="https://www.linkedin.com/in/mahender-chhabra-a45b055/?originalSubdomain=in" TargetMode="External"/><Relationship Id="rId1611" Type="http://schemas.openxmlformats.org/officeDocument/2006/relationships/hyperlink" Target="https://www.linkedin.com/in/rajesh-gupta-49027925/?originalSubdomain=in" TargetMode="External"/><Relationship Id="rId1612" Type="http://schemas.openxmlformats.org/officeDocument/2006/relationships/hyperlink" Target="https://www.linkedin.com/in/milind-kulkarni-1ba13426/?originalSubdomain=in" TargetMode="External"/><Relationship Id="rId1613" Type="http://schemas.openxmlformats.org/officeDocument/2006/relationships/hyperlink" Target="https://www.linkedin.com/in/alexander-george-muthoot-91a0451b0/?originalSubdomain=in" TargetMode="External"/><Relationship Id="rId1614" Type="http://schemas.openxmlformats.org/officeDocument/2006/relationships/hyperlink" Target="http://linkedin.com/in/hitesh03/?originalSubdomain=in" TargetMode="External"/><Relationship Id="rId1615" Type="http://schemas.openxmlformats.org/officeDocument/2006/relationships/hyperlink" Target="https://www.linkedin.com/in/kaushikghosh1972/?originalSubdomain=in" TargetMode="External"/><Relationship Id="rId1616" Type="http://schemas.openxmlformats.org/officeDocument/2006/relationships/hyperlink" Target="https://www.linkedin.com/in/vinay-lakhotia/?originalSubdomain=in" TargetMode="External"/><Relationship Id="rId907" Type="http://schemas.openxmlformats.org/officeDocument/2006/relationships/hyperlink" Target="https://www.linkedin.com/in/kumakrishna/" TargetMode="External"/><Relationship Id="rId1617" Type="http://schemas.openxmlformats.org/officeDocument/2006/relationships/hyperlink" Target="https://www.linkedin.com/in/jorn-kersten-a69739b/?originalSubdomain=in" TargetMode="External"/><Relationship Id="rId906" Type="http://schemas.openxmlformats.org/officeDocument/2006/relationships/hyperlink" Target="https://www.linkedin.com/in/sandilyakonduri/" TargetMode="External"/><Relationship Id="rId1618" Type="http://schemas.openxmlformats.org/officeDocument/2006/relationships/hyperlink" Target="https://www.linkedin.com/in/vimalendrasingh/?originalSubdomain=in" TargetMode="External"/><Relationship Id="rId905" Type="http://schemas.openxmlformats.org/officeDocument/2006/relationships/hyperlink" Target="https://www.linkedin.com/in/dbsheth/" TargetMode="External"/><Relationship Id="rId1619" Type="http://schemas.openxmlformats.org/officeDocument/2006/relationships/hyperlink" Target="https://www.linkedin.com/in/vidhyasrinivasan1/?originalSubdomain=in" TargetMode="External"/><Relationship Id="rId904" Type="http://schemas.openxmlformats.org/officeDocument/2006/relationships/hyperlink" Target="https://www.linkedin.com/in/pratik-vohera/" TargetMode="External"/><Relationship Id="rId909" Type="http://schemas.openxmlformats.org/officeDocument/2006/relationships/hyperlink" Target="https://www.linkedin.com/in/krithikamuthukrishnan/" TargetMode="External"/><Relationship Id="rId908" Type="http://schemas.openxmlformats.org/officeDocument/2006/relationships/hyperlink" Target="https://www.linkedin.com/in/vkg7/" TargetMode="External"/><Relationship Id="rId903" Type="http://schemas.openxmlformats.org/officeDocument/2006/relationships/hyperlink" Target="https://www.linkedin.com/in/bhasinjatin/" TargetMode="External"/><Relationship Id="rId902" Type="http://schemas.openxmlformats.org/officeDocument/2006/relationships/hyperlink" Target="https://www.linkedin.com/in/suchitmajumdar/" TargetMode="External"/><Relationship Id="rId901" Type="http://schemas.openxmlformats.org/officeDocument/2006/relationships/hyperlink" Target="https://www.linkedin.com/in/manishsmittal/" TargetMode="External"/><Relationship Id="rId900" Type="http://schemas.openxmlformats.org/officeDocument/2006/relationships/hyperlink" Target="https://www.linkedin.com/in/damien-passavent-a885a971/" TargetMode="External"/><Relationship Id="rId1600" Type="http://schemas.openxmlformats.org/officeDocument/2006/relationships/hyperlink" Target="http://linkedin.com/in/swayam/?originalSubdomain=in" TargetMode="External"/><Relationship Id="rId1601" Type="http://schemas.openxmlformats.org/officeDocument/2006/relationships/hyperlink" Target="https://www.linkedin.com/in/vivek-anand-314a7833/?originalSubdomain=in" TargetMode="External"/><Relationship Id="rId1602" Type="http://schemas.openxmlformats.org/officeDocument/2006/relationships/hyperlink" Target="https://www.linkedin.com/in/kmitra/?originalSubdomain=in" TargetMode="External"/><Relationship Id="rId1603" Type="http://schemas.openxmlformats.org/officeDocument/2006/relationships/hyperlink" Target="https://www.linkedin.com/in/kapil-hathi-3747006/?originalSubdomain=in" TargetMode="External"/><Relationship Id="rId1604" Type="http://schemas.openxmlformats.org/officeDocument/2006/relationships/hyperlink" Target="https://www.linkedin.com/in/venkataraman-n-53ba985/?originalSubdomain=in" TargetMode="External"/><Relationship Id="rId1605" Type="http://schemas.openxmlformats.org/officeDocument/2006/relationships/hyperlink" Target="https://www.linkedin.com/in/pawan-agrawal-7855a46/?originalSubdomain=in" TargetMode="External"/><Relationship Id="rId1606" Type="http://schemas.openxmlformats.org/officeDocument/2006/relationships/hyperlink" Target="http://linkedin.com/in/jacob-m-s-7b453184/?originalSubdomain=in" TargetMode="External"/><Relationship Id="rId1607" Type="http://schemas.openxmlformats.org/officeDocument/2006/relationships/hyperlink" Target="https://www.linkedin.com/in/priya-hardikar-1626ab7/?originalSubdomain=in" TargetMode="External"/><Relationship Id="rId1608" Type="http://schemas.openxmlformats.org/officeDocument/2006/relationships/hyperlink" Target="https://www.linkedin.com/in/pinky-mehta/?originalSubdomain=in" TargetMode="External"/><Relationship Id="rId1609" Type="http://schemas.openxmlformats.org/officeDocument/2006/relationships/hyperlink" Target="https://www.linkedin.com/in/sandeep-kumar-96b3201a/?originalSubdomain=in" TargetMode="External"/><Relationship Id="rId1631" Type="http://schemas.openxmlformats.org/officeDocument/2006/relationships/hyperlink" Target="https://www.linkedin.com/in/amit-dang-7472628/?originalSubdomain=in" TargetMode="External"/><Relationship Id="rId1632" Type="http://schemas.openxmlformats.org/officeDocument/2006/relationships/hyperlink" Target="https://www.linkedin.com/in/ankit-agarwal-a1904930/?originalSubdomain=in" TargetMode="External"/><Relationship Id="rId1633" Type="http://schemas.openxmlformats.org/officeDocument/2006/relationships/hyperlink" Target="https://www.linkedin.com/in/ramesh-swaminathan-861a683/?originalSubdomain=in" TargetMode="External"/><Relationship Id="rId1634" Type="http://schemas.openxmlformats.org/officeDocument/2006/relationships/hyperlink" Target="https://www.linkedin.com/in/pradeep-agrawal-9514341a/?originalSubdomain=in" TargetMode="External"/><Relationship Id="rId1635" Type="http://schemas.openxmlformats.org/officeDocument/2006/relationships/hyperlink" Target="https://www.linkedin.com/in/amarjyoti-barua-9b22222/?originalSubdomain=in" TargetMode="External"/><Relationship Id="rId1636" Type="http://schemas.openxmlformats.org/officeDocument/2006/relationships/hyperlink" Target="https://www.linkedin.com/in/amyhood1/" TargetMode="External"/><Relationship Id="rId1637" Type="http://schemas.openxmlformats.org/officeDocument/2006/relationships/hyperlink" Target="https://www.linkedin.com/in/madhu-nainan-46430923/?originalSubdomain=in" TargetMode="External"/><Relationship Id="rId1638" Type="http://schemas.openxmlformats.org/officeDocument/2006/relationships/hyperlink" Target="https://www.linkedin.com/in/svetlana-boldina-45343115/?originalSubdomain=in" TargetMode="External"/><Relationship Id="rId929" Type="http://schemas.openxmlformats.org/officeDocument/2006/relationships/hyperlink" Target="https://www.linkedin.com/in/vasanthakumars1/" TargetMode="External"/><Relationship Id="rId1639" Type="http://schemas.openxmlformats.org/officeDocument/2006/relationships/hyperlink" Target="https://www.linkedin.com/in/jaikumar-srinivasan-70055a3/?originalSubdomain=in" TargetMode="External"/><Relationship Id="rId928" Type="http://schemas.openxmlformats.org/officeDocument/2006/relationships/hyperlink" Target="mailto:bht.vinayak@gmail.com" TargetMode="External"/><Relationship Id="rId927" Type="http://schemas.openxmlformats.org/officeDocument/2006/relationships/hyperlink" Target="https://www.linkedin.com/in/vinayak-bhat-70a40a24/" TargetMode="External"/><Relationship Id="rId926" Type="http://schemas.openxmlformats.org/officeDocument/2006/relationships/hyperlink" Target="https://www.linkedin.com/in/ishkapoor2000/" TargetMode="External"/><Relationship Id="rId921" Type="http://schemas.openxmlformats.org/officeDocument/2006/relationships/hyperlink" Target="https://www.linkedin.com/in/mithilsrivastav/" TargetMode="External"/><Relationship Id="rId920" Type="http://schemas.openxmlformats.org/officeDocument/2006/relationships/hyperlink" Target="https://www.linkedin.com/in/rajesh-sudhakaran-7823a029/" TargetMode="External"/><Relationship Id="rId925" Type="http://schemas.openxmlformats.org/officeDocument/2006/relationships/hyperlink" Target="https://www.linkedin.com/in/amitguptaz/" TargetMode="External"/><Relationship Id="rId924" Type="http://schemas.openxmlformats.org/officeDocument/2006/relationships/hyperlink" Target="https://www.linkedin.com/in/nirav-lalan-2152a226/" TargetMode="External"/><Relationship Id="rId923" Type="http://schemas.openxmlformats.org/officeDocument/2006/relationships/hyperlink" Target="https://www.linkedin.com/in/pkumarie11/" TargetMode="External"/><Relationship Id="rId922" Type="http://schemas.openxmlformats.org/officeDocument/2006/relationships/hyperlink" Target="https://www.linkedin.com/in/shikharjain10/" TargetMode="External"/><Relationship Id="rId1630" Type="http://schemas.openxmlformats.org/officeDocument/2006/relationships/hyperlink" Target="https://www.linkedin.com/in/gaurav-bhartia-247a428/?originalSubdomain=in" TargetMode="External"/><Relationship Id="rId1620" Type="http://schemas.openxmlformats.org/officeDocument/2006/relationships/hyperlink" Target="https://www.linkedin.com/in/ajayaggarwalcyient/?original_referer=https%3A%2F%2Fwww%2Egoogle%2Ecom%2F&amp;originalSubdomain=in" TargetMode="External"/><Relationship Id="rId1621" Type="http://schemas.openxmlformats.org/officeDocument/2006/relationships/hyperlink" Target="https://www.linkedin.com/in/vinit-teredesai-0682b12/?originalSubdomain=in" TargetMode="External"/><Relationship Id="rId1622" Type="http://schemas.openxmlformats.org/officeDocument/2006/relationships/hyperlink" Target="https://www.linkedin.com/in/vipul-chandra-0b7b904/?originalSubdomain=in" TargetMode="External"/><Relationship Id="rId1623" Type="http://schemas.openxmlformats.org/officeDocument/2006/relationships/hyperlink" Target="https://www.linkedin.com/in/pankaj-madan-a5a9451a/?originalSubdomain=in" TargetMode="External"/><Relationship Id="rId1624" Type="http://schemas.openxmlformats.org/officeDocument/2006/relationships/hyperlink" Target="https://www.linkedin.com/in/atul-daga/?originalSubdomain=in" TargetMode="External"/><Relationship Id="rId1625" Type="http://schemas.openxmlformats.org/officeDocument/2006/relationships/hyperlink" Target="https://www.linkedin.com/in/ajay-goel-767b2215/?originalSubdomain=in" TargetMode="External"/><Relationship Id="rId1626" Type="http://schemas.openxmlformats.org/officeDocument/2006/relationships/hyperlink" Target="https://www.linkedin.com/in/manish-desai-2a554262/?originalSubdomain=in" TargetMode="External"/><Relationship Id="rId1627" Type="http://schemas.openxmlformats.org/officeDocument/2006/relationships/hyperlink" Target="https://www.linkedin.com/m/in/aparna-iyer-7a6a135?originalSubdomain=in" TargetMode="External"/><Relationship Id="rId918" Type="http://schemas.openxmlformats.org/officeDocument/2006/relationships/hyperlink" Target="https://www.linkedin.com/in/pramodpnair/" TargetMode="External"/><Relationship Id="rId1628" Type="http://schemas.openxmlformats.org/officeDocument/2006/relationships/hyperlink" Target="https://www.linkedin.com/in/mukundvgalgali/?originalSubdomain=in" TargetMode="External"/><Relationship Id="rId917" Type="http://schemas.openxmlformats.org/officeDocument/2006/relationships/hyperlink" Target="https://www.linkedin.com/in/abhishekchoudhari/?trk=pub-pbmap" TargetMode="External"/><Relationship Id="rId1629" Type="http://schemas.openxmlformats.org/officeDocument/2006/relationships/hyperlink" Target="https://www.linkedin.com/in/niranjan-gupta-8b981619/?original_referer=https%3A%2F%2Fwww%2Egoogle%2Ecom%2F&amp;originalSubdomain=in" TargetMode="External"/><Relationship Id="rId916" Type="http://schemas.openxmlformats.org/officeDocument/2006/relationships/hyperlink" Target="https://www.linkedin.com/in/sankbhatt/" TargetMode="External"/><Relationship Id="rId915" Type="http://schemas.openxmlformats.org/officeDocument/2006/relationships/hyperlink" Target="https://www.linkedin.com/in/shouvikgr/" TargetMode="External"/><Relationship Id="rId919" Type="http://schemas.openxmlformats.org/officeDocument/2006/relationships/hyperlink" Target="https://www.linkedin.com/in/kapilajaiswal/" TargetMode="External"/><Relationship Id="rId910" Type="http://schemas.openxmlformats.org/officeDocument/2006/relationships/hyperlink" Target="https://www.linkedin.com/in/ankeetgupta/" TargetMode="External"/><Relationship Id="rId914" Type="http://schemas.openxmlformats.org/officeDocument/2006/relationships/hyperlink" Target="https://www.linkedin.com/in/aman-prakash-40b39942/" TargetMode="External"/><Relationship Id="rId913" Type="http://schemas.openxmlformats.org/officeDocument/2006/relationships/hyperlink" Target="https://www.linkedin.com/in/gaurav-gupta-6097564/" TargetMode="External"/><Relationship Id="rId912" Type="http://schemas.openxmlformats.org/officeDocument/2006/relationships/hyperlink" Target="https://www.linkedin.com/in/sarang-sharma-91791111/" TargetMode="External"/><Relationship Id="rId911" Type="http://schemas.openxmlformats.org/officeDocument/2006/relationships/hyperlink" Target="https://www.linkedin.com/in/kartikay-aggarwal-3ab035124/" TargetMode="External"/><Relationship Id="rId1213" Type="http://schemas.openxmlformats.org/officeDocument/2006/relationships/hyperlink" Target="http://linkedin.com/in/robin-liu-3b6100233" TargetMode="External"/><Relationship Id="rId1697" Type="http://schemas.openxmlformats.org/officeDocument/2006/relationships/hyperlink" Target="https://www.linkedin.com/in/samratkrishna/" TargetMode="External"/><Relationship Id="rId1214" Type="http://schemas.openxmlformats.org/officeDocument/2006/relationships/hyperlink" Target="http://linkedin.com/in/amitgarg78" TargetMode="External"/><Relationship Id="rId1698" Type="http://schemas.openxmlformats.org/officeDocument/2006/relationships/hyperlink" Target="https://www.linkedin.com/in/jidesh-haridas/" TargetMode="External"/><Relationship Id="rId1215" Type="http://schemas.openxmlformats.org/officeDocument/2006/relationships/hyperlink" Target="http://linkedin.com/in/vigyansinghal" TargetMode="External"/><Relationship Id="rId1699" Type="http://schemas.openxmlformats.org/officeDocument/2006/relationships/hyperlink" Target="https://www.linkedin.com/in/rangaraajrajagopalan/" TargetMode="External"/><Relationship Id="rId1216" Type="http://schemas.openxmlformats.org/officeDocument/2006/relationships/hyperlink" Target="http://linkedin.com/in/rakeshravuri" TargetMode="External"/><Relationship Id="rId1217" Type="http://schemas.openxmlformats.org/officeDocument/2006/relationships/hyperlink" Target="http://linkedin.com/in/pankajprateek" TargetMode="External"/><Relationship Id="rId1218" Type="http://schemas.openxmlformats.org/officeDocument/2006/relationships/hyperlink" Target="http://linkedin.com/in/dr-jitendra-mohan-bhardwaj-9b2410" TargetMode="External"/><Relationship Id="rId1219" Type="http://schemas.openxmlformats.org/officeDocument/2006/relationships/hyperlink" Target="http://linkedin.com/in/soujanya-aluri-8406b266" TargetMode="External"/><Relationship Id="rId866" Type="http://schemas.openxmlformats.org/officeDocument/2006/relationships/hyperlink" Target="https://www.linkedin.com/in/jainkunal/" TargetMode="External"/><Relationship Id="rId865" Type="http://schemas.openxmlformats.org/officeDocument/2006/relationships/hyperlink" Target="https://www.linkedin.com/in/shrutiduge/" TargetMode="External"/><Relationship Id="rId864" Type="http://schemas.openxmlformats.org/officeDocument/2006/relationships/hyperlink" Target="https://www.linkedin.com/in/pankajjoycaiser/" TargetMode="External"/><Relationship Id="rId863" Type="http://schemas.openxmlformats.org/officeDocument/2006/relationships/hyperlink" Target="https://www.linkedin.com/in/hindole-dutta-57883716/" TargetMode="External"/><Relationship Id="rId869" Type="http://schemas.openxmlformats.org/officeDocument/2006/relationships/hyperlink" Target="https://www.linkedin.com/in/shiv-pratap-8a3675158/" TargetMode="External"/><Relationship Id="rId868" Type="http://schemas.openxmlformats.org/officeDocument/2006/relationships/hyperlink" Target="https://www.linkedin.com/in/harshal-bhoi-2ba0a84b/" TargetMode="External"/><Relationship Id="rId867" Type="http://schemas.openxmlformats.org/officeDocument/2006/relationships/hyperlink" Target="https://www.linkedin.com/in/ashish-mundra/" TargetMode="External"/><Relationship Id="rId1690" Type="http://schemas.openxmlformats.org/officeDocument/2006/relationships/hyperlink" Target="https://www.linkedin.com/in/gayatrimathur/?originalSubdomain=in" TargetMode="External"/><Relationship Id="rId1691" Type="http://schemas.openxmlformats.org/officeDocument/2006/relationships/hyperlink" Target="https://www.linkedin.com/in/navingurnani/?originalSubdomain=in" TargetMode="External"/><Relationship Id="rId1692" Type="http://schemas.openxmlformats.org/officeDocument/2006/relationships/hyperlink" Target="https://www.linkedin.com/in/charukishnani/?originalSubdomain=in" TargetMode="External"/><Relationship Id="rId862" Type="http://schemas.openxmlformats.org/officeDocument/2006/relationships/hyperlink" Target="https://www.linkedin.com/in/ajaykash/" TargetMode="External"/><Relationship Id="rId1693" Type="http://schemas.openxmlformats.org/officeDocument/2006/relationships/hyperlink" Target="https://www.linkedin.com/in/gajendra-jangid-665b3040/?originalSubdomain=in" TargetMode="External"/><Relationship Id="rId861" Type="http://schemas.openxmlformats.org/officeDocument/2006/relationships/hyperlink" Target="https://www.linkedin.com/in/ramkishorevegi/" TargetMode="External"/><Relationship Id="rId1210" Type="http://schemas.openxmlformats.org/officeDocument/2006/relationships/hyperlink" Target="http://linkedin.com/in/karanbedi" TargetMode="External"/><Relationship Id="rId1694" Type="http://schemas.openxmlformats.org/officeDocument/2006/relationships/hyperlink" Target="https://www.linkedin.com/in/guymarion/" TargetMode="External"/><Relationship Id="rId860" Type="http://schemas.openxmlformats.org/officeDocument/2006/relationships/hyperlink" Target="https://www.linkedin.com/in/amitgz/" TargetMode="External"/><Relationship Id="rId1211" Type="http://schemas.openxmlformats.org/officeDocument/2006/relationships/hyperlink" Target="http://linkedin.com/in/muralikaundinya" TargetMode="External"/><Relationship Id="rId1695" Type="http://schemas.openxmlformats.org/officeDocument/2006/relationships/hyperlink" Target="https://www.linkedin.com/in/lohith-ramachandra/?originalSubdomain=in" TargetMode="External"/><Relationship Id="rId1212" Type="http://schemas.openxmlformats.org/officeDocument/2006/relationships/hyperlink" Target="http://linkedin.com/in/dr-ranjit-rath-4a577814" TargetMode="External"/><Relationship Id="rId1696" Type="http://schemas.openxmlformats.org/officeDocument/2006/relationships/hyperlink" Target="https://www.linkedin.com/in/vorasamir/?originalSubdomain=in" TargetMode="External"/><Relationship Id="rId1202" Type="http://schemas.openxmlformats.org/officeDocument/2006/relationships/hyperlink" Target="http://linkedin.com/in/nikhil-somani-00441b6" TargetMode="External"/><Relationship Id="rId1686" Type="http://schemas.openxmlformats.org/officeDocument/2006/relationships/hyperlink" Target="https://www.linkedin.com/in/sanjay-kirimanjeshwar-464575/" TargetMode="External"/><Relationship Id="rId1203" Type="http://schemas.openxmlformats.org/officeDocument/2006/relationships/hyperlink" Target="http://linkedin.com/in/ramtilak-ananthan-ab56994" TargetMode="External"/><Relationship Id="rId1687" Type="http://schemas.openxmlformats.org/officeDocument/2006/relationships/hyperlink" Target="https://www.linkedin.com/in/vipulparekh/?originalSubdomain=in" TargetMode="External"/><Relationship Id="rId1204" Type="http://schemas.openxmlformats.org/officeDocument/2006/relationships/hyperlink" Target="http://linkedin.com/in/sashankbojja" TargetMode="External"/><Relationship Id="rId1688" Type="http://schemas.openxmlformats.org/officeDocument/2006/relationships/hyperlink" Target="https://www.linkedin.com/in/anandpanda/" TargetMode="External"/><Relationship Id="rId1205" Type="http://schemas.openxmlformats.org/officeDocument/2006/relationships/hyperlink" Target="http://linkedin.com/in/vgarud" TargetMode="External"/><Relationship Id="rId1689" Type="http://schemas.openxmlformats.org/officeDocument/2006/relationships/hyperlink" Target="https://www.linkedin.com/in/chandra-prakash-b5117b8/?originalSubdomain=in" TargetMode="External"/><Relationship Id="rId1206" Type="http://schemas.openxmlformats.org/officeDocument/2006/relationships/hyperlink" Target="http://linkedin.com/in/ravikumar-beli-9273b51a" TargetMode="External"/><Relationship Id="rId1207" Type="http://schemas.openxmlformats.org/officeDocument/2006/relationships/hyperlink" Target="http://linkedin.com/in/pritam-kanti-paul-49b7544" TargetMode="External"/><Relationship Id="rId1208" Type="http://schemas.openxmlformats.org/officeDocument/2006/relationships/hyperlink" Target="http://linkedin.com/in/amin-kasmani-6279681b" TargetMode="External"/><Relationship Id="rId1209" Type="http://schemas.openxmlformats.org/officeDocument/2006/relationships/hyperlink" Target="http://housing.com" TargetMode="External"/><Relationship Id="rId855" Type="http://schemas.openxmlformats.org/officeDocument/2006/relationships/hyperlink" Target="https://www.linkedin.com/in/vineetdas/" TargetMode="External"/><Relationship Id="rId854" Type="http://schemas.openxmlformats.org/officeDocument/2006/relationships/hyperlink" Target="https://www.linkedin.com/in/snehalpatel2786/" TargetMode="External"/><Relationship Id="rId853" Type="http://schemas.openxmlformats.org/officeDocument/2006/relationships/hyperlink" Target="https://www.linkedin.com/in/khilanharia/" TargetMode="External"/><Relationship Id="rId852" Type="http://schemas.openxmlformats.org/officeDocument/2006/relationships/hyperlink" Target="https://www.linkedin.com/in/rangaraajrajagopalan/" TargetMode="External"/><Relationship Id="rId859" Type="http://schemas.openxmlformats.org/officeDocument/2006/relationships/hyperlink" Target="https://www.linkedin.com/in/ravishagarwal/?originalSubdomain=ae" TargetMode="External"/><Relationship Id="rId858" Type="http://schemas.openxmlformats.org/officeDocument/2006/relationships/hyperlink" Target="https://www.linkedin.com/in/achsh9/" TargetMode="External"/><Relationship Id="rId857" Type="http://schemas.openxmlformats.org/officeDocument/2006/relationships/hyperlink" Target="https://www.linkedin.com/in/ankush-jain-68746014/" TargetMode="External"/><Relationship Id="rId856" Type="http://schemas.openxmlformats.org/officeDocument/2006/relationships/hyperlink" Target="https://www.linkedin.com/in/santosh-auti-84b982b1/" TargetMode="External"/><Relationship Id="rId1680" Type="http://schemas.openxmlformats.org/officeDocument/2006/relationships/hyperlink" Target="https://www.linkedin.com/in/mayank-kumar-5573243/?originalSubdomain=in" TargetMode="External"/><Relationship Id="rId1681" Type="http://schemas.openxmlformats.org/officeDocument/2006/relationships/hyperlink" Target="https://www.linkedin.com/in/zeenat-khan-b83491239/overlay/contact-info/?lipi=urn%3Ali%3Apage%3Ad_flagship3_profile_view_base%3Br0Tg0z%2BvSS2zuWWAGDZEzA%3D%3D" TargetMode="External"/><Relationship Id="rId851" Type="http://schemas.openxmlformats.org/officeDocument/2006/relationships/hyperlink" Target="https://www.linkedin.com/in/sachit/" TargetMode="External"/><Relationship Id="rId1682" Type="http://schemas.openxmlformats.org/officeDocument/2006/relationships/hyperlink" Target="https://www.linkedin.com/in/saurabh-sharma-9b9b2715?utm_source=share&amp;utm_campaign=share_via&amp;utm_content=profile&amp;utm_medium=android_app" TargetMode="External"/><Relationship Id="rId850" Type="http://schemas.openxmlformats.org/officeDocument/2006/relationships/hyperlink" Target="http://eightfold.ai" TargetMode="External"/><Relationship Id="rId1683" Type="http://schemas.openxmlformats.org/officeDocument/2006/relationships/hyperlink" Target="https://www.linkedin.com/in/radhikaz?utm_source=share&amp;utm_campaign=share_via&amp;utm_content=profile&amp;utm_medium=android_app" TargetMode="External"/><Relationship Id="rId1200" Type="http://schemas.openxmlformats.org/officeDocument/2006/relationships/hyperlink" Target="http://linkedin.com/in/abhishek-sinha-bgl" TargetMode="External"/><Relationship Id="rId1684" Type="http://schemas.openxmlformats.org/officeDocument/2006/relationships/hyperlink" Target="https://www.linkedin.com/in/shruti-agrawal-iimcal/?originalSubdomain=in" TargetMode="External"/><Relationship Id="rId1201" Type="http://schemas.openxmlformats.org/officeDocument/2006/relationships/hyperlink" Target="http://linkedin.com/in/jchadha" TargetMode="External"/><Relationship Id="rId1685" Type="http://schemas.openxmlformats.org/officeDocument/2006/relationships/hyperlink" Target="https://www.linkedin.com/in/utkarshamitabh/details/experience/" TargetMode="External"/><Relationship Id="rId1235" Type="http://schemas.openxmlformats.org/officeDocument/2006/relationships/hyperlink" Target="http://linkedin.com/in/mukuljain1" TargetMode="External"/><Relationship Id="rId1236" Type="http://schemas.openxmlformats.org/officeDocument/2006/relationships/hyperlink" Target="http://linkedin.com/in/durgadas-garlapati-3ab1956b" TargetMode="External"/><Relationship Id="rId1237" Type="http://schemas.openxmlformats.org/officeDocument/2006/relationships/hyperlink" Target="http://linkedin.com/in/rohitkilam" TargetMode="External"/><Relationship Id="rId1238" Type="http://schemas.openxmlformats.org/officeDocument/2006/relationships/hyperlink" Target="http://linkedin.com/in/anant-deshmukh" TargetMode="External"/><Relationship Id="rId1239" Type="http://schemas.openxmlformats.org/officeDocument/2006/relationships/hyperlink" Target="http://linkedin.com/in/anurag-vohra-6561352" TargetMode="External"/><Relationship Id="rId409" Type="http://schemas.openxmlformats.org/officeDocument/2006/relationships/hyperlink" Target="https://www.linkedin.com/in/rteja/" TargetMode="External"/><Relationship Id="rId404" Type="http://schemas.openxmlformats.org/officeDocument/2006/relationships/hyperlink" Target="https://www.linkedin.com/in/ankitnagori/?originalSubdomain=in" TargetMode="External"/><Relationship Id="rId888" Type="http://schemas.openxmlformats.org/officeDocument/2006/relationships/hyperlink" Target="https://www.linkedin.com/in/mbijral/" TargetMode="External"/><Relationship Id="rId403" Type="http://schemas.openxmlformats.org/officeDocument/2006/relationships/hyperlink" Target="https://www.linkedin.com/in/dilsher-malhi-983ab5121/?originalSubdomain=in" TargetMode="External"/><Relationship Id="rId887" Type="http://schemas.openxmlformats.org/officeDocument/2006/relationships/hyperlink" Target="https://www.linkedin.com/in/garimellapavanteja/" TargetMode="External"/><Relationship Id="rId402" Type="http://schemas.openxmlformats.org/officeDocument/2006/relationships/hyperlink" Target="https://www.linkedin.com/in/shubham015/" TargetMode="External"/><Relationship Id="rId886" Type="http://schemas.openxmlformats.org/officeDocument/2006/relationships/hyperlink" Target="https://www.linkedin.com/in/raj-narasimhan-06732719/" TargetMode="External"/><Relationship Id="rId401" Type="http://schemas.openxmlformats.org/officeDocument/2006/relationships/hyperlink" Target="https://www.linkedin.com/in/sandeep-nailwal-60709a33/" TargetMode="External"/><Relationship Id="rId885" Type="http://schemas.openxmlformats.org/officeDocument/2006/relationships/hyperlink" Target="https://www.linkedin.com/in/aahir/" TargetMode="External"/><Relationship Id="rId408" Type="http://schemas.openxmlformats.org/officeDocument/2006/relationships/hyperlink" Target="https://www.linkedin.com/in/shardul-sheth-aa1aa659/?originalSubdomain=in" TargetMode="External"/><Relationship Id="rId407" Type="http://schemas.openxmlformats.org/officeDocument/2006/relationships/hyperlink" Target="https://www.linkedin.com/in/graghunandan/?originalSubdomain=in" TargetMode="External"/><Relationship Id="rId406" Type="http://schemas.openxmlformats.org/officeDocument/2006/relationships/hyperlink" Target="https://www.linkedin.com/in/cardekhoamitjain/?originalSubdomain=in" TargetMode="External"/><Relationship Id="rId405" Type="http://schemas.openxmlformats.org/officeDocument/2006/relationships/hyperlink" Target="http://linkedin.com/in/deepak-h-saluja?originalSubdomain=ae" TargetMode="External"/><Relationship Id="rId889" Type="http://schemas.openxmlformats.org/officeDocument/2006/relationships/hyperlink" Target="https://www.linkedin.com/in/saxenaalankar/" TargetMode="External"/><Relationship Id="rId880" Type="http://schemas.openxmlformats.org/officeDocument/2006/relationships/hyperlink" Target="https://www.linkedin.com/in/angadss/" TargetMode="External"/><Relationship Id="rId1230" Type="http://schemas.openxmlformats.org/officeDocument/2006/relationships/hyperlink" Target="http://linkedin.com/in/sumoth-c-6a8b5a9" TargetMode="External"/><Relationship Id="rId400" Type="http://schemas.openxmlformats.org/officeDocument/2006/relationships/hyperlink" Target="https://www.linkedin.com/in/anup-agarwal-2033222/?originalSubdomain=in" TargetMode="External"/><Relationship Id="rId884" Type="http://schemas.openxmlformats.org/officeDocument/2006/relationships/hyperlink" Target="https://www.linkedin.com/in/anujmgarg/" TargetMode="External"/><Relationship Id="rId1231" Type="http://schemas.openxmlformats.org/officeDocument/2006/relationships/hyperlink" Target="http://linkedin.com/in/sanjay-narkar-1497271bb" TargetMode="External"/><Relationship Id="rId883" Type="http://schemas.openxmlformats.org/officeDocument/2006/relationships/hyperlink" Target="https://www.linkedin.com/in/john3gan/" TargetMode="External"/><Relationship Id="rId1232" Type="http://schemas.openxmlformats.org/officeDocument/2006/relationships/hyperlink" Target="http://linkedin.com/in/vijaykumar-ramakrishna-8414b7b" TargetMode="External"/><Relationship Id="rId882" Type="http://schemas.openxmlformats.org/officeDocument/2006/relationships/hyperlink" Target="https://www.linkedin.com/in/jatin-bhatia-45609353/" TargetMode="External"/><Relationship Id="rId1233" Type="http://schemas.openxmlformats.org/officeDocument/2006/relationships/hyperlink" Target="http://linkedin.com/in/nish-lathia" TargetMode="External"/><Relationship Id="rId881" Type="http://schemas.openxmlformats.org/officeDocument/2006/relationships/hyperlink" Target="https://www.linkedin.com/in/sarthak-patnaik-56bbb424/" TargetMode="External"/><Relationship Id="rId1234" Type="http://schemas.openxmlformats.org/officeDocument/2006/relationships/hyperlink" Target="http://linkedin.com/in/naval-lad-20a476aa" TargetMode="External"/><Relationship Id="rId1224" Type="http://schemas.openxmlformats.org/officeDocument/2006/relationships/hyperlink" Target="http://linkedin.com/in/deepesh-gosavi-3438027" TargetMode="External"/><Relationship Id="rId1225" Type="http://schemas.openxmlformats.org/officeDocument/2006/relationships/hyperlink" Target="http://linkedin.com/in/anilkuril" TargetMode="External"/><Relationship Id="rId1226" Type="http://schemas.openxmlformats.org/officeDocument/2006/relationships/hyperlink" Target="http://linkedin.com/in/sathish-prabu-b6a1425" TargetMode="External"/><Relationship Id="rId1227" Type="http://schemas.openxmlformats.org/officeDocument/2006/relationships/hyperlink" Target="http://linkedin.com/in/mohit-nanda-6874299" TargetMode="External"/><Relationship Id="rId1228" Type="http://schemas.openxmlformats.org/officeDocument/2006/relationships/hyperlink" Target="http://linkedin.com/in/upendrachaturvedi" TargetMode="External"/><Relationship Id="rId1229" Type="http://schemas.openxmlformats.org/officeDocument/2006/relationships/hyperlink" Target="http://linkedin.com/in/pavan-agrawal-a9a8a04" TargetMode="External"/><Relationship Id="rId877" Type="http://schemas.openxmlformats.org/officeDocument/2006/relationships/hyperlink" Target="https://www.linkedin.com/in/niteshtripathi/" TargetMode="External"/><Relationship Id="rId876" Type="http://schemas.openxmlformats.org/officeDocument/2006/relationships/hyperlink" Target="https://www.linkedin.com/in/amitadityakarmakar/" TargetMode="External"/><Relationship Id="rId875" Type="http://schemas.openxmlformats.org/officeDocument/2006/relationships/hyperlink" Target="https://www.linkedin.com/in/vr-kishore/" TargetMode="External"/><Relationship Id="rId874" Type="http://schemas.openxmlformats.org/officeDocument/2006/relationships/hyperlink" Target="https://www.linkedin.com/in/nishant-agarwal-b9080240/" TargetMode="External"/><Relationship Id="rId879" Type="http://schemas.openxmlformats.org/officeDocument/2006/relationships/hyperlink" Target="https://www.linkedin.com/in/maneeshanegi/" TargetMode="External"/><Relationship Id="rId878" Type="http://schemas.openxmlformats.org/officeDocument/2006/relationships/hyperlink" Target="https://www.linkedin.com/in/krishna-mohan-gadi/" TargetMode="External"/><Relationship Id="rId873" Type="http://schemas.openxmlformats.org/officeDocument/2006/relationships/hyperlink" Target="https://www.linkedin.com/in/mohitbhonde/" TargetMode="External"/><Relationship Id="rId1220" Type="http://schemas.openxmlformats.org/officeDocument/2006/relationships/hyperlink" Target="http://linkedin.com/in/maheshcalavai" TargetMode="External"/><Relationship Id="rId872" Type="http://schemas.openxmlformats.org/officeDocument/2006/relationships/hyperlink" Target="https://www.linkedin.com/in/bkrishnachaitanyafintech/" TargetMode="External"/><Relationship Id="rId1221" Type="http://schemas.openxmlformats.org/officeDocument/2006/relationships/hyperlink" Target="http://linkedin.com/in/sushant-sachan-82284a4" TargetMode="External"/><Relationship Id="rId871" Type="http://schemas.openxmlformats.org/officeDocument/2006/relationships/hyperlink" Target="https://www.linkedin.com/in/shweta-doshi1/" TargetMode="External"/><Relationship Id="rId1222" Type="http://schemas.openxmlformats.org/officeDocument/2006/relationships/hyperlink" Target="http://linkedin.com/in/balaji-rajagopalan-6a1ab423" TargetMode="External"/><Relationship Id="rId870" Type="http://schemas.openxmlformats.org/officeDocument/2006/relationships/hyperlink" Target="https://www.linkedin.com/in/sabareesh-chittuluru/" TargetMode="External"/><Relationship Id="rId1223" Type="http://schemas.openxmlformats.org/officeDocument/2006/relationships/hyperlink" Target="http://linkedin.com/in/ajayakumar-k-r-76682817" TargetMode="External"/><Relationship Id="rId1653" Type="http://schemas.openxmlformats.org/officeDocument/2006/relationships/hyperlink" Target="https://www.linkedin.com/in/ketan-mehta-5a462b16b/" TargetMode="External"/><Relationship Id="rId1654" Type="http://schemas.openxmlformats.org/officeDocument/2006/relationships/hyperlink" Target="https://www.linkedin.com/in/srinivasan-vaidyanathan-1027735/" TargetMode="External"/><Relationship Id="rId1655" Type="http://schemas.openxmlformats.org/officeDocument/2006/relationships/hyperlink" Target="https://www.linkedin.com/in/devang-gheewalla-a9184a323/" TargetMode="External"/><Relationship Id="rId1656" Type="http://schemas.openxmlformats.org/officeDocument/2006/relationships/hyperlink" Target="https://www.linkedin.com/in/dilip-kumar-jain-3ba2bb1a5/" TargetMode="External"/><Relationship Id="rId1657" Type="http://schemas.openxmlformats.org/officeDocument/2006/relationships/hyperlink" Target="https://www.linkedin.com/in/dr-debadatta-chand-0208b711a/?original_referer=https%3A%2F%2Fwww.google.com%2F" TargetMode="External"/><Relationship Id="rId1658" Type="http://schemas.openxmlformats.org/officeDocument/2006/relationships/hyperlink" Target="https://www.linkedin.com/in/gobindjain/" TargetMode="External"/><Relationship Id="rId1659" Type="http://schemas.openxmlformats.org/officeDocument/2006/relationships/hyperlink" Target="https://www.linkedin.com/in/avinash-prabhu-89838b49/" TargetMode="External"/><Relationship Id="rId829" Type="http://schemas.openxmlformats.org/officeDocument/2006/relationships/hyperlink" Target="https://www.linkedin.com/in/vattikuti/" TargetMode="External"/><Relationship Id="rId828" Type="http://schemas.openxmlformats.org/officeDocument/2006/relationships/hyperlink" Target="https://www.linkedin.com/in/andyaru/" TargetMode="External"/><Relationship Id="rId827" Type="http://schemas.openxmlformats.org/officeDocument/2006/relationships/hyperlink" Target="https://www.linkedin.com/in/rahulharkisanka/" TargetMode="External"/><Relationship Id="rId822" Type="http://schemas.openxmlformats.org/officeDocument/2006/relationships/hyperlink" Target="https://www.linkedin.com/in/praneethbakki/" TargetMode="External"/><Relationship Id="rId821" Type="http://schemas.openxmlformats.org/officeDocument/2006/relationships/hyperlink" Target="https://www.linkedin.com/in/rahulmirchandani/" TargetMode="External"/><Relationship Id="rId820" Type="http://schemas.openxmlformats.org/officeDocument/2006/relationships/hyperlink" Target="https://www.linkedin.com/in/swati-vishnoi-aa00664b/" TargetMode="External"/><Relationship Id="rId826" Type="http://schemas.openxmlformats.org/officeDocument/2006/relationships/hyperlink" Target="https://www.linkedin.com/in/puneet-maheshwari-41201925/" TargetMode="External"/><Relationship Id="rId825" Type="http://schemas.openxmlformats.org/officeDocument/2006/relationships/hyperlink" Target="https://www.linkedin.com/in/paragb555a578914/" TargetMode="External"/><Relationship Id="rId824" Type="http://schemas.openxmlformats.org/officeDocument/2006/relationships/hyperlink" Target="https://www.linkedin.com/in/abhaybprasad/" TargetMode="External"/><Relationship Id="rId823" Type="http://schemas.openxmlformats.org/officeDocument/2006/relationships/hyperlink" Target="https://www.linkedin.com/in/vaibhav98/" TargetMode="External"/><Relationship Id="rId1650" Type="http://schemas.openxmlformats.org/officeDocument/2006/relationships/hyperlink" Target="https://www.linkedin.com/in/kunalmehta85/?originalSubdomain=in" TargetMode="External"/><Relationship Id="rId1651" Type="http://schemas.openxmlformats.org/officeDocument/2006/relationships/hyperlink" Target="https://www.linkedin.com/in/cagaganaggarwal/?originalSubdomain=in" TargetMode="External"/><Relationship Id="rId1652" Type="http://schemas.openxmlformats.org/officeDocument/2006/relationships/hyperlink" Target="https://www.linkedin.com/in/caravisharma/?originalSubdomain=in" TargetMode="External"/><Relationship Id="rId1642" Type="http://schemas.openxmlformats.org/officeDocument/2006/relationships/hyperlink" Target="https://www.linkedin.com/in/shiv-walia-886790a0/?originalSubdomain=in" TargetMode="External"/><Relationship Id="rId1643" Type="http://schemas.openxmlformats.org/officeDocument/2006/relationships/hyperlink" Target="https://www.linkedin.com/in/bharat-goenka-270b7b12/?originalSubdomain=in" TargetMode="External"/><Relationship Id="rId1644" Type="http://schemas.openxmlformats.org/officeDocument/2006/relationships/hyperlink" Target="https://www.linkedin.com/in/gopal-mahadevan-170a6b/?originalSubdomain=in" TargetMode="External"/><Relationship Id="rId1645" Type="http://schemas.openxmlformats.org/officeDocument/2006/relationships/hyperlink" Target="https://www.linkedin.com/in/rajneesh-narang-94383b125/?originalSubdomain=in" TargetMode="External"/><Relationship Id="rId1646" Type="http://schemas.openxmlformats.org/officeDocument/2006/relationships/hyperlink" Target="https://www.linkedin.com/in/priyanka-seth-wadhera-0a70582/?originalSubdomain=in" TargetMode="External"/><Relationship Id="rId1647" Type="http://schemas.openxmlformats.org/officeDocument/2006/relationships/hyperlink" Target="https://www.linkedin.com/in/mukunda-barrsagade-160a80b/" TargetMode="External"/><Relationship Id="rId1648" Type="http://schemas.openxmlformats.org/officeDocument/2006/relationships/hyperlink" Target="https://www.linkedin.com/in/deepak-goswami-12465214/?originalSubdomain=in" TargetMode="External"/><Relationship Id="rId1649" Type="http://schemas.openxmlformats.org/officeDocument/2006/relationships/hyperlink" Target="https://www.linkedin.com/in/ritesh-jain-0b52425/?originalSubdomain=in" TargetMode="External"/><Relationship Id="rId819" Type="http://schemas.openxmlformats.org/officeDocument/2006/relationships/hyperlink" Target="https://www.linkedin.com/in/ashwin-sekar-5bb3186/" TargetMode="External"/><Relationship Id="rId818" Type="http://schemas.openxmlformats.org/officeDocument/2006/relationships/hyperlink" Target="https://www.linkedin.com/in/malav42/" TargetMode="External"/><Relationship Id="rId817" Type="http://schemas.openxmlformats.org/officeDocument/2006/relationships/hyperlink" Target="https://www.linkedin.com/in/prakash-gorjilla-15081123/" TargetMode="External"/><Relationship Id="rId816" Type="http://schemas.openxmlformats.org/officeDocument/2006/relationships/hyperlink" Target="https://www.linkedin.com/in/ankitagarwal703/" TargetMode="External"/><Relationship Id="rId811" Type="http://schemas.openxmlformats.org/officeDocument/2006/relationships/hyperlink" Target="https://www.linkedin.com/in/rohankhara/" TargetMode="External"/><Relationship Id="rId810" Type="http://schemas.openxmlformats.org/officeDocument/2006/relationships/hyperlink" Target="https://www.linkedin.com/in/deepeshdhakad/" TargetMode="External"/><Relationship Id="rId815" Type="http://schemas.openxmlformats.org/officeDocument/2006/relationships/hyperlink" Target="https://www.linkedin.com/in/ajitnarayanan/" TargetMode="External"/><Relationship Id="rId814" Type="http://schemas.openxmlformats.org/officeDocument/2006/relationships/hyperlink" Target="https://www.linkedin.com/in/karan-kumar-68084211/" TargetMode="External"/><Relationship Id="rId813" Type="http://schemas.openxmlformats.org/officeDocument/2006/relationships/hyperlink" Target="https://www.linkedin.com/in/mdideepak/" TargetMode="External"/><Relationship Id="rId812" Type="http://schemas.openxmlformats.org/officeDocument/2006/relationships/hyperlink" Target="https://www.linkedin.com/in/priyanka-arora-a532711a2/" TargetMode="External"/><Relationship Id="rId1640" Type="http://schemas.openxmlformats.org/officeDocument/2006/relationships/hyperlink" Target="https://www.linkedin.com/in/anat-a-a334433/" TargetMode="External"/><Relationship Id="rId1641" Type="http://schemas.openxmlformats.org/officeDocument/2006/relationships/hyperlink" Target="https://www.linkedin.com/in/pavan-kumar-jain-2a15b714/?originalSubdomain=in" TargetMode="External"/><Relationship Id="rId1675" Type="http://schemas.openxmlformats.org/officeDocument/2006/relationships/hyperlink" Target="https://www.linkedin.com/in/cmendi/?originalSubdomain=in" TargetMode="External"/><Relationship Id="rId1676" Type="http://schemas.openxmlformats.org/officeDocument/2006/relationships/hyperlink" Target="https://www.linkedin.com/in/vivekchaturvedi17/?originalSubdomain=in" TargetMode="External"/><Relationship Id="rId1677" Type="http://schemas.openxmlformats.org/officeDocument/2006/relationships/hyperlink" Target="https://www.linkedin.com/in/ashish-mishra-mktgathsbc/?originalSubdomain=in" TargetMode="External"/><Relationship Id="rId1678" Type="http://schemas.openxmlformats.org/officeDocument/2006/relationships/hyperlink" Target="https://www.linkedin.com/in/rahul-teotia-48520413/?originalSubdomain=in" TargetMode="External"/><Relationship Id="rId1679" Type="http://schemas.openxmlformats.org/officeDocument/2006/relationships/hyperlink" Target="https://www.linkedin.com/in/sumeet-singh-99bb103/?originalSubdomain=in" TargetMode="External"/><Relationship Id="rId849" Type="http://schemas.openxmlformats.org/officeDocument/2006/relationships/hyperlink" Target="https://www.linkedin.com/in/anirbandas5/" TargetMode="External"/><Relationship Id="rId844" Type="http://schemas.openxmlformats.org/officeDocument/2006/relationships/hyperlink" Target="https://www.linkedin.com/in/sangeeth-aloysius-484916a/" TargetMode="External"/><Relationship Id="rId843" Type="http://schemas.openxmlformats.org/officeDocument/2006/relationships/hyperlink" Target="https://www.linkedin.com/in/tanmaydesai89/" TargetMode="External"/><Relationship Id="rId842" Type="http://schemas.openxmlformats.org/officeDocument/2006/relationships/hyperlink" Target="https://www.linkedin.com/in/amitabhgautam/" TargetMode="External"/><Relationship Id="rId841" Type="http://schemas.openxmlformats.org/officeDocument/2006/relationships/hyperlink" Target="https://www.linkedin.com/in/rahulshetty/" TargetMode="External"/><Relationship Id="rId848" Type="http://schemas.openxmlformats.org/officeDocument/2006/relationships/hyperlink" Target="https://www.linkedin.com/in/rajatshikhar/" TargetMode="External"/><Relationship Id="rId847" Type="http://schemas.openxmlformats.org/officeDocument/2006/relationships/hyperlink" Target="https://www.linkedin.com/in/bhanu-prakash-44649521/" TargetMode="External"/><Relationship Id="rId846" Type="http://schemas.openxmlformats.org/officeDocument/2006/relationships/hyperlink" Target="https://www.linkedin.com/in/alanfraneo/" TargetMode="External"/><Relationship Id="rId845" Type="http://schemas.openxmlformats.org/officeDocument/2006/relationships/hyperlink" Target="https://www.linkedin.com/in/pallak-bareja-628a551b3/" TargetMode="External"/><Relationship Id="rId1670" Type="http://schemas.openxmlformats.org/officeDocument/2006/relationships/hyperlink" Target="https://www.linkedin.com/in/5prashantv/?originalSubdomain=in" TargetMode="External"/><Relationship Id="rId840" Type="http://schemas.openxmlformats.org/officeDocument/2006/relationships/hyperlink" Target="https://www.linkedin.com/in/dipen-ruparelia-ca-cfa-58a5724b/" TargetMode="External"/><Relationship Id="rId1671" Type="http://schemas.openxmlformats.org/officeDocument/2006/relationships/hyperlink" Target="https://www.linkedin.com/in/doshiamitk/?originalSubdomain=in" TargetMode="External"/><Relationship Id="rId1672" Type="http://schemas.openxmlformats.org/officeDocument/2006/relationships/hyperlink" Target="https://www.linkedin.com/in/sidharths/" TargetMode="External"/><Relationship Id="rId1673" Type="http://schemas.openxmlformats.org/officeDocument/2006/relationships/hyperlink" Target="https://www.linkedin.com/in/shweta-sivasankaran-3a03315b/overlay/contact-info/?lipi=urn%3Ali%3Apage%3Ad_flagship3_profile_view_base%3BELglE6XHRuSd1iOV0sf7DA%3D%3D" TargetMode="External"/><Relationship Id="rId1674" Type="http://schemas.openxmlformats.org/officeDocument/2006/relationships/hyperlink" Target="https://www.linkedin.com/in/satishsharmafromunyscape/?originalSubdomain=in" TargetMode="External"/><Relationship Id="rId1664" Type="http://schemas.openxmlformats.org/officeDocument/2006/relationships/hyperlink" Target="https://www.linkedin.com/in/v-p-nandakumar/?originalSubdomain=in" TargetMode="External"/><Relationship Id="rId1665" Type="http://schemas.openxmlformats.org/officeDocument/2006/relationships/hyperlink" Target="https://www.linkedin.com/in/sangramjit-sarangi-0b762462/?originalSubdomain=in" TargetMode="External"/><Relationship Id="rId1666" Type="http://schemas.openxmlformats.org/officeDocument/2006/relationships/hyperlink" Target="http://linkedin.com/in/pratikshetty/?originalSubdomain=in" TargetMode="External"/><Relationship Id="rId1667" Type="http://schemas.openxmlformats.org/officeDocument/2006/relationships/hyperlink" Target="https://www.linkedin.com/in/abhishekshettyisb/?originalSubdomain=in" TargetMode="External"/><Relationship Id="rId1668" Type="http://schemas.openxmlformats.org/officeDocument/2006/relationships/hyperlink" Target="https://www.linkedin.com/in/sahibjeet-singh-sawhney/?originalSubdomain=in" TargetMode="External"/><Relationship Id="rId1669" Type="http://schemas.openxmlformats.org/officeDocument/2006/relationships/hyperlink" Target="https://www.linkedin.com/in/vikrantmudaliar/?originalSubdomain=in" TargetMode="External"/><Relationship Id="rId839" Type="http://schemas.openxmlformats.org/officeDocument/2006/relationships/hyperlink" Target="http://linkedin.com/in/prathamesh-r/" TargetMode="External"/><Relationship Id="rId838" Type="http://schemas.openxmlformats.org/officeDocument/2006/relationships/hyperlink" Target="https://www.linkedin.com/in/ashir-madaan-b271a213/" TargetMode="External"/><Relationship Id="rId833" Type="http://schemas.openxmlformats.org/officeDocument/2006/relationships/hyperlink" Target="https://www.linkedin.com/in/prashaaant/" TargetMode="External"/><Relationship Id="rId832" Type="http://schemas.openxmlformats.org/officeDocument/2006/relationships/hyperlink" Target="https://www.linkedin.com/in/vishaldalal/" TargetMode="External"/><Relationship Id="rId831" Type="http://schemas.openxmlformats.org/officeDocument/2006/relationships/hyperlink" Target="https://www.linkedin.com/in/anirudhabasak/" TargetMode="External"/><Relationship Id="rId830" Type="http://schemas.openxmlformats.org/officeDocument/2006/relationships/hyperlink" Target="https://www.linkedin.com/in/krishnendum/" TargetMode="External"/><Relationship Id="rId837" Type="http://schemas.openxmlformats.org/officeDocument/2006/relationships/hyperlink" Target="https://www.linkedin.com/in/gauravgill/" TargetMode="External"/><Relationship Id="rId836" Type="http://schemas.openxmlformats.org/officeDocument/2006/relationships/hyperlink" Target="https://www.linkedin.com/in/radhika-binani/" TargetMode="External"/><Relationship Id="rId835" Type="http://schemas.openxmlformats.org/officeDocument/2006/relationships/hyperlink" Target="https://www.linkedin.com/in/himanshunautiyal/" TargetMode="External"/><Relationship Id="rId834" Type="http://schemas.openxmlformats.org/officeDocument/2006/relationships/hyperlink" Target="https://www.linkedin.com/in/kisanpatro/" TargetMode="External"/><Relationship Id="rId1660" Type="http://schemas.openxmlformats.org/officeDocument/2006/relationships/hyperlink" Target="https://www.linkedin.com/in/sandeep-jain-80141317/" TargetMode="External"/><Relationship Id="rId1661" Type="http://schemas.openxmlformats.org/officeDocument/2006/relationships/hyperlink" Target="https://www.linkedin.com/in/sudhanshu-jain-bba59634/?originalSubdomain=in" TargetMode="External"/><Relationship Id="rId1662" Type="http://schemas.openxmlformats.org/officeDocument/2006/relationships/hyperlink" Target="https://www.linkedin.com/in/niranjan-banodkar-a8b0666/?originalSubdomain=in" TargetMode="External"/><Relationship Id="rId1663" Type="http://schemas.openxmlformats.org/officeDocument/2006/relationships/hyperlink" Target="http://linkedin.com/in/manian-kvs-6798b5/" TargetMode="External"/><Relationship Id="rId469" Type="http://schemas.openxmlformats.org/officeDocument/2006/relationships/hyperlink" Target="http://linkedin.com/in/sridharpinnapureddy" TargetMode="External"/><Relationship Id="rId468" Type="http://schemas.openxmlformats.org/officeDocument/2006/relationships/hyperlink" Target="http://linkedin.com/in/divyabhmishra" TargetMode="External"/><Relationship Id="rId467" Type="http://schemas.openxmlformats.org/officeDocument/2006/relationships/hyperlink" Target="http://linkedin.com/in/varunkhurana" TargetMode="External"/><Relationship Id="rId1290" Type="http://schemas.openxmlformats.org/officeDocument/2006/relationships/hyperlink" Target="http://linkedin.com/in/mohan-rao-8262a75" TargetMode="External"/><Relationship Id="rId1291" Type="http://schemas.openxmlformats.org/officeDocument/2006/relationships/hyperlink" Target="http://linkedin.com/in/zuzar-tinwalla-a4b9a423" TargetMode="External"/><Relationship Id="rId1292" Type="http://schemas.openxmlformats.org/officeDocument/2006/relationships/hyperlink" Target="http://linkedin.com/in/pooja-jain-08b86547" TargetMode="External"/><Relationship Id="rId462" Type="http://schemas.openxmlformats.org/officeDocument/2006/relationships/hyperlink" Target="http://linkedin.com/in/kartikey-hariyani" TargetMode="External"/><Relationship Id="rId1293" Type="http://schemas.openxmlformats.org/officeDocument/2006/relationships/hyperlink" Target="https://www.linkedin.com/in/anuj-sharma-a9360b18/" TargetMode="External"/><Relationship Id="rId461" Type="http://schemas.openxmlformats.org/officeDocument/2006/relationships/hyperlink" Target="http://linkedin.com/in/nida-hasan" TargetMode="External"/><Relationship Id="rId1294" Type="http://schemas.openxmlformats.org/officeDocument/2006/relationships/hyperlink" Target="https://www.linkedin.com/in/chitraravi/" TargetMode="External"/><Relationship Id="rId460" Type="http://schemas.openxmlformats.org/officeDocument/2006/relationships/hyperlink" Target="http://linkedin.com/in/mohit-dubey" TargetMode="External"/><Relationship Id="rId1295" Type="http://schemas.openxmlformats.org/officeDocument/2006/relationships/hyperlink" Target="https://www.linkedin.com/in/tarunkatiyar-tata/" TargetMode="External"/><Relationship Id="rId1296" Type="http://schemas.openxmlformats.org/officeDocument/2006/relationships/hyperlink" Target="https://www.linkedin.com/in/nikhilkamathcio/" TargetMode="External"/><Relationship Id="rId466" Type="http://schemas.openxmlformats.org/officeDocument/2006/relationships/hyperlink" Target="http://linkedin.com/in/rishabh-goel" TargetMode="External"/><Relationship Id="rId1297" Type="http://schemas.openxmlformats.org/officeDocument/2006/relationships/hyperlink" Target="https://www.linkedin.com/in/rishabhmariwala/" TargetMode="External"/><Relationship Id="rId465" Type="http://schemas.openxmlformats.org/officeDocument/2006/relationships/hyperlink" Target="http://linkedin.com/in/nirav-choksi" TargetMode="External"/><Relationship Id="rId1298" Type="http://schemas.openxmlformats.org/officeDocument/2006/relationships/hyperlink" Target="https://www.linkedin.com/in/gaurgopald/" TargetMode="External"/><Relationship Id="rId464" Type="http://schemas.openxmlformats.org/officeDocument/2006/relationships/hyperlink" Target="http://linkedin.com/in/amitabh-kumar" TargetMode="External"/><Relationship Id="rId1299" Type="http://schemas.openxmlformats.org/officeDocument/2006/relationships/hyperlink" Target="https://www.linkedin.com/in/ajay-yadav-solar/" TargetMode="External"/><Relationship Id="rId463" Type="http://schemas.openxmlformats.org/officeDocument/2006/relationships/hyperlink" Target="http://linkedin.com/in/rakesh-kaul" TargetMode="External"/><Relationship Id="rId459" Type="http://schemas.openxmlformats.org/officeDocument/2006/relationships/hyperlink" Target="http://linkedin.com/in/drmahipalsachdev" TargetMode="External"/><Relationship Id="rId458" Type="http://schemas.openxmlformats.org/officeDocument/2006/relationships/hyperlink" Target="http://linkedin.com/in/gautamsinha" TargetMode="External"/><Relationship Id="rId457" Type="http://schemas.openxmlformats.org/officeDocument/2006/relationships/hyperlink" Target="https://in.linkedin.com/in/sinhaakash" TargetMode="External"/><Relationship Id="rId456" Type="http://schemas.openxmlformats.org/officeDocument/2006/relationships/hyperlink" Target="https://nl.linkedin.com/in/uthamks" TargetMode="External"/><Relationship Id="rId1280" Type="http://schemas.openxmlformats.org/officeDocument/2006/relationships/hyperlink" Target="http://linkedin.com/in/stmittal" TargetMode="External"/><Relationship Id="rId1281" Type="http://schemas.openxmlformats.org/officeDocument/2006/relationships/hyperlink" Target="http://linkedin.com/in/vikas-agarwal-b5528a2" TargetMode="External"/><Relationship Id="rId451" Type="http://schemas.openxmlformats.org/officeDocument/2006/relationships/hyperlink" Target="https://in.linkedin.com/in/amit-raj-06981213" TargetMode="External"/><Relationship Id="rId1282" Type="http://schemas.openxmlformats.org/officeDocument/2006/relationships/hyperlink" Target="http://linkedin.com/in/dibyendu-ghosh-97978213" TargetMode="External"/><Relationship Id="rId450" Type="http://schemas.openxmlformats.org/officeDocument/2006/relationships/hyperlink" Target="https://www.linkedin.com/in/alina-kisina-74b0478/" TargetMode="External"/><Relationship Id="rId1283" Type="http://schemas.openxmlformats.org/officeDocument/2006/relationships/hyperlink" Target="http://linkedin.com/in/kshivang" TargetMode="External"/><Relationship Id="rId1284" Type="http://schemas.openxmlformats.org/officeDocument/2006/relationships/hyperlink" Target="http://linkedin.com/in/sandeepbagarwal" TargetMode="External"/><Relationship Id="rId1285" Type="http://schemas.openxmlformats.org/officeDocument/2006/relationships/hyperlink" Target="http://linkedin.com/in/amarbura" TargetMode="External"/><Relationship Id="rId455" Type="http://schemas.openxmlformats.org/officeDocument/2006/relationships/hyperlink" Target="https://in.linkedin.com/in/hari-thalapalli-1bb45112" TargetMode="External"/><Relationship Id="rId1286" Type="http://schemas.openxmlformats.org/officeDocument/2006/relationships/hyperlink" Target="http://linkedin.com/in/nairsantosh" TargetMode="External"/><Relationship Id="rId454" Type="http://schemas.openxmlformats.org/officeDocument/2006/relationships/hyperlink" Target="https://in.linkedin.com/in/ashwin-mittal-a99b09" TargetMode="External"/><Relationship Id="rId1287" Type="http://schemas.openxmlformats.org/officeDocument/2006/relationships/hyperlink" Target="http://linkedin.com/in/lalit-aggarwal-5b08b615" TargetMode="External"/><Relationship Id="rId453" Type="http://schemas.openxmlformats.org/officeDocument/2006/relationships/hyperlink" Target="https://www.linkedin.com/in/matthew-flannery-4b6895111" TargetMode="External"/><Relationship Id="rId1288" Type="http://schemas.openxmlformats.org/officeDocument/2006/relationships/hyperlink" Target="http://linkedin.com/in/amitabhmisra" TargetMode="External"/><Relationship Id="rId452" Type="http://schemas.openxmlformats.org/officeDocument/2006/relationships/hyperlink" Target="https://in.linkedin.com/in/sunil-khurana-230787121" TargetMode="External"/><Relationship Id="rId1289" Type="http://schemas.openxmlformats.org/officeDocument/2006/relationships/hyperlink" Target="http://linkedin.com/in/ganesh-chodisetti-3765947" TargetMode="External"/><Relationship Id="rId491" Type="http://schemas.openxmlformats.org/officeDocument/2006/relationships/hyperlink" Target="http://linkedin.com/in/abhimanyumunjal" TargetMode="External"/><Relationship Id="rId490" Type="http://schemas.openxmlformats.org/officeDocument/2006/relationships/hyperlink" Target="http://linkedin.com/in/naveenmunjal" TargetMode="External"/><Relationship Id="rId489" Type="http://schemas.openxmlformats.org/officeDocument/2006/relationships/hyperlink" Target="http://linkedin.com/in/deepak-gullapalli" TargetMode="External"/><Relationship Id="rId484" Type="http://schemas.openxmlformats.org/officeDocument/2006/relationships/hyperlink" Target="http://linkedin.com/in/varun-gupta" TargetMode="External"/><Relationship Id="rId483" Type="http://schemas.openxmlformats.org/officeDocument/2006/relationships/hyperlink" Target="http://linkedin.com/in/chiragtaneja" TargetMode="External"/><Relationship Id="rId482" Type="http://schemas.openxmlformats.org/officeDocument/2006/relationships/hyperlink" Target="http://linkedin.com/in/rishivasudev" TargetMode="External"/><Relationship Id="rId481" Type="http://schemas.openxmlformats.org/officeDocument/2006/relationships/hyperlink" Target="http://linkedin.com/in/pradeep-chowdhry" TargetMode="External"/><Relationship Id="rId488" Type="http://schemas.openxmlformats.org/officeDocument/2006/relationships/hyperlink" Target="http://linkedin.com/in/viveksrivastava" TargetMode="External"/><Relationship Id="rId487" Type="http://schemas.openxmlformats.org/officeDocument/2006/relationships/hyperlink" Target="http://linkedin.com/in/boris-zha" TargetMode="External"/><Relationship Id="rId486" Type="http://schemas.openxmlformats.org/officeDocument/2006/relationships/hyperlink" Target="http://linkedin.com/in/vikas-nahar" TargetMode="External"/><Relationship Id="rId485" Type="http://schemas.openxmlformats.org/officeDocument/2006/relationships/hyperlink" Target="http://linkedin.com/in/vivek-ravisankar" TargetMode="External"/><Relationship Id="rId480" Type="http://schemas.openxmlformats.org/officeDocument/2006/relationships/hyperlink" Target="http://linkedin.com/in/ajithkarimpana" TargetMode="External"/><Relationship Id="rId479" Type="http://schemas.openxmlformats.org/officeDocument/2006/relationships/hyperlink" Target="http://linkedin.com/in/nagarajmylandla" TargetMode="External"/><Relationship Id="rId478" Type="http://schemas.openxmlformats.org/officeDocument/2006/relationships/hyperlink" Target="http://linkedin.com/in/swapnil-shah" TargetMode="External"/><Relationship Id="rId473" Type="http://schemas.openxmlformats.org/officeDocument/2006/relationships/hyperlink" Target="http://linkedin.com/in/shailaz-nag" TargetMode="External"/><Relationship Id="rId472" Type="http://schemas.openxmlformats.org/officeDocument/2006/relationships/hyperlink" Target="http://linkedin.com/in/harshitjainmd" TargetMode="External"/><Relationship Id="rId471" Type="http://schemas.openxmlformats.org/officeDocument/2006/relationships/hyperlink" Target="http://linkedin.com/in/subramanianviswanathan" TargetMode="External"/><Relationship Id="rId470" Type="http://schemas.openxmlformats.org/officeDocument/2006/relationships/hyperlink" Target="http://linkedin.com/in/shashank-kumar-dehaat" TargetMode="External"/><Relationship Id="rId477" Type="http://schemas.openxmlformats.org/officeDocument/2006/relationships/hyperlink" Target="http://linkedin.com/in/pawan-gupta" TargetMode="External"/><Relationship Id="rId476" Type="http://schemas.openxmlformats.org/officeDocument/2006/relationships/hyperlink" Target="http://linkedin.com/in/siddharth-ladsariya" TargetMode="External"/><Relationship Id="rId475" Type="http://schemas.openxmlformats.org/officeDocument/2006/relationships/hyperlink" Target="http://linkedin.com/in/sauravkumar" TargetMode="External"/><Relationship Id="rId474" Type="http://schemas.openxmlformats.org/officeDocument/2006/relationships/hyperlink" Target="http://linkedin.com/in/lvlnmurty" TargetMode="External"/><Relationship Id="rId1257" Type="http://schemas.openxmlformats.org/officeDocument/2006/relationships/hyperlink" Target="http://linkedin.com/in/sandeepjethwani" TargetMode="External"/><Relationship Id="rId1258" Type="http://schemas.openxmlformats.org/officeDocument/2006/relationships/hyperlink" Target="http://linkedin.com/in/abhishek-chakraborty-2194b1a" TargetMode="External"/><Relationship Id="rId1259" Type="http://schemas.openxmlformats.org/officeDocument/2006/relationships/hyperlink" Target="http://linkedin.com/in/mazenrawashdeh" TargetMode="External"/><Relationship Id="rId426" Type="http://schemas.openxmlformats.org/officeDocument/2006/relationships/hyperlink" Target="https://www.linkedin.com/in/kunalbahl?originalSubdomain=in" TargetMode="External"/><Relationship Id="rId425" Type="http://schemas.openxmlformats.org/officeDocument/2006/relationships/hyperlink" Target="https://www.linkedin.com/in/drkishorekumar/?originalSubdomain=in" TargetMode="External"/><Relationship Id="rId424" Type="http://schemas.openxmlformats.org/officeDocument/2006/relationships/hyperlink" Target="https://www.linkedin.com/in/yadavrajeev/?originalSubdomain=in" TargetMode="External"/><Relationship Id="rId423" Type="http://schemas.openxmlformats.org/officeDocument/2006/relationships/hyperlink" Target="https://www.linkedin.com/in/pkkhaitan/?originalSubdomain=in" TargetMode="External"/><Relationship Id="rId429" Type="http://schemas.openxmlformats.org/officeDocument/2006/relationships/hyperlink" Target="https://www.linkedin.com/in/srinath-ravichandran-09679a7/?originalSubdomain=in" TargetMode="External"/><Relationship Id="rId428" Type="http://schemas.openxmlformats.org/officeDocument/2006/relationships/hyperlink" Target="https://www.linkedin.com/in/ravisubramanian1/?originalSubdomain=in" TargetMode="External"/><Relationship Id="rId427" Type="http://schemas.openxmlformats.org/officeDocument/2006/relationships/hyperlink" Target="https://www.linkedin.com/in/chirag-shah-41303024?originalSubdomain=in" TargetMode="External"/><Relationship Id="rId1250" Type="http://schemas.openxmlformats.org/officeDocument/2006/relationships/hyperlink" Target="http://linkedin.com/in/shashankajha" TargetMode="External"/><Relationship Id="rId1251" Type="http://schemas.openxmlformats.org/officeDocument/2006/relationships/hyperlink" Target="http://linkedin.com/in/aravilli" TargetMode="External"/><Relationship Id="rId1252" Type="http://schemas.openxmlformats.org/officeDocument/2006/relationships/hyperlink" Target="http://linkedin.com/in/akash-jain-7421837" TargetMode="External"/><Relationship Id="rId422" Type="http://schemas.openxmlformats.org/officeDocument/2006/relationships/hyperlink" Target="https://www.linkedin.com/in/sachaturvedi/" TargetMode="External"/><Relationship Id="rId1253" Type="http://schemas.openxmlformats.org/officeDocument/2006/relationships/hyperlink" Target="http://linkedin.com/in/srray" TargetMode="External"/><Relationship Id="rId421" Type="http://schemas.openxmlformats.org/officeDocument/2006/relationships/hyperlink" Target="https://www.linkedin.com/in/thevineetmittal/?originalSubdomain=in" TargetMode="External"/><Relationship Id="rId1254" Type="http://schemas.openxmlformats.org/officeDocument/2006/relationships/hyperlink" Target="http://linkedin.com/in/guptaga" TargetMode="External"/><Relationship Id="rId420" Type="http://schemas.openxmlformats.org/officeDocument/2006/relationships/hyperlink" Target="https://www.linkedin.com/in/harshvardhan-lunia-1189887/?originalSubdomain=in" TargetMode="External"/><Relationship Id="rId1255" Type="http://schemas.openxmlformats.org/officeDocument/2006/relationships/hyperlink" Target="http://linkedin.com/in/kamalkanth" TargetMode="External"/><Relationship Id="rId1256" Type="http://schemas.openxmlformats.org/officeDocument/2006/relationships/hyperlink" Target="http://linkedin.com/in/praveen-ojha-30b0019" TargetMode="External"/><Relationship Id="rId1246" Type="http://schemas.openxmlformats.org/officeDocument/2006/relationships/hyperlink" Target="http://linkedin.com/in/paragsatpute" TargetMode="External"/><Relationship Id="rId1247" Type="http://schemas.openxmlformats.org/officeDocument/2006/relationships/hyperlink" Target="http://linkedin.com/in/jkvip" TargetMode="External"/><Relationship Id="rId1248" Type="http://schemas.openxmlformats.org/officeDocument/2006/relationships/hyperlink" Target="http://linkedin.com/in/ajitav-sinha-frm-scr-4877633b" TargetMode="External"/><Relationship Id="rId1249" Type="http://schemas.openxmlformats.org/officeDocument/2006/relationships/hyperlink" Target="http://linkedin.com/in/shreepads" TargetMode="External"/><Relationship Id="rId415" Type="http://schemas.openxmlformats.org/officeDocument/2006/relationships/hyperlink" Target="https://www.linkedin.com/in/dharmilsheth/?originalSubdomain=in" TargetMode="External"/><Relationship Id="rId899" Type="http://schemas.openxmlformats.org/officeDocument/2006/relationships/hyperlink" Target="https://www.linkedin.com/in/anjan-umamaheswaran-b-76b871124/" TargetMode="External"/><Relationship Id="rId414" Type="http://schemas.openxmlformats.org/officeDocument/2006/relationships/hyperlink" Target="https://www.linkedin.com/in/karthik-jayaraman-87924a1/?originalSubdomain=in" TargetMode="External"/><Relationship Id="rId898" Type="http://schemas.openxmlformats.org/officeDocument/2006/relationships/hyperlink" Target="https://www.linkedin.com/in/jayashree-a-18825148/" TargetMode="External"/><Relationship Id="rId413" Type="http://schemas.openxmlformats.org/officeDocument/2006/relationships/hyperlink" Target="https://www.linkedin.com/in/voiceaiagent/" TargetMode="External"/><Relationship Id="rId897" Type="http://schemas.openxmlformats.org/officeDocument/2006/relationships/hyperlink" Target="https://www.linkedin.com/in/mantrarajnaik/" TargetMode="External"/><Relationship Id="rId412" Type="http://schemas.openxmlformats.org/officeDocument/2006/relationships/hyperlink" Target="http://observe.ai" TargetMode="External"/><Relationship Id="rId896" Type="http://schemas.openxmlformats.org/officeDocument/2006/relationships/hyperlink" Target="https://www.linkedin.com/in/aruna-dey/" TargetMode="External"/><Relationship Id="rId419" Type="http://schemas.openxmlformats.org/officeDocument/2006/relationships/hyperlink" Target="http://linkedin.com/in/shivashish-chatterjee-51a6a57/?originalSubdomain=in" TargetMode="External"/><Relationship Id="rId418" Type="http://schemas.openxmlformats.org/officeDocument/2006/relationships/hyperlink" Target="https://www.linkedin.com/in/jaydeepbarman/?originalSubdomain=in" TargetMode="External"/><Relationship Id="rId417" Type="http://schemas.openxmlformats.org/officeDocument/2006/relationships/hyperlink" Target="https://www.linkedin.com/in/sameer-maheshwari-7a8a78/?originalSubdomain=in" TargetMode="External"/><Relationship Id="rId416" Type="http://schemas.openxmlformats.org/officeDocument/2006/relationships/hyperlink" Target="https://www.linkedin.com/in/sunil-tom/" TargetMode="External"/><Relationship Id="rId891" Type="http://schemas.openxmlformats.org/officeDocument/2006/relationships/hyperlink" Target="https://www.linkedin.com/in/akshit-middha-511876225/" TargetMode="External"/><Relationship Id="rId890" Type="http://schemas.openxmlformats.org/officeDocument/2006/relationships/hyperlink" Target="http://reverse.in" TargetMode="External"/><Relationship Id="rId1240" Type="http://schemas.openxmlformats.org/officeDocument/2006/relationships/hyperlink" Target="http://linkedin.com/in/uditmalhotra" TargetMode="External"/><Relationship Id="rId1241" Type="http://schemas.openxmlformats.org/officeDocument/2006/relationships/hyperlink" Target="http://linkedin.com/in/sivavisakan" TargetMode="External"/><Relationship Id="rId411" Type="http://schemas.openxmlformats.org/officeDocument/2006/relationships/hyperlink" Target="https://www.linkedin.com/in/madhusudane/?originalSubdomain=in" TargetMode="External"/><Relationship Id="rId895" Type="http://schemas.openxmlformats.org/officeDocument/2006/relationships/hyperlink" Target="https://www.linkedin.com/in/karty/" TargetMode="External"/><Relationship Id="rId1242" Type="http://schemas.openxmlformats.org/officeDocument/2006/relationships/hyperlink" Target="http://linkedin.com/in/aditya-khemka-58511926b" TargetMode="External"/><Relationship Id="rId410" Type="http://schemas.openxmlformats.org/officeDocument/2006/relationships/hyperlink" Target="https://www.linkedin.com/in/sunildhingra/?originalSubdomain=in" TargetMode="External"/><Relationship Id="rId894" Type="http://schemas.openxmlformats.org/officeDocument/2006/relationships/hyperlink" Target="https://www.linkedin.com/in/prithvi-raj-tejavath-70586b/" TargetMode="External"/><Relationship Id="rId1243" Type="http://schemas.openxmlformats.org/officeDocument/2006/relationships/hyperlink" Target="http://linkedin.com/in/ranganath-sadasiva" TargetMode="External"/><Relationship Id="rId893" Type="http://schemas.openxmlformats.org/officeDocument/2006/relationships/hyperlink" Target="https://www.linkedin.com/in/rpsy/" TargetMode="External"/><Relationship Id="rId1244" Type="http://schemas.openxmlformats.org/officeDocument/2006/relationships/hyperlink" Target="http://linkedin.com/in/dipankar-ganguly-a2666b4" TargetMode="External"/><Relationship Id="rId892" Type="http://schemas.openxmlformats.org/officeDocument/2006/relationships/hyperlink" Target="https://www.linkedin.com/in/a-niche/" TargetMode="External"/><Relationship Id="rId1245" Type="http://schemas.openxmlformats.org/officeDocument/2006/relationships/hyperlink" Target="http://linkedin.com/in/tanmay-prusty-0ba8ba2" TargetMode="External"/><Relationship Id="rId1279" Type="http://schemas.openxmlformats.org/officeDocument/2006/relationships/hyperlink" Target="http://linkedin.com/in/anujain" TargetMode="External"/><Relationship Id="rId448" Type="http://schemas.openxmlformats.org/officeDocument/2006/relationships/hyperlink" Target="https://in.linkedin.com/in/ajain6" TargetMode="External"/><Relationship Id="rId447" Type="http://schemas.openxmlformats.org/officeDocument/2006/relationships/hyperlink" Target="https://in.linkedin.com/in/jitendra-hegde-731246172" TargetMode="External"/><Relationship Id="rId446" Type="http://schemas.openxmlformats.org/officeDocument/2006/relationships/hyperlink" Target="https://in.linkedin.com/in/siddharth-vij-ab4abb7a" TargetMode="External"/><Relationship Id="rId445" Type="http://schemas.openxmlformats.org/officeDocument/2006/relationships/hyperlink" Target="https://www.linkedin.com/in/kapilmathrani/" TargetMode="External"/><Relationship Id="rId449" Type="http://schemas.openxmlformats.org/officeDocument/2006/relationships/hyperlink" Target="https://in.linkedin.com/in/mchitharanjan" TargetMode="External"/><Relationship Id="rId1270" Type="http://schemas.openxmlformats.org/officeDocument/2006/relationships/hyperlink" Target="http://linkedin.com/in/varunvummadi" TargetMode="External"/><Relationship Id="rId440" Type="http://schemas.openxmlformats.org/officeDocument/2006/relationships/hyperlink" Target="https://www.linkedin.com/posts/bandhanbank_shri-chandra-shekhar-ghosh-md-ceo-bandhan-activity-6981133832699699200-PxIn" TargetMode="External"/><Relationship Id="rId1271" Type="http://schemas.openxmlformats.org/officeDocument/2006/relationships/hyperlink" Target="http://linkedin.com/in/jain-arvind" TargetMode="External"/><Relationship Id="rId1272" Type="http://schemas.openxmlformats.org/officeDocument/2006/relationships/hyperlink" Target="http://linkedin.com/in/ankit-gupta-0557355" TargetMode="External"/><Relationship Id="rId1273" Type="http://schemas.openxmlformats.org/officeDocument/2006/relationships/hyperlink" Target="http://baserock.ai" TargetMode="External"/><Relationship Id="rId1274" Type="http://schemas.openxmlformats.org/officeDocument/2006/relationships/hyperlink" Target="http://linkedin.com/in/rishi-singh-harness" TargetMode="External"/><Relationship Id="rId444" Type="http://schemas.openxmlformats.org/officeDocument/2006/relationships/hyperlink" Target="https://in.linkedin.com/in/meena-bindra-521ab69b" TargetMode="External"/><Relationship Id="rId1275" Type="http://schemas.openxmlformats.org/officeDocument/2006/relationships/hyperlink" Target="http://linkedin.com/in/arvind-heda-3514684" TargetMode="External"/><Relationship Id="rId443" Type="http://schemas.openxmlformats.org/officeDocument/2006/relationships/hyperlink" Target="https://in.linkedin.com/in/hirenshah3" TargetMode="External"/><Relationship Id="rId1276" Type="http://schemas.openxmlformats.org/officeDocument/2006/relationships/hyperlink" Target="http://linkedin.com/in/sivakumars1" TargetMode="External"/><Relationship Id="rId442" Type="http://schemas.openxmlformats.org/officeDocument/2006/relationships/hyperlink" Target="https://in.linkedin.com/in/aakashanand" TargetMode="External"/><Relationship Id="rId1277" Type="http://schemas.openxmlformats.org/officeDocument/2006/relationships/hyperlink" Target="http://linkedin.com/in/shreyassen" TargetMode="External"/><Relationship Id="rId441" Type="http://schemas.openxmlformats.org/officeDocument/2006/relationships/hyperlink" Target="https://in.linkedin.com/in/gautam-c-3009a710" TargetMode="External"/><Relationship Id="rId1278" Type="http://schemas.openxmlformats.org/officeDocument/2006/relationships/hyperlink" Target="http://linkedin.com/in/sanjugopi" TargetMode="External"/><Relationship Id="rId1268" Type="http://schemas.openxmlformats.org/officeDocument/2006/relationships/hyperlink" Target="http://linkedin.com/in/vivek-mahajan-17b345b1" TargetMode="External"/><Relationship Id="rId1269" Type="http://schemas.openxmlformats.org/officeDocument/2006/relationships/hyperlink" Target="http://linkedin.com/in/alok-nanda-b425566" TargetMode="External"/><Relationship Id="rId437" Type="http://schemas.openxmlformats.org/officeDocument/2006/relationships/hyperlink" Target="https://in.linkedin.com/in/gupta-rahul" TargetMode="External"/><Relationship Id="rId436" Type="http://schemas.openxmlformats.org/officeDocument/2006/relationships/hyperlink" Target="https://www.crunchbase.com/person/khushnud-khan" TargetMode="External"/><Relationship Id="rId435" Type="http://schemas.openxmlformats.org/officeDocument/2006/relationships/hyperlink" Target="https://in.linkedin.com/in/prasanna-rao-a402ab44" TargetMode="External"/><Relationship Id="rId434" Type="http://schemas.openxmlformats.org/officeDocument/2006/relationships/hyperlink" Target="http://arya.ag" TargetMode="External"/><Relationship Id="rId439" Type="http://schemas.openxmlformats.org/officeDocument/2006/relationships/hyperlink" Target="https://in.linkedin.com/in/villoo-morawala-patell-101720" TargetMode="External"/><Relationship Id="rId438" Type="http://schemas.openxmlformats.org/officeDocument/2006/relationships/hyperlink" Target="https://www.linkedin.com/in/sravanth/" TargetMode="External"/><Relationship Id="rId1260" Type="http://schemas.openxmlformats.org/officeDocument/2006/relationships/hyperlink" Target="http://linkedin.com/in/amitjain-in" TargetMode="External"/><Relationship Id="rId1261" Type="http://schemas.openxmlformats.org/officeDocument/2006/relationships/hyperlink" Target="http://linkedin.com/in/phaneesh-gururaj-70437b1" TargetMode="External"/><Relationship Id="rId1262" Type="http://schemas.openxmlformats.org/officeDocument/2006/relationships/hyperlink" Target="http://linkedin.com/in/vijaykumar1" TargetMode="External"/><Relationship Id="rId1263" Type="http://schemas.openxmlformats.org/officeDocument/2006/relationships/hyperlink" Target="http://linkedin.com/in/lalitsverma" TargetMode="External"/><Relationship Id="rId433" Type="http://schemas.openxmlformats.org/officeDocument/2006/relationships/hyperlink" Target="https://www.linkedin.com/in/abhisheknayak" TargetMode="External"/><Relationship Id="rId1264" Type="http://schemas.openxmlformats.org/officeDocument/2006/relationships/hyperlink" Target="http://linkedin.com/in/vipulethos" TargetMode="External"/><Relationship Id="rId432" Type="http://schemas.openxmlformats.org/officeDocument/2006/relationships/hyperlink" Target="https://www.linkedin.com/in/paddy-padmanabhan-4619103/?originalSubdomain=in" TargetMode="External"/><Relationship Id="rId1265" Type="http://schemas.openxmlformats.org/officeDocument/2006/relationships/hyperlink" Target="http://linkedin.com/in/baljinder-singh-6a334239" TargetMode="External"/><Relationship Id="rId431" Type="http://schemas.openxmlformats.org/officeDocument/2006/relationships/hyperlink" Target="https://www.linkedin.com/in/shrutipy/?originalSubdomain=in" TargetMode="External"/><Relationship Id="rId1266" Type="http://schemas.openxmlformats.org/officeDocument/2006/relationships/hyperlink" Target="http://linkedin.com/in/suchismitasanyal" TargetMode="External"/><Relationship Id="rId430" Type="http://schemas.openxmlformats.org/officeDocument/2006/relationships/hyperlink" Target="https://www.linkedin.com/in/lalit-ahuja-298139171/?originalSubdomain=in" TargetMode="External"/><Relationship Id="rId1267" Type="http://schemas.openxmlformats.org/officeDocument/2006/relationships/hyperlink" Target="http://linkedin.com/in/shashidhar-ramakrishnaiah-702733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deepeshdhakad/" TargetMode="External"/><Relationship Id="rId2" Type="http://schemas.openxmlformats.org/officeDocument/2006/relationships/hyperlink" Target="https://www.signalhire.com/search/companies" TargetMode="External"/><Relationship Id="rId3" Type="http://schemas.openxmlformats.org/officeDocument/2006/relationships/hyperlink" Target="https://www.linkedin.com/in/garimellapavanteja/" TargetMode="External"/><Relationship Id="rId4" Type="http://schemas.openxmlformats.org/officeDocument/2006/relationships/hyperlink" Target="https://www.linkedin.com/in/mdideepak/" TargetMode="External"/><Relationship Id="rId9" Type="http://schemas.openxmlformats.org/officeDocument/2006/relationships/hyperlink" Target="https://www.linkedin.com/in/bkrishnachaitanyafintech/overlay/about-this-profile/" TargetMode="External"/><Relationship Id="rId5" Type="http://schemas.openxmlformats.org/officeDocument/2006/relationships/hyperlink" Target="https://www.linkedin.com/in/aditiagr/" TargetMode="External"/><Relationship Id="rId6" Type="http://schemas.openxmlformats.org/officeDocument/2006/relationships/hyperlink" Target="https://www.linkedin.com/in/suchitmajumdar/" TargetMode="External"/><Relationship Id="rId7" Type="http://schemas.openxmlformats.org/officeDocument/2006/relationships/hyperlink" Target="https://www.linkedin.com/in/alanfraneo/overlay/about-this-profile/" TargetMode="External"/><Relationship Id="rId8" Type="http://schemas.openxmlformats.org/officeDocument/2006/relationships/hyperlink" Target="https://www.linkedin.com/in/alanfraneo/" TargetMode="External"/><Relationship Id="rId40" Type="http://schemas.openxmlformats.org/officeDocument/2006/relationships/hyperlink" Target="https://www.linkedin.com/in/roshan-khatri-185b7375/" TargetMode="External"/><Relationship Id="rId42" Type="http://schemas.openxmlformats.org/officeDocument/2006/relationships/hyperlink" Target="https://www.linkedin.com/in/gosinha/" TargetMode="External"/><Relationship Id="rId41" Type="http://schemas.openxmlformats.org/officeDocument/2006/relationships/hyperlink" Target="https://www.linkedin.com/in/gosinha/" TargetMode="External"/><Relationship Id="rId44" Type="http://schemas.openxmlformats.org/officeDocument/2006/relationships/hyperlink" Target="https://www.linkedin.com/in/vinay-juluri-24b02555/?originalSubdomain=in" TargetMode="External"/><Relationship Id="rId43" Type="http://schemas.openxmlformats.org/officeDocument/2006/relationships/hyperlink" Target="https://www.linkedin.com/in/mayank1180/?originalSubdomain=in" TargetMode="External"/><Relationship Id="rId46" Type="http://schemas.openxmlformats.org/officeDocument/2006/relationships/hyperlink" Target="https://www.linkedin.com/in/vineetsing/" TargetMode="External"/><Relationship Id="rId45" Type="http://schemas.openxmlformats.org/officeDocument/2006/relationships/hyperlink" Target="https://www.linkedin.com/in/abhinavpjain/?originalSubdomain=in" TargetMode="External"/><Relationship Id="rId48" Type="http://schemas.openxmlformats.org/officeDocument/2006/relationships/hyperlink" Target="https://www.linkedin.com/in/amit-kumar-marketing/?original_referer=https%3A%2F%2Fwww%2Egoogle%2Ecom%2F&amp;originalSubdomain=in" TargetMode="External"/><Relationship Id="rId47" Type="http://schemas.openxmlformats.org/officeDocument/2006/relationships/hyperlink" Target="http://linkedin.com/in/abhishek-ranjan-engg" TargetMode="External"/><Relationship Id="rId49" Type="http://schemas.openxmlformats.org/officeDocument/2006/relationships/hyperlink" Target="https://www.linkedin.com/in/neerajkumar10/?originalSubdomain=in" TargetMode="External"/><Relationship Id="rId31" Type="http://schemas.openxmlformats.org/officeDocument/2006/relationships/hyperlink" Target="https://www.linkedin.com/in/sathish-mohan-257b2a3/" TargetMode="External"/><Relationship Id="rId30" Type="http://schemas.openxmlformats.org/officeDocument/2006/relationships/hyperlink" Target="https://www.linkedin.com/in/sathish-mohan-257b2a3/" TargetMode="External"/><Relationship Id="rId33" Type="http://schemas.openxmlformats.org/officeDocument/2006/relationships/hyperlink" Target="https://www.linkedin.com/in/thiagarajan-rajagopalan/" TargetMode="External"/><Relationship Id="rId32" Type="http://schemas.openxmlformats.org/officeDocument/2006/relationships/hyperlink" Target="https://www.linkedin.com/in/tabishgilani/" TargetMode="External"/><Relationship Id="rId35" Type="http://schemas.openxmlformats.org/officeDocument/2006/relationships/hyperlink" Target="https://www.google.com/search?q=Japan+Doshi&amp;client=opera-gx&amp;sca_esv=e0aabfe7adf79f39&amp;biw=1494&amp;bih=802&amp;sxsrf=AE3TifMIjb4SgIx_g3nDMGOijRFAKAKPWQ%3A1764659496980&amp;ei=KJEuadW5O8W9seMPntXy4Ac&amp;ved=2ahUKEwjn4uffrZ6RAxVr1jgGHcgKFOgQgK4QegQIARAC&amp;uact=5&amp;oq=Rupeek+product+head&amp;gs_lp=Egxnd3Mtd2l6LXNlcnAiE1J1cGVlayBwcm9kdWN0IGhlYWQyCBAAGIAEGKIEMgUQABjvBTIIEAAYgAQYogQyBRAAGO8FMggQABiABBiiBEijDFDnBViuCXACeAGQAQCYAe4BoAGlA6oBBTAuMS4xuAEDyAEA-AEC-AEBmAIEoAKwA8ICChAAGLADGNYEGEfCAgoQIRigARjDBBgKmAMAiAYBkAYIkgcFMi4xLjGgB5QFsgcFMC4xLjG4B6oDwgcDMC40yAcG&amp;sclient=gws-wiz-serp&amp;mstk=AUtExfAuGDA4Zzm5ZJNgn84cwy9e3NRo8wGI65rx_rJA_6Ai5YQ36nADA9aPQWldMxnIFS3uG8MG7MymNr1L5w5_5BeYjfZrmFV-S6PFUwYNhqaqaQuhTUMqR1OhwUrZcNrin5baoYcgsktfiMd4nAf_rjnHWIUGH_Vv7PvrjSwGgsLndt4sn4Wjwao37ih3OJy8CmP8FiE25GnOyJ-E4D2hFHg9npu8Babx9G0GGWdcsrbxlWS9wnJHap54RI3l-5Pog_YDssvpipyVKZ51U1_dRUeg&amp;csui=3" TargetMode="External"/><Relationship Id="rId34" Type="http://schemas.openxmlformats.org/officeDocument/2006/relationships/hyperlink" Target="https://www.linkedin.com/in/sharmashreya/" TargetMode="External"/><Relationship Id="rId37" Type="http://schemas.openxmlformats.org/officeDocument/2006/relationships/hyperlink" Target="https://www.linkedin.com/in/japan-doshi-a432171/" TargetMode="External"/><Relationship Id="rId36" Type="http://schemas.openxmlformats.org/officeDocument/2006/relationships/hyperlink" Target="https://www.google.com/search?q=Japan+Doshi&amp;client=opera-gx&amp;sca_esv=e0aabfe7adf79f39&amp;biw=1494&amp;bih=802&amp;sxsrf=AE3TifMIjb4SgIx_g3nDMGOijRFAKAKPWQ%3A1764659496980&amp;ei=KJEuadW5O8W9seMPntXy4Ac&amp;ved=2ahUKEwjn4uffrZ6RAxVr1jgGHcgKFOgQgK4QegQIARAC&amp;uact=5&amp;oq=Rupeek+product+head&amp;gs_lp=Egxnd3Mtd2l6LXNlcnAiE1J1cGVlayBwcm9kdWN0IGhlYWQyCBAAGIAEGKIEMgUQABjvBTIIEAAYgAQYogQyBRAAGO8FMggQABiABBiiBEijDFDnBViuCXACeAGQAQCYAe4BoAGlA6oBBTAuMS4xuAEDyAEA-AEC-AEBmAIEoAKwA8ICChAAGLADGNYEGEfCAgoQIRigARjDBBgKmAMAiAYBkAYIkgcFMi4xLjGgB5QFsgcFMC4xLjG4B6oDwgcDMC40yAcG&amp;sclient=gws-wiz-serp&amp;mstk=AUtExfAuGDA4Zzm5ZJNgn84cwy9e3NRo8wGI65rx_rJA_6Ai5YQ36nADA9aPQWldMxnIFS3uG8MG7MymNr1L5w5_5BeYjfZrmFV-S6PFUwYNhqaqaQuhTUMqR1OhwUrZcNrin5baoYcgsktfiMd4nAf_rjnHWIUGH_Vv7PvrjSwGgsLndt4sn4Wjwao37ih3OJy8CmP8FiE25GnOyJ-E4D2hFHg9npu8Babx9G0GGWdcsrbxlWS9wnJHap54RI3l-5Pog_YDssvpipyVKZ51U1_dRUeg&amp;csui=3" TargetMode="External"/><Relationship Id="rId39" Type="http://schemas.openxmlformats.org/officeDocument/2006/relationships/hyperlink" Target="https://www.linkedin.com/in/ezhilan/" TargetMode="External"/><Relationship Id="rId38" Type="http://schemas.openxmlformats.org/officeDocument/2006/relationships/hyperlink" Target="https://www.linkedin.com/in/mayankbhola/" TargetMode="External"/><Relationship Id="rId20" Type="http://schemas.openxmlformats.org/officeDocument/2006/relationships/hyperlink" Target="https://www.linkedin.com/in/rajesh-sudhakaran-7823a029/" TargetMode="External"/><Relationship Id="rId22" Type="http://schemas.openxmlformats.org/officeDocument/2006/relationships/hyperlink" Target="https://www.linkedin.com/in/purugovind/" TargetMode="External"/><Relationship Id="rId21" Type="http://schemas.openxmlformats.org/officeDocument/2006/relationships/hyperlink" Target="https://www.linkedin.com/in/mithilsrivastav/" TargetMode="External"/><Relationship Id="rId24" Type="http://schemas.openxmlformats.org/officeDocument/2006/relationships/hyperlink" Target="https://www.linkedin.com/in/thobithabraham/" TargetMode="External"/><Relationship Id="rId23" Type="http://schemas.openxmlformats.org/officeDocument/2006/relationships/hyperlink" Target="http://iksa.ai/" TargetMode="External"/><Relationship Id="rId26" Type="http://schemas.openxmlformats.org/officeDocument/2006/relationships/hyperlink" Target="https://www.linkedin.com/in/gaurav-srivastava-9a67ba1b/" TargetMode="External"/><Relationship Id="rId25" Type="http://schemas.openxmlformats.org/officeDocument/2006/relationships/hyperlink" Target="https://www.linkedin.com/in/vaibhav-sambre/" TargetMode="External"/><Relationship Id="rId28" Type="http://schemas.openxmlformats.org/officeDocument/2006/relationships/hyperlink" Target="https://www.linkedin.com/in/abhishekguptas/" TargetMode="External"/><Relationship Id="rId27" Type="http://schemas.openxmlformats.org/officeDocument/2006/relationships/hyperlink" Target="https://www.linkedin.com/company/3720649/?lipi=urn%3Ali%3Apage%3Ad_flagship3_profile_view_base%3BkZ9fBn6pR4a7tShjIcecew%3D%3D" TargetMode="External"/><Relationship Id="rId29" Type="http://schemas.openxmlformats.org/officeDocument/2006/relationships/hyperlink" Target="https://www.linkedin.com/in/ishanvyas/" TargetMode="External"/><Relationship Id="rId11" Type="http://schemas.openxmlformats.org/officeDocument/2006/relationships/hyperlink" Target="https://www.linkedin.com/in/vattikuti/overlay/about-this-profile/" TargetMode="External"/><Relationship Id="rId10" Type="http://schemas.openxmlformats.org/officeDocument/2006/relationships/hyperlink" Target="https://www.linkedin.com/in/bkrishnachaitanyafintech/" TargetMode="External"/><Relationship Id="rId13" Type="http://schemas.openxmlformats.org/officeDocument/2006/relationships/hyperlink" Target="https://www.linkedin.com/in/anjan-umamaheswaran-b-76b871124/" TargetMode="External"/><Relationship Id="rId12" Type="http://schemas.openxmlformats.org/officeDocument/2006/relationships/hyperlink" Target="https://www.linkedin.com/in/vattikuti/" TargetMode="External"/><Relationship Id="rId15" Type="http://schemas.openxmlformats.org/officeDocument/2006/relationships/hyperlink" Target="https://www.linkedin.com/in/sangeeth-aloysius-484916a/overlay/about-this-profile/" TargetMode="External"/><Relationship Id="rId14" Type="http://schemas.openxmlformats.org/officeDocument/2006/relationships/hyperlink" Target="https://www.linkedin.com/in/krithikamuthukrishnan/" TargetMode="External"/><Relationship Id="rId17" Type="http://schemas.openxmlformats.org/officeDocument/2006/relationships/hyperlink" Target="https://www.linkedin.com/in/himanshunautiyal/overlay/about-this-profile/" TargetMode="External"/><Relationship Id="rId16" Type="http://schemas.openxmlformats.org/officeDocument/2006/relationships/hyperlink" Target="https://www.linkedin.com/in/sangeeth-aloysius-484916a/" TargetMode="External"/><Relationship Id="rId19" Type="http://schemas.openxmlformats.org/officeDocument/2006/relationships/hyperlink" Target="https://www.linkedin.com/in/kavitha-iyer-rodrigues-8b8b29b/?originalSubdomain=in" TargetMode="External"/><Relationship Id="rId18" Type="http://schemas.openxmlformats.org/officeDocument/2006/relationships/hyperlink" Target="https://www.linkedin.com/in/himanshunautiyal/" TargetMode="External"/><Relationship Id="rId51" Type="http://schemas.openxmlformats.org/officeDocument/2006/relationships/hyperlink" Target="https://www.linkedin.com/in/vineetsing/" TargetMode="External"/><Relationship Id="rId50" Type="http://schemas.openxmlformats.org/officeDocument/2006/relationships/hyperlink" Target="https://www.linkedin.com/in/monikamishra/?originalSubdomain=in" TargetMode="External"/><Relationship Id="rId5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deepigoyal/" TargetMode="External"/><Relationship Id="rId2" Type="http://schemas.openxmlformats.org/officeDocument/2006/relationships/hyperlink" Target="https://www.linkedin.com/in/damineesawhney/overlay/about-this-profile/" TargetMode="External"/><Relationship Id="rId3" Type="http://schemas.openxmlformats.org/officeDocument/2006/relationships/hyperlink" Target="https://www.linkedin.com/in/nandan-reddy-1830659/" TargetMode="External"/><Relationship Id="rId4" Type="http://schemas.openxmlformats.org/officeDocument/2006/relationships/hyperlink" Target="https://www.linkedin.com/in/sriharsha-m-563aa217/?utm_source=chatgpt%2Ecom&amp;original_referer=https%3A%2F%2Fchatgpt%2Ecom%2F&amp;originalSubdomain=in" TargetMode="External"/><Relationship Id="rId9" Type="http://schemas.openxmlformats.org/officeDocument/2006/relationships/hyperlink" Target="https://www.linkedin.com/in/vijayshekhar/" TargetMode="External"/><Relationship Id="rId5" Type="http://schemas.openxmlformats.org/officeDocument/2006/relationships/hyperlink" Target="https://www.linkedin.com/in/riteshagar/?utm_source=chatgpt%2Ecom&amp;originalSubdomain=in" TargetMode="External"/><Relationship Id="rId6" Type="http://schemas.openxmlformats.org/officeDocument/2006/relationships/hyperlink" Target="https://www.linkedin.com/in/dinesh-ramamurthi-b687bb14/overlay/about-this-profile/" TargetMode="External"/><Relationship Id="rId7" Type="http://schemas.openxmlformats.org/officeDocument/2006/relationships/hyperlink" Target="https://www.linkedin.com/in/kunalbahl/?utm_source=chatgpt%2Ecom&amp;originalSubdomain=in" TargetMode="External"/><Relationship Id="rId8" Type="http://schemas.openxmlformats.org/officeDocument/2006/relationships/hyperlink" Target="https://www.linkedin.com/in/sameer-mehta-16233318/" TargetMode="External"/><Relationship Id="rId40" Type="http://schemas.openxmlformats.org/officeDocument/2006/relationships/hyperlink" Target="https://www.linkedin.com/in/vikas-s-774245130/" TargetMode="External"/><Relationship Id="rId42" Type="http://schemas.openxmlformats.org/officeDocument/2006/relationships/hyperlink" Target="https://www.linkedin.com/in/amodm/?originalSubdomain=in" TargetMode="External"/><Relationship Id="rId41" Type="http://schemas.openxmlformats.org/officeDocument/2006/relationships/hyperlink" Target="https://www.linkedin.com/in/rajanbajaj/?originalSubdomain=in" TargetMode="External"/><Relationship Id="rId44" Type="http://schemas.openxmlformats.org/officeDocument/2006/relationships/hyperlink" Target="https://www.linkedin.com/in/kavita-k-8a84411b/" TargetMode="External"/><Relationship Id="rId43" Type="http://schemas.openxmlformats.org/officeDocument/2006/relationships/hyperlink" Target="https://www.linkedin.com/in/thevarundua/?originalSubdomain=in" TargetMode="External"/><Relationship Id="rId46" Type="http://schemas.openxmlformats.org/officeDocument/2006/relationships/hyperlink" Target="https://www.linkedin.com/in/priti-manyal-3a7aa9a0/overlay/about-this-profile/" TargetMode="External"/><Relationship Id="rId45" Type="http://schemas.openxmlformats.org/officeDocument/2006/relationships/hyperlink" Target="https://www.linkedin.com/in/kunalshah1/?originalSubdomain=in" TargetMode="External"/><Relationship Id="rId48" Type="http://schemas.openxmlformats.org/officeDocument/2006/relationships/hyperlink" Target="https://www.linkedin.com/in/shravya-reddy-b401b274/overlay/about-this-profile/" TargetMode="External"/><Relationship Id="rId47" Type="http://schemas.openxmlformats.org/officeDocument/2006/relationships/hyperlink" Target="https://www.linkedin.com/in/gaganbs542/overlay/about-this-profile/" TargetMode="External"/><Relationship Id="rId49" Type="http://schemas.openxmlformats.org/officeDocument/2006/relationships/hyperlink" Target="https://www.linkedin.com/in/souvik-sengupta-439699142/" TargetMode="External"/><Relationship Id="rId31" Type="http://schemas.openxmlformats.org/officeDocument/2006/relationships/hyperlink" Target="http://makemytrip.com/" TargetMode="External"/><Relationship Id="rId30" Type="http://schemas.openxmlformats.org/officeDocument/2006/relationships/hyperlink" Target="https://www.linkedin.com/in/rajesh-magow-9278094/" TargetMode="External"/><Relationship Id="rId33" Type="http://schemas.openxmlformats.org/officeDocument/2006/relationships/hyperlink" Target="https://www.linkedin.com/in/nishant-pitti-a956b079/" TargetMode="External"/><Relationship Id="rId32" Type="http://schemas.openxmlformats.org/officeDocument/2006/relationships/hyperlink" Target="https://www.linkedin.com/in/deep-kalra-2954862/" TargetMode="External"/><Relationship Id="rId35" Type="http://schemas.openxmlformats.org/officeDocument/2006/relationships/hyperlink" Target="https://www.linkedin.com/in/rikantpitti/" TargetMode="External"/><Relationship Id="rId34" Type="http://schemas.openxmlformats.org/officeDocument/2006/relationships/hyperlink" Target="https://www.linkedin.com/in/nishantpitti/" TargetMode="External"/><Relationship Id="rId37" Type="http://schemas.openxmlformats.org/officeDocument/2006/relationships/hyperlink" Target="https://www.linkedin.com/in/abhinavshashank" TargetMode="External"/><Relationship Id="rId36" Type="http://schemas.openxmlformats.org/officeDocument/2006/relationships/hyperlink" Target="https://www.linkedin.com/in/jagadnirav/overlay/about-this-profile/" TargetMode="External"/><Relationship Id="rId39" Type="http://schemas.openxmlformats.org/officeDocument/2006/relationships/hyperlink" Target="https://www.linkedin.com/in/mehul-agrawal-75123514/?originalSubdomain=in" TargetMode="External"/><Relationship Id="rId38" Type="http://schemas.openxmlformats.org/officeDocument/2006/relationships/hyperlink" Target="https://www.linkedin.com/in/9sandeepg" TargetMode="External"/><Relationship Id="rId20" Type="http://schemas.openxmlformats.org/officeDocument/2006/relationships/hyperlink" Target="https://www.linkedin.com/in/ramanshu-mahaur-76678053/" TargetMode="External"/><Relationship Id="rId22" Type="http://schemas.openxmlformats.org/officeDocument/2006/relationships/hyperlink" Target="https://www.linkedin.com/in/bipinpreetsingh/" TargetMode="External"/><Relationship Id="rId21" Type="http://schemas.openxmlformats.org/officeDocument/2006/relationships/hyperlink" Target="https://www.linkedin.com/in/shweta-singh-a204aa1/" TargetMode="External"/><Relationship Id="rId24" Type="http://schemas.openxmlformats.org/officeDocument/2006/relationships/hyperlink" Target="https://www.linkedin.com/in/adhindsa/?originalSubdomain=in" TargetMode="External"/><Relationship Id="rId23" Type="http://schemas.openxmlformats.org/officeDocument/2006/relationships/hyperlink" Target="https://www.linkedin.com/in/upasana/" TargetMode="External"/><Relationship Id="rId26" Type="http://schemas.openxmlformats.org/officeDocument/2006/relationships/hyperlink" Target="https://www.linkedin.com/in/nitin-jain-17b82310/" TargetMode="External"/><Relationship Id="rId25" Type="http://schemas.openxmlformats.org/officeDocument/2006/relationships/hyperlink" Target="https://www.linkedin.com/in/asish-mohapatra-22685a28/" TargetMode="External"/><Relationship Id="rId28" Type="http://schemas.openxmlformats.org/officeDocument/2006/relationships/hyperlink" Target="https://www.linkedin.com/in/prashant-tandon-2802a4/" TargetMode="External"/><Relationship Id="rId27" Type="http://schemas.openxmlformats.org/officeDocument/2006/relationships/hyperlink" Target="https://www.linkedin.com/in/ruchi-kalra-0a62512/" TargetMode="External"/><Relationship Id="rId29" Type="http://schemas.openxmlformats.org/officeDocument/2006/relationships/hyperlink" Target="https://www.linkedin.com/in/agarwalga/" TargetMode="External"/><Relationship Id="rId11" Type="http://schemas.openxmlformats.org/officeDocument/2006/relationships/hyperlink" Target="https://linkedin.com/in/koladiya/" TargetMode="External"/><Relationship Id="rId10" Type="http://schemas.openxmlformats.org/officeDocument/2006/relationships/hyperlink" Target="https://www.linkedin.com/in/ashneer/" TargetMode="External"/><Relationship Id="rId13" Type="http://schemas.openxmlformats.org/officeDocument/2006/relationships/hyperlink" Target="https://www.linkedin.com/in/visheshkhurana/" TargetMode="External"/><Relationship Id="rId12" Type="http://schemas.openxmlformats.org/officeDocument/2006/relationships/hyperlink" Target="https://www.linkedin.com/in/shashvat-nakrani/" TargetMode="External"/><Relationship Id="rId15" Type="http://schemas.openxmlformats.org/officeDocument/2006/relationships/hyperlink" Target="https://www.linkedin.com/in/mehul-agrawal-75123514/?originalSubdomain=in" TargetMode="External"/><Relationship Id="rId14" Type="http://schemas.openxmlformats.org/officeDocument/2006/relationships/hyperlink" Target="https://www.linkedin.com/in/naveen-kukreja-b333013/" TargetMode="External"/><Relationship Id="rId17" Type="http://schemas.openxmlformats.org/officeDocument/2006/relationships/hyperlink" Target="https://www.linkedin.com/in/abhirajbhal/?originalSubdomain=in" TargetMode="External"/><Relationship Id="rId16" Type="http://schemas.openxmlformats.org/officeDocument/2006/relationships/hyperlink" Target="https://www.linkedin.com/in/vikas-s-774245130/" TargetMode="External"/><Relationship Id="rId19" Type="http://schemas.openxmlformats.org/officeDocument/2006/relationships/hyperlink" Target="https://www.linkedin.com/in/niraj-singh-67159715/" TargetMode="External"/><Relationship Id="rId18" Type="http://schemas.openxmlformats.org/officeDocument/2006/relationships/hyperlink" Target="https://www.linkedin.com/in/raghavchandra/" TargetMode="External"/><Relationship Id="rId84" Type="http://schemas.openxmlformats.org/officeDocument/2006/relationships/hyperlink" Target="https://www.linkedin.com/in/priyanka-j-1a2578312/overlay/about-this-profile/" TargetMode="External"/><Relationship Id="rId83" Type="http://schemas.openxmlformats.org/officeDocument/2006/relationships/hyperlink" Target="https://www.linkedin.com/in/peyushbansal/" TargetMode="External"/><Relationship Id="rId86" Type="http://schemas.openxmlformats.org/officeDocument/2006/relationships/hyperlink" Target="https://www.linkedin.com/in/rahulgarg/" TargetMode="External"/><Relationship Id="rId85" Type="http://schemas.openxmlformats.org/officeDocument/2006/relationships/hyperlink" Target="https://www.linkedin.com/in/sethisanjay/" TargetMode="External"/><Relationship Id="rId88" Type="http://schemas.openxmlformats.org/officeDocument/2006/relationships/hyperlink" Target="https://www.linkedin.com/in/bhupindersingh-incred" TargetMode="External"/><Relationship Id="rId87" Type="http://schemas.openxmlformats.org/officeDocument/2006/relationships/hyperlink" Target="https://www.linkedin.com/in/thevarundua/" TargetMode="External"/><Relationship Id="rId89" Type="http://schemas.openxmlformats.org/officeDocument/2006/relationships/hyperlink" Target="https://www.linkedin.com/in/prakash-gorjilla-15081123/overlay/about-this-profile/" TargetMode="External"/><Relationship Id="rId80" Type="http://schemas.openxmlformats.org/officeDocument/2006/relationships/hyperlink" Target="https://www.linkedin.com/in/sachinbansal/?originalSubdomain=in" TargetMode="External"/><Relationship Id="rId82" Type="http://schemas.openxmlformats.org/officeDocument/2006/relationships/hyperlink" Target="https://www.linkedin.com/in/meena-chandran-13368a37/overlay/about-this-profile/" TargetMode="External"/><Relationship Id="rId81" Type="http://schemas.openxmlformats.org/officeDocument/2006/relationships/hyperlink" Target="https://www.linkedin.com/in/binnybansal/?originalSubdomain=sg" TargetMode="External"/><Relationship Id="rId73" Type="http://schemas.openxmlformats.org/officeDocument/2006/relationships/hyperlink" Target="https://www.linkedin.com/in/yugankasharan/" TargetMode="External"/><Relationship Id="rId72" Type="http://schemas.openxmlformats.org/officeDocument/2006/relationships/hyperlink" Target="https://www.linkedin.com/in/shefalirai/" TargetMode="External"/><Relationship Id="rId75" Type="http://schemas.openxmlformats.org/officeDocument/2006/relationships/hyperlink" Target="https://www.linkedin.com/in/utkarshgarg/" TargetMode="External"/><Relationship Id="rId74" Type="http://schemas.openxmlformats.org/officeDocument/2006/relationships/hyperlink" Target="https://www.linkedin.com/in/kmkrishna/overlay/about-this-profile/" TargetMode="External"/><Relationship Id="rId77" Type="http://schemas.openxmlformats.org/officeDocument/2006/relationships/hyperlink" Target="https://www.linkedin.com/in/varunkejriwal/" TargetMode="External"/><Relationship Id="rId76" Type="http://schemas.openxmlformats.org/officeDocument/2006/relationships/hyperlink" Target="https://www.linkedin.com/in/manish-taneja-64657116/" TargetMode="External"/><Relationship Id="rId79" Type="http://schemas.openxmlformats.org/officeDocument/2006/relationships/hyperlink" Target="https://www.linkedin.com/in/abishekvn/overlay/about-this-profile/" TargetMode="External"/><Relationship Id="rId78" Type="http://schemas.openxmlformats.org/officeDocument/2006/relationships/hyperlink" Target="https://www.linkedin.com/in/raman-kumar-1288bb389/overlay/about-this-profile/" TargetMode="External"/><Relationship Id="rId71" Type="http://schemas.openxmlformats.org/officeDocument/2006/relationships/hyperlink" Target="https://www.linkedin.com/in/rahil-ashah/" TargetMode="External"/><Relationship Id="rId70" Type="http://schemas.openxmlformats.org/officeDocument/2006/relationships/hyperlink" Target="https://in.linkedin.com/in/ronniescrewvala" TargetMode="External"/><Relationship Id="rId62" Type="http://schemas.openxmlformats.org/officeDocument/2006/relationships/hyperlink" Target="https://www.linkedin.com/in/abhinay-choudhari-b7a341242/overlay/about-this-profile/" TargetMode="External"/><Relationship Id="rId61" Type="http://schemas.openxmlformats.org/officeDocument/2006/relationships/hyperlink" Target="https://www.linkedin.com/in/vipulparekh/overlay/about-this-profile/" TargetMode="External"/><Relationship Id="rId64" Type="http://schemas.openxmlformats.org/officeDocument/2006/relationships/hyperlink" Target="https://www.linkedin.com/in/anish-moonka/overlay/about-this-profile/" TargetMode="External"/><Relationship Id="rId63" Type="http://schemas.openxmlformats.org/officeDocument/2006/relationships/hyperlink" Target="https://www.linkedin.com/in/kavinbhartimittal/overlay/about-this-profile/" TargetMode="External"/><Relationship Id="rId66" Type="http://schemas.openxmlformats.org/officeDocument/2006/relationships/hyperlink" Target="https://www.linkedin.com/in/arora-sneha/" TargetMode="External"/><Relationship Id="rId65" Type="http://schemas.openxmlformats.org/officeDocument/2006/relationships/hyperlink" Target="https://www.linkedin.com/in/sachinbansal/overlay/about-this-profile/" TargetMode="External"/><Relationship Id="rId68" Type="http://schemas.openxmlformats.org/officeDocument/2006/relationships/hyperlink" Target="https://www.linkedin.com/in/alpandey/overlay/about-this-profile/" TargetMode="External"/><Relationship Id="rId67" Type="http://schemas.openxmlformats.org/officeDocument/2006/relationships/hyperlink" Target="https://www.linkedin.com/in/shefalirai/" TargetMode="External"/><Relationship Id="rId60" Type="http://schemas.openxmlformats.org/officeDocument/2006/relationships/hyperlink" Target="https://www.linkedin.com/in/harimenon-bigbasket/overlay/about-this-profile/" TargetMode="External"/><Relationship Id="rId69" Type="http://schemas.openxmlformats.org/officeDocument/2006/relationships/hyperlink" Target="https://www.linkedin.com/in/kathleen-anderl/" TargetMode="External"/><Relationship Id="rId51" Type="http://schemas.openxmlformats.org/officeDocument/2006/relationships/hyperlink" Target="https://www.linkedin.com/in/jaspreets/overlay/about-this-profile/" TargetMode="External"/><Relationship Id="rId50" Type="http://schemas.openxmlformats.org/officeDocument/2006/relationships/hyperlink" Target="https://www.linkedin.com/in/nayana-m-b-6b23b2195/overlay/about-this-profile/?trk=public_profile_browsemap_profile-result-card_result-card_full-click" TargetMode="External"/><Relationship Id="rId53" Type="http://schemas.openxmlformats.org/officeDocument/2006/relationships/hyperlink" Target="https://www.linkedin.com/in/milind-borate-7242741/overlay/about-this-profile/" TargetMode="External"/><Relationship Id="rId52" Type="http://schemas.openxmlformats.org/officeDocument/2006/relationships/hyperlink" Target="https://www.linkedin.com/in/jaspreets/https://www.linkedin.com/in/jaspreets/" TargetMode="External"/><Relationship Id="rId55" Type="http://schemas.openxmlformats.org/officeDocument/2006/relationships/hyperlink" Target="https://www.linkedin.com/in/suraj-saharan-94b3383/overlay/about-this-profile/" TargetMode="External"/><Relationship Id="rId54" Type="http://schemas.openxmlformats.org/officeDocument/2006/relationships/hyperlink" Target="https://www.linkedin.com/in/sahil-barua-a09212364/overlay/about-this-profile/" TargetMode="External"/><Relationship Id="rId57" Type="http://schemas.openxmlformats.org/officeDocument/2006/relationships/hyperlink" Target="https://www.linkedin.com/in/mohit-tandon-03b9046/overlay/about-this-profile/" TargetMode="External"/><Relationship Id="rId56" Type="http://schemas.openxmlformats.org/officeDocument/2006/relationships/hyperlink" Target="https://www.linkedin.com/in/kbhara/overlay/about-this-profile/" TargetMode="External"/><Relationship Id="rId59" Type="http://schemas.openxmlformats.org/officeDocument/2006/relationships/hyperlink" Target="https://www.linkedin.com/in/luckshaya-kem/overlay/about-this-profile/" TargetMode="External"/><Relationship Id="rId58" Type="http://schemas.openxmlformats.org/officeDocument/2006/relationships/hyperlink" Target="https://www.linkedin.com/in/bhavesh-manglani-14a3663/overlay/about-this-profile/" TargetMode="External"/><Relationship Id="rId95" Type="http://schemas.openxmlformats.org/officeDocument/2006/relationships/hyperlink" Target="https://www.linkedin.com/in/manoj-sharma-8ab030a/" TargetMode="External"/><Relationship Id="rId94" Type="http://schemas.openxmlformats.org/officeDocument/2006/relationships/hyperlink" Target="https://www.linkedin.com/in/avaneesh-nirjar-b447991/" TargetMode="External"/><Relationship Id="rId97" Type="http://schemas.openxmlformats.org/officeDocument/2006/relationships/hyperlink" Target="https://www.linkedin.com/in/yashish-dahiya-145495261/" TargetMode="External"/><Relationship Id="rId96" Type="http://schemas.openxmlformats.org/officeDocument/2006/relationships/hyperlink" Target="https://www.linkedin.com/in/tarun-mathur-58abb49/" TargetMode="External"/><Relationship Id="rId99" Type="http://schemas.openxmlformats.org/officeDocument/2006/relationships/hyperlink" Target="https://www.linkedin.com/in/monishdarda" TargetMode="External"/><Relationship Id="rId98" Type="http://schemas.openxmlformats.org/officeDocument/2006/relationships/hyperlink" Target="https://www.linkedin.com/in/girish1/" TargetMode="External"/><Relationship Id="rId91" Type="http://schemas.openxmlformats.org/officeDocument/2006/relationships/hyperlink" Target="https://www.linkedin.com/in/saakshi-agarwal/" TargetMode="External"/><Relationship Id="rId90" Type="http://schemas.openxmlformats.org/officeDocument/2006/relationships/hyperlink" Target="https://www.linkedin.com/in/prakash-gorjilla-15081123/" TargetMode="External"/><Relationship Id="rId93" Type="http://schemas.openxmlformats.org/officeDocument/2006/relationships/hyperlink" Target="https://www.linkedin.com/in/alok-bansal-23b04a4/" TargetMode="External"/><Relationship Id="rId92" Type="http://schemas.openxmlformats.org/officeDocument/2006/relationships/hyperlink" Target="https://www.linkedin.com/in/ashish-sawant-411b9010/overlay/about-this-profile/" TargetMode="External"/><Relationship Id="rId150" Type="http://schemas.openxmlformats.org/officeDocument/2006/relationships/hyperlink" Target="https://www.linkedin.com/in/komaravolu/overlay/about-this-profile/" TargetMode="External"/><Relationship Id="rId149" Type="http://schemas.openxmlformats.org/officeDocument/2006/relationships/hyperlink" Target="https://www.linkedin.com/in/ginu-nair-91a0268/overlay/about-this-profile/" TargetMode="External"/><Relationship Id="rId148" Type="http://schemas.openxmlformats.org/officeDocument/2006/relationships/hyperlink" Target="https://www.linkedin.com/in/amrit-acharya/" TargetMode="External"/><Relationship Id="rId143" Type="http://schemas.openxmlformats.org/officeDocument/2006/relationships/hyperlink" Target="https://www.linkedin.com/in/vineetsukumar/" TargetMode="External"/><Relationship Id="rId142" Type="http://schemas.openxmlformats.org/officeDocument/2006/relationships/hyperlink" Target="https://www.linkedin.com/in/jeetesh-maheshwari-b05b83206/overlay/about-this-profile/" TargetMode="External"/><Relationship Id="rId141" Type="http://schemas.openxmlformats.org/officeDocument/2006/relationships/hyperlink" Target="https://www.linkedin.com/in/jaspreet-kaur-saini-81941252/overlay/about-this-profile/" TargetMode="External"/><Relationship Id="rId140" Type="http://schemas.openxmlformats.org/officeDocument/2006/relationships/hyperlink" Target="https://www.linkedin.com/in/megha-rastogi-a39a9b160/overlay/about-this-profile/" TargetMode="External"/><Relationship Id="rId147" Type="http://schemas.openxmlformats.org/officeDocument/2006/relationships/hyperlink" Target="https://www.linkedin.com/in/aishwarya-k-184655149/overlay/about-this-profile/" TargetMode="External"/><Relationship Id="rId146" Type="http://schemas.openxmlformats.org/officeDocument/2006/relationships/hyperlink" Target="https://www.linkedin.com/in/hemang-mehta-fintech/overlay/about-this-profile/" TargetMode="External"/><Relationship Id="rId145" Type="http://schemas.openxmlformats.org/officeDocument/2006/relationships/hyperlink" Target="https://www.linkedin.com/in/raja-rajeswari-kodan-80846015/overlay/about-this-profile/" TargetMode="External"/><Relationship Id="rId144" Type="http://schemas.openxmlformats.org/officeDocument/2006/relationships/hyperlink" Target="https://www.linkedin.com/in/gaurav-kumar-2a465114/" TargetMode="External"/><Relationship Id="rId139" Type="http://schemas.openxmlformats.org/officeDocument/2006/relationships/hyperlink" Target="https://www.linkedin.com/in/manish-wadhwa-b79a0213/overlay/about-this-profile/" TargetMode="External"/><Relationship Id="rId138" Type="http://schemas.openxmlformats.org/officeDocument/2006/relationships/hyperlink" Target="https://www.linkedin.com/in/rohit-sandal-58bb423/overlay/about-this-profile/" TargetMode="External"/><Relationship Id="rId137" Type="http://schemas.openxmlformats.org/officeDocument/2006/relationships/hyperlink" Target="https://www.linkedin.com/in/bharath-nagendra-b64272141/overlay/about-this-profile/" TargetMode="External"/><Relationship Id="rId132" Type="http://schemas.openxmlformats.org/officeDocument/2006/relationships/hyperlink" Target="https://www.linkedin.com/in/mitchelle-d-souza-a746b357/overlay/about-this-profile/" TargetMode="External"/><Relationship Id="rId131" Type="http://schemas.openxmlformats.org/officeDocument/2006/relationships/hyperlink" Target="https://www.linkedin.com/in/smarak-m/overlay/about-this-profile/" TargetMode="External"/><Relationship Id="rId130" Type="http://schemas.openxmlformats.org/officeDocument/2006/relationships/hyperlink" Target="https://www.linkedin.com/in/nakulaggarwal/overlay/about-this-profile/" TargetMode="External"/><Relationship Id="rId136" Type="http://schemas.openxmlformats.org/officeDocument/2006/relationships/hyperlink" Target="https://www.linkedin.com/in/rohini-singh-bb59638/overlay/about-this-profile/" TargetMode="External"/><Relationship Id="rId135" Type="http://schemas.openxmlformats.org/officeDocument/2006/relationships/hyperlink" Target="https://www.linkedin.com/in/namita-bhaidasna-8b730527/overlay/about-this-profile/" TargetMode="External"/><Relationship Id="rId134" Type="http://schemas.openxmlformats.org/officeDocument/2006/relationships/hyperlink" Target="https://www.linkedin.com/in/laurbreu/overlay/about-this-profile/" TargetMode="External"/><Relationship Id="rId133" Type="http://schemas.openxmlformats.org/officeDocument/2006/relationships/hyperlink" Target="https://www.linkedin.com/in/tejashri-rane-3404061b2/overlay/about-this-profile/" TargetMode="External"/><Relationship Id="rId163" Type="http://schemas.openxmlformats.org/officeDocument/2006/relationships/drawing" Target="../drawings/drawing3.xml"/><Relationship Id="rId162" Type="http://schemas.openxmlformats.org/officeDocument/2006/relationships/hyperlink" Target="https://www.linkedin.com/in/harshj22/overlay/about-this-profile/" TargetMode="External"/><Relationship Id="rId161" Type="http://schemas.openxmlformats.org/officeDocument/2006/relationships/hyperlink" Target="https://www.linkedin.com/in/rajkumar-arude-433419132/overlay/about-this-profile/" TargetMode="External"/><Relationship Id="rId160" Type="http://schemas.openxmlformats.org/officeDocument/2006/relationships/hyperlink" Target="https://www.linkedin.com/in/manishvedvikhyat/overlay/about-this-profile/" TargetMode="External"/><Relationship Id="rId159" Type="http://schemas.openxmlformats.org/officeDocument/2006/relationships/hyperlink" Target="https://www.linkedin.com/in/bhavitsheth" TargetMode="External"/><Relationship Id="rId154" Type="http://schemas.openxmlformats.org/officeDocument/2006/relationships/hyperlink" Target="https://www.linkedin.com/in/shenoyg12/overlay/about-this-profile/" TargetMode="External"/><Relationship Id="rId153" Type="http://schemas.openxmlformats.org/officeDocument/2006/relationships/hyperlink" Target="https://www.linkedin.com/in/kumarpranjal/overlay/about-this-profile/" TargetMode="External"/><Relationship Id="rId152" Type="http://schemas.openxmlformats.org/officeDocument/2006/relationships/hyperlink" Target="https://www.linkedin.com/in/jui-lad-a57392128/overlay/about-this-profile/" TargetMode="External"/><Relationship Id="rId151" Type="http://schemas.openxmlformats.org/officeDocument/2006/relationships/hyperlink" Target="https://www.linkedin.com/in/kajaldhage/overlay/about-this-profile/" TargetMode="External"/><Relationship Id="rId158" Type="http://schemas.openxmlformats.org/officeDocument/2006/relationships/hyperlink" Target="http://linkedin.com/in/harshj22" TargetMode="External"/><Relationship Id="rId157" Type="http://schemas.openxmlformats.org/officeDocument/2006/relationships/hyperlink" Target="https://www.linkedin.com/in/khushboo-gupta-a2707044/overlay/about-this-profile/" TargetMode="External"/><Relationship Id="rId156" Type="http://schemas.openxmlformats.org/officeDocument/2006/relationships/hyperlink" Target="https://www.linkedin.com/in/rajbir-kaur-bindra-5153b97/overlay/about-this-profile/" TargetMode="External"/><Relationship Id="rId155" Type="http://schemas.openxmlformats.org/officeDocument/2006/relationships/hyperlink" Target="https://www.linkedin.com/in/muditachauhan/overlay/about-this-profile/" TargetMode="External"/><Relationship Id="rId107" Type="http://schemas.openxmlformats.org/officeDocument/2006/relationships/hyperlink" Target="https://linkedin.com/in/lalitkeshre" TargetMode="External"/><Relationship Id="rId106" Type="http://schemas.openxmlformats.org/officeDocument/2006/relationships/hyperlink" Target="https://www.linkedin.com/in/heyharsh/" TargetMode="External"/><Relationship Id="rId105" Type="http://schemas.openxmlformats.org/officeDocument/2006/relationships/hyperlink" Target="https://in.linkedin.com/in/harshilmathur" TargetMode="External"/><Relationship Id="rId104" Type="http://schemas.openxmlformats.org/officeDocument/2006/relationships/hyperlink" Target="https://www.google.com/url?sa=t&amp;source=web&amp;rct=https://in.linkedin.com/in/kumarshashank" TargetMode="External"/><Relationship Id="rId109" Type="http://schemas.openxmlformats.org/officeDocument/2006/relationships/hyperlink" Target="https://www.linkedin.com/in/ashneer/" TargetMode="External"/><Relationship Id="rId108" Type="http://schemas.openxmlformats.org/officeDocument/2006/relationships/hyperlink" Target="https://www.linkedin.com/in/sandeepaggarwal/" TargetMode="External"/><Relationship Id="rId103" Type="http://schemas.openxmlformats.org/officeDocument/2006/relationships/hyperlink" Target="https://www.linkedin.com/in/hemesh-singh/" TargetMode="External"/><Relationship Id="rId102" Type="http://schemas.openxmlformats.org/officeDocument/2006/relationships/hyperlink" Target="https://www.linkedin.com/in/romansaini/" TargetMode="External"/><Relationship Id="rId101" Type="http://schemas.openxmlformats.org/officeDocument/2006/relationships/hyperlink" Target="https://www.linkedin.com/in/gauravmunjal8/" TargetMode="External"/><Relationship Id="rId100" Type="http://schemas.openxmlformats.org/officeDocument/2006/relationships/hyperlink" Target="https://www.linkedin.com/in/supam-maheshwari-a735a5/" TargetMode="External"/><Relationship Id="rId129" Type="http://schemas.openxmlformats.org/officeDocument/2006/relationships/hyperlink" Target="https://www.linkedin.com/in/ritesh-arora-88937b7/" TargetMode="External"/><Relationship Id="rId128" Type="http://schemas.openxmlformats.org/officeDocument/2006/relationships/hyperlink" Target="https://www.linkedin.com/in/harshj22/overlay/about-this-profile/" TargetMode="External"/><Relationship Id="rId127" Type="http://schemas.openxmlformats.org/officeDocument/2006/relationships/hyperlink" Target="https://www.linkedin.com/in/sunil-setlur-1059155/overlay/about-this-profile/" TargetMode="External"/><Relationship Id="rId126" Type="http://schemas.openxmlformats.org/officeDocument/2006/relationships/hyperlink" Target="https://www.linkedin.com/in/krishna-gopal-depura-344630" TargetMode="External"/><Relationship Id="rId121" Type="http://schemas.openxmlformats.org/officeDocument/2006/relationships/hyperlink" Target="http://nobroker.com" TargetMode="External"/><Relationship Id="rId120" Type="http://schemas.openxmlformats.org/officeDocument/2006/relationships/hyperlink" Target="http://nobroker.com" TargetMode="External"/><Relationship Id="rId125" Type="http://schemas.openxmlformats.org/officeDocument/2006/relationships/hyperlink" Target="https://www.linkedin.com/in/jainpulkit/" TargetMode="External"/><Relationship Id="rId124" Type="http://schemas.openxmlformats.org/officeDocument/2006/relationships/hyperlink" Target="https://www.linkedin.com/in/profilevamsikrishna/" TargetMode="External"/><Relationship Id="rId123" Type="http://schemas.openxmlformats.org/officeDocument/2006/relationships/hyperlink" Target="https://www.linkedin.com/in/tiyasha-mukherjee-548972157/overlay/about-this-profile/" TargetMode="External"/><Relationship Id="rId122" Type="http://schemas.openxmlformats.org/officeDocument/2006/relationships/hyperlink" Target="https://www.linkedin.com/in/vivek-gupta-licious/" TargetMode="External"/><Relationship Id="rId118" Type="http://schemas.openxmlformats.org/officeDocument/2006/relationships/hyperlink" Target="http://nobroker.com" TargetMode="External"/><Relationship Id="rId117" Type="http://schemas.openxmlformats.org/officeDocument/2006/relationships/hyperlink" Target="https://www.linkedin.com/in/mehtapriyank/overlay/about-this-profile/" TargetMode="External"/><Relationship Id="rId116" Type="http://schemas.openxmlformats.org/officeDocument/2006/relationships/hyperlink" Target="https://www.linkedin.com/in/ravi-kumar-b7698171" TargetMode="External"/><Relationship Id="rId115" Type="http://schemas.openxmlformats.org/officeDocument/2006/relationships/hyperlink" Target="mailto:smita.d@gmail.com" TargetMode="External"/><Relationship Id="rId119" Type="http://schemas.openxmlformats.org/officeDocument/2006/relationships/hyperlink" Target="http://nobroker.com" TargetMode="External"/><Relationship Id="rId110" Type="http://schemas.openxmlformats.org/officeDocument/2006/relationships/hyperlink" Target="https://linkedin.com/in/koladiya/" TargetMode="External"/><Relationship Id="rId114" Type="http://schemas.openxmlformats.org/officeDocument/2006/relationships/hyperlink" Target="https://linkedin.com/in/anuragsinha2" TargetMode="External"/><Relationship Id="rId113" Type="http://schemas.openxmlformats.org/officeDocument/2006/relationships/hyperlink" Target="https://www.linkedin.com/in/sheetalchainraj/" TargetMode="External"/><Relationship Id="rId112" Type="http://schemas.openxmlformats.org/officeDocument/2006/relationships/hyperlink" Target="https://www.linkedin.com/in/varunalagh84/" TargetMode="External"/><Relationship Id="rId111" Type="http://schemas.openxmlformats.org/officeDocument/2006/relationships/hyperlink" Target="https://www.linkedin.com/in/ghazal-alagh-9755a0128/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://linkedin.com/in/pradeep-chowdhry" TargetMode="External"/><Relationship Id="rId391" Type="http://schemas.openxmlformats.org/officeDocument/2006/relationships/hyperlink" Target="http://linkedin.com/in/ajithkarimpana" TargetMode="External"/><Relationship Id="rId390" Type="http://schemas.openxmlformats.org/officeDocument/2006/relationships/hyperlink" Target="http://linkedin.com/in/nagarajmylandla" TargetMode="External"/><Relationship Id="rId1" Type="http://schemas.openxmlformats.org/officeDocument/2006/relationships/hyperlink" Target="https://www.linkedin.com/in/prashanthaluru/?originalSubdomain=in" TargetMode="External"/><Relationship Id="rId2" Type="http://schemas.openxmlformats.org/officeDocument/2006/relationships/hyperlink" Target="https://www.linkedin.com/in/veena-b-90408593/?originalSubdomain=in" TargetMode="External"/><Relationship Id="rId3" Type="http://schemas.openxmlformats.org/officeDocument/2006/relationships/hyperlink" Target="https://www.linkedin.com/in/florenciaquinteros/?originalSubdomain=au" TargetMode="External"/><Relationship Id="rId4" Type="http://schemas.openxmlformats.org/officeDocument/2006/relationships/hyperlink" Target="https://www.linkedin.com/in/harshil-salot-7421a16/?originalSubdomain=in" TargetMode="External"/><Relationship Id="rId9" Type="http://schemas.openxmlformats.org/officeDocument/2006/relationships/hyperlink" Target="https://www.linkedin.com/in/srijannagar/" TargetMode="External"/><Relationship Id="rId385" Type="http://schemas.openxmlformats.org/officeDocument/2006/relationships/hyperlink" Target="http://linkedin.com/in/lvlnmurty" TargetMode="External"/><Relationship Id="rId384" Type="http://schemas.openxmlformats.org/officeDocument/2006/relationships/hyperlink" Target="http://linkedin.com/in/shailaz-nag" TargetMode="External"/><Relationship Id="rId383" Type="http://schemas.openxmlformats.org/officeDocument/2006/relationships/hyperlink" Target="http://linkedin.com/in/harshitjainmd" TargetMode="External"/><Relationship Id="rId382" Type="http://schemas.openxmlformats.org/officeDocument/2006/relationships/hyperlink" Target="http://linkedin.com/in/subramanianviswanathan" TargetMode="External"/><Relationship Id="rId5" Type="http://schemas.openxmlformats.org/officeDocument/2006/relationships/hyperlink" Target="https://www.linkedin.com/in/priyanka-salot-3ba9617/?originalSubdomain=in" TargetMode="External"/><Relationship Id="rId389" Type="http://schemas.openxmlformats.org/officeDocument/2006/relationships/hyperlink" Target="http://linkedin.com/in/swapnil-shah" TargetMode="External"/><Relationship Id="rId6" Type="http://schemas.openxmlformats.org/officeDocument/2006/relationships/hyperlink" Target="https://www.linkedin.com/in/pinky-poojary/?originalSubdomain=in" TargetMode="External"/><Relationship Id="rId388" Type="http://schemas.openxmlformats.org/officeDocument/2006/relationships/hyperlink" Target="http://linkedin.com/in/pawan-gupta" TargetMode="External"/><Relationship Id="rId7" Type="http://schemas.openxmlformats.org/officeDocument/2006/relationships/hyperlink" Target="https://www.linkedin.com/in/brahma-dev-b28a8b360/?originalSubdomain=in" TargetMode="External"/><Relationship Id="rId387" Type="http://schemas.openxmlformats.org/officeDocument/2006/relationships/hyperlink" Target="http://linkedin.com/in/siddharth-ladsariya" TargetMode="External"/><Relationship Id="rId8" Type="http://schemas.openxmlformats.org/officeDocument/2006/relationships/hyperlink" Target="https://www.linkedin.com/in/rajatdeshpande/" TargetMode="External"/><Relationship Id="rId386" Type="http://schemas.openxmlformats.org/officeDocument/2006/relationships/hyperlink" Target="http://linkedin.com/in/sauravkumar" TargetMode="External"/><Relationship Id="rId381" Type="http://schemas.openxmlformats.org/officeDocument/2006/relationships/hyperlink" Target="http://linkedin.com/in/shashank-kumar-dehaat" TargetMode="External"/><Relationship Id="rId380" Type="http://schemas.openxmlformats.org/officeDocument/2006/relationships/hyperlink" Target="http://linkedin.com/in/sridharpinnapureddy" TargetMode="External"/><Relationship Id="rId379" Type="http://schemas.openxmlformats.org/officeDocument/2006/relationships/hyperlink" Target="http://linkedin.com/in/divyabhmishra" TargetMode="External"/><Relationship Id="rId374" Type="http://schemas.openxmlformats.org/officeDocument/2006/relationships/hyperlink" Target="http://linkedin.com/in/rakesh-kaul" TargetMode="External"/><Relationship Id="rId373" Type="http://schemas.openxmlformats.org/officeDocument/2006/relationships/hyperlink" Target="http://linkedin.com/in/kartikey-hariyani" TargetMode="External"/><Relationship Id="rId372" Type="http://schemas.openxmlformats.org/officeDocument/2006/relationships/hyperlink" Target="http://linkedin.com/in/nida-hasan" TargetMode="External"/><Relationship Id="rId371" Type="http://schemas.openxmlformats.org/officeDocument/2006/relationships/hyperlink" Target="http://linkedin.com/in/mohit-dubey" TargetMode="External"/><Relationship Id="rId378" Type="http://schemas.openxmlformats.org/officeDocument/2006/relationships/hyperlink" Target="http://linkedin.com/in/varunkhurana" TargetMode="External"/><Relationship Id="rId377" Type="http://schemas.openxmlformats.org/officeDocument/2006/relationships/hyperlink" Target="http://linkedin.com/in/rishabh-goel" TargetMode="External"/><Relationship Id="rId376" Type="http://schemas.openxmlformats.org/officeDocument/2006/relationships/hyperlink" Target="http://linkedin.com/in/nirav-choksi" TargetMode="External"/><Relationship Id="rId375" Type="http://schemas.openxmlformats.org/officeDocument/2006/relationships/hyperlink" Target="http://linkedin.com/in/amitabh-kumar" TargetMode="External"/><Relationship Id="rId396" Type="http://schemas.openxmlformats.org/officeDocument/2006/relationships/hyperlink" Target="http://linkedin.com/in/vivek-ravisankar" TargetMode="External"/><Relationship Id="rId395" Type="http://schemas.openxmlformats.org/officeDocument/2006/relationships/hyperlink" Target="http://linkedin.com/in/varun-gupta" TargetMode="External"/><Relationship Id="rId394" Type="http://schemas.openxmlformats.org/officeDocument/2006/relationships/hyperlink" Target="http://linkedin.com/in/chiragtaneja" TargetMode="External"/><Relationship Id="rId393" Type="http://schemas.openxmlformats.org/officeDocument/2006/relationships/hyperlink" Target="http://linkedin.com/in/rishivasudev" TargetMode="External"/><Relationship Id="rId399" Type="http://schemas.openxmlformats.org/officeDocument/2006/relationships/hyperlink" Target="http://linkedin.com/in/viveksrivastava" TargetMode="External"/><Relationship Id="rId398" Type="http://schemas.openxmlformats.org/officeDocument/2006/relationships/hyperlink" Target="http://linkedin.com/in/boris-zha" TargetMode="External"/><Relationship Id="rId397" Type="http://schemas.openxmlformats.org/officeDocument/2006/relationships/hyperlink" Target="http://linkedin.com/in/vikas-nahar" TargetMode="External"/><Relationship Id="rId40" Type="http://schemas.openxmlformats.org/officeDocument/2006/relationships/hyperlink" Target="https://www.linkedin.com/in/joylin-d%CA%B9silva-90a5a577/?originalSubdomain=in" TargetMode="External"/><Relationship Id="rId42" Type="http://schemas.openxmlformats.org/officeDocument/2006/relationships/hyperlink" Target="https://www.linkedin.com/in/alissa-sundstedt-ms-atc-otc-capm-59a67492/" TargetMode="External"/><Relationship Id="rId41" Type="http://schemas.openxmlformats.org/officeDocument/2006/relationships/hyperlink" Target="https://www.linkedin.com/in/flyingsardar/" TargetMode="External"/><Relationship Id="rId44" Type="http://schemas.openxmlformats.org/officeDocument/2006/relationships/hyperlink" Target="https://www.linkedin.com/in/rajan-chaudhary-b3b27423/?originalSubdomain=in" TargetMode="External"/><Relationship Id="rId43" Type="http://schemas.openxmlformats.org/officeDocument/2006/relationships/hyperlink" Target="https://www.linkedin.com/in/arnavk/?originalSubdomain=in" TargetMode="External"/><Relationship Id="rId46" Type="http://schemas.openxmlformats.org/officeDocument/2006/relationships/hyperlink" Target="https://www.linkedin.com/in/romita-mazumdar-063777a5/?originalSubdomain=in" TargetMode="External"/><Relationship Id="rId45" Type="http://schemas.openxmlformats.org/officeDocument/2006/relationships/hyperlink" Target="https://www.linkedin.com/in/preeti-tamhane-99a0a7373/?originalSubdomain=in" TargetMode="External"/><Relationship Id="rId48" Type="http://schemas.openxmlformats.org/officeDocument/2006/relationships/hyperlink" Target="https://www.linkedin.com/in/siddhanth-sanghavi/?originalSubdomain=in" TargetMode="External"/><Relationship Id="rId47" Type="http://schemas.openxmlformats.org/officeDocument/2006/relationships/hyperlink" Target="https://www.linkedin.com/in/abdul-aziz-ansari-93519024b/?originalSubdomain=in" TargetMode="External"/><Relationship Id="rId49" Type="http://schemas.openxmlformats.org/officeDocument/2006/relationships/hyperlink" Target="https://www.linkedin.com/in/nalinagrawal/?originalSubdomain=in" TargetMode="External"/><Relationship Id="rId31" Type="http://schemas.openxmlformats.org/officeDocument/2006/relationships/hyperlink" Target="https://www.linkedin.com/in/victorsenapaty/?originalSubdomain=in" TargetMode="External"/><Relationship Id="rId30" Type="http://schemas.openxmlformats.org/officeDocument/2006/relationships/hyperlink" Target="https://www.linkedin.com/in/tarun-kondepudi/?originalSubdomain=in" TargetMode="External"/><Relationship Id="rId33" Type="http://schemas.openxmlformats.org/officeDocument/2006/relationships/hyperlink" Target="https://www.linkedin.com/in/bibhu-prasad-das-cfa/?originalSubdomain=in" TargetMode="External"/><Relationship Id="rId32" Type="http://schemas.openxmlformats.org/officeDocument/2006/relationships/hyperlink" Target="https://www.linkedin.com/in/brijeshsamantaray/" TargetMode="External"/><Relationship Id="rId35" Type="http://schemas.openxmlformats.org/officeDocument/2006/relationships/hyperlink" Target="https://www.linkedin.com/in/anilgoteti/" TargetMode="External"/><Relationship Id="rId34" Type="http://schemas.openxmlformats.org/officeDocument/2006/relationships/hyperlink" Target="https://www.linkedin.com/in/nagarajan-ramachandran-3422ba234/?originalSubdomain=in" TargetMode="External"/><Relationship Id="rId37" Type="http://schemas.openxmlformats.org/officeDocument/2006/relationships/hyperlink" Target="https://www.linkedin.com/in/anandkandadai/?originalSubdomain=in" TargetMode="External"/><Relationship Id="rId36" Type="http://schemas.openxmlformats.org/officeDocument/2006/relationships/hyperlink" Target="https://www.linkedin.com/in/poonamdugar/?originalSubdomain=in" TargetMode="External"/><Relationship Id="rId39" Type="http://schemas.openxmlformats.org/officeDocument/2006/relationships/hyperlink" Target="https://www.linkedin.com/in/gaganmakker/" TargetMode="External"/><Relationship Id="rId38" Type="http://schemas.openxmlformats.org/officeDocument/2006/relationships/hyperlink" Target="https://www.linkedin.com/in/anuragkedia/?originalSubdomain=in" TargetMode="External"/><Relationship Id="rId20" Type="http://schemas.openxmlformats.org/officeDocument/2006/relationships/hyperlink" Target="https://www.linkedin.com/in/rajesh-gupta-recyclekaro/" TargetMode="External"/><Relationship Id="rId22" Type="http://schemas.openxmlformats.org/officeDocument/2006/relationships/hyperlink" Target="https://www.linkedin.com/in/siddharthrdungarwal/?originalSubdomain=in" TargetMode="External"/><Relationship Id="rId21" Type="http://schemas.openxmlformats.org/officeDocument/2006/relationships/hyperlink" Target="https://www.linkedin.com/in/vinod-lokhande-282991307/?originalSubdomain=in" TargetMode="External"/><Relationship Id="rId24" Type="http://schemas.openxmlformats.org/officeDocument/2006/relationships/hyperlink" Target="https://www.linkedin.com/in/pratikagarwal11/?originalSubdomain=in" TargetMode="External"/><Relationship Id="rId23" Type="http://schemas.openxmlformats.org/officeDocument/2006/relationships/hyperlink" Target="https://www.linkedin.com/in/hardik-parekh-3884a099/" TargetMode="External"/><Relationship Id="rId26" Type="http://schemas.openxmlformats.org/officeDocument/2006/relationships/hyperlink" Target="https://www.linkedin.com/in/abhishek-agarwal-0b442690/?originalSubdomain=in" TargetMode="External"/><Relationship Id="rId25" Type="http://schemas.openxmlformats.org/officeDocument/2006/relationships/hyperlink" Target="https://www.linkedin.com/in/akash92sharma/?originalSubdomain=in" TargetMode="External"/><Relationship Id="rId28" Type="http://schemas.openxmlformats.org/officeDocument/2006/relationships/hyperlink" Target="https://www.linkedin.com/in/kunal-sharma-23830a9/?originalSubdomain=in" TargetMode="External"/><Relationship Id="rId27" Type="http://schemas.openxmlformats.org/officeDocument/2006/relationships/hyperlink" Target="https://www.linkedin.com/in/shubham-kumar-aa2032105/?originalSubdomain=in" TargetMode="External"/><Relationship Id="rId29" Type="http://schemas.openxmlformats.org/officeDocument/2006/relationships/hyperlink" Target="https://www.linkedin.com/in/ankurmuchhal/" TargetMode="External"/><Relationship Id="rId11" Type="http://schemas.openxmlformats.org/officeDocument/2006/relationships/hyperlink" Target="https://www.linkedin.com/in/nikhil-bhawsinka/?originalSubdomain=in" TargetMode="External"/><Relationship Id="rId10" Type="http://schemas.openxmlformats.org/officeDocument/2006/relationships/hyperlink" Target="https://www.linkedin.com/in/deshpandeanant/" TargetMode="External"/><Relationship Id="rId13" Type="http://schemas.openxmlformats.org/officeDocument/2006/relationships/hyperlink" Target="https://www.linkedin.com/in/prashantsachan/?originalSubdomain=in" TargetMode="External"/><Relationship Id="rId12" Type="http://schemas.openxmlformats.org/officeDocument/2006/relationships/hyperlink" Target="https://www.linkedin.com/in/foram-buch-4ba726184/?originalSubdomain=in" TargetMode="External"/><Relationship Id="rId15" Type="http://schemas.openxmlformats.org/officeDocument/2006/relationships/hyperlink" Target="https://www.linkedin.com/in/neha-singh-7260977a/?originalSubdomain=in" TargetMode="External"/><Relationship Id="rId14" Type="http://schemas.openxmlformats.org/officeDocument/2006/relationships/hyperlink" Target="https://www.linkedin.com/in/hirankumarg/?originalSubdomain=in" TargetMode="External"/><Relationship Id="rId17" Type="http://schemas.openxmlformats.org/officeDocument/2006/relationships/hyperlink" Target="https://www.linkedin.com/in/nitin-katiyar-01615818/" TargetMode="External"/><Relationship Id="rId16" Type="http://schemas.openxmlformats.org/officeDocument/2006/relationships/hyperlink" Target="https://www.linkedin.com/in/vmishra9/?originalSubdomain=in" TargetMode="External"/><Relationship Id="rId19" Type="http://schemas.openxmlformats.org/officeDocument/2006/relationships/hyperlink" Target="https://www.linkedin.com/in/prassann-daphal-a2a08127/?originalSubdomain=in" TargetMode="External"/><Relationship Id="rId18" Type="http://schemas.openxmlformats.org/officeDocument/2006/relationships/hyperlink" Target="https://www.linkedin.com/in/ananya-sharrma-22b73914a/?originalSubdomain=in" TargetMode="External"/><Relationship Id="rId84" Type="http://schemas.openxmlformats.org/officeDocument/2006/relationships/hyperlink" Target="https://www.linkedin.com/in/akshada-kardile/?originalSubdomain=in" TargetMode="External"/><Relationship Id="rId83" Type="http://schemas.openxmlformats.org/officeDocument/2006/relationships/hyperlink" Target="https://www.linkedin.com/in/kcshah/?originalSubdomain=in" TargetMode="External"/><Relationship Id="rId86" Type="http://schemas.openxmlformats.org/officeDocument/2006/relationships/hyperlink" Target="https://www.linkedin.com/in/lakshmi-narasimha-manyam-3a6663360/?originalSubdomain=in" TargetMode="External"/><Relationship Id="rId85" Type="http://schemas.openxmlformats.org/officeDocument/2006/relationships/hyperlink" Target="https://www.linkedin.com/in/mohammad-nishanth-09901a193/?originalSubdomain=in" TargetMode="External"/><Relationship Id="rId88" Type="http://schemas.openxmlformats.org/officeDocument/2006/relationships/hyperlink" Target="https://www.linkedin.com/in/nitin-devatraj-b6943aa9/?originalSubdomain=in" TargetMode="External"/><Relationship Id="rId87" Type="http://schemas.openxmlformats.org/officeDocument/2006/relationships/hyperlink" Target="https://www.linkedin.com/in/sandeepg/?originalSubdomain=in" TargetMode="External"/><Relationship Id="rId89" Type="http://schemas.openxmlformats.org/officeDocument/2006/relationships/hyperlink" Target="https://www.linkedin.com/in/bhavnasc/?originalSubdomain=in" TargetMode="External"/><Relationship Id="rId80" Type="http://schemas.openxmlformats.org/officeDocument/2006/relationships/hyperlink" Target="https://www.linkedin.com/in/amevesharma/?originalSubdomain=in" TargetMode="External"/><Relationship Id="rId82" Type="http://schemas.openxmlformats.org/officeDocument/2006/relationships/hyperlink" Target="https://www.linkedin.com/in/yogesh-actuary/?originalSubdomain=in" TargetMode="External"/><Relationship Id="rId81" Type="http://schemas.openxmlformats.org/officeDocument/2006/relationships/hyperlink" Target="https://www.linkedin.com/in/midhun-manohar-77b146123/?originalSubdomain=in" TargetMode="External"/><Relationship Id="rId73" Type="http://schemas.openxmlformats.org/officeDocument/2006/relationships/hyperlink" Target="http://linkedin.com/in/vipin-raghavan-6142986/?originalSubdomain=in" TargetMode="External"/><Relationship Id="rId72" Type="http://schemas.openxmlformats.org/officeDocument/2006/relationships/hyperlink" Target="https://www.linkedin.com/in/rajat-kedia/?originalSubdomain=in" TargetMode="External"/><Relationship Id="rId75" Type="http://schemas.openxmlformats.org/officeDocument/2006/relationships/hyperlink" Target="https://www.linkedin.com/in/kishan-ap-0736b7194/?originalSubdomain=in" TargetMode="External"/><Relationship Id="rId74" Type="http://schemas.openxmlformats.org/officeDocument/2006/relationships/hyperlink" Target="https://www.linkedin.com/in/priya-venkat-811257122/" TargetMode="External"/><Relationship Id="rId77" Type="http://schemas.openxmlformats.org/officeDocument/2006/relationships/hyperlink" Target="https://www.linkedin.com/in/sandeep-bommireddi/?originalSubdomain=in" TargetMode="External"/><Relationship Id="rId76" Type="http://schemas.openxmlformats.org/officeDocument/2006/relationships/hyperlink" Target="https://www.linkedin.com/in/gsravanth/?originalSubdomain=in" TargetMode="External"/><Relationship Id="rId79" Type="http://schemas.openxmlformats.org/officeDocument/2006/relationships/hyperlink" Target="https://www.linkedin.com/in/shantanu-b535a010/?originalSubdomain=in" TargetMode="External"/><Relationship Id="rId78" Type="http://schemas.openxmlformats.org/officeDocument/2006/relationships/hyperlink" Target="https://www.linkedin.com/in/chandini-velaga-393b83256/?originalSubdomain=in" TargetMode="External"/><Relationship Id="rId71" Type="http://schemas.openxmlformats.org/officeDocument/2006/relationships/hyperlink" Target="https://www.linkedin.com/in/sharadsanghi/?originalSubdomain=in" TargetMode="External"/><Relationship Id="rId70" Type="http://schemas.openxmlformats.org/officeDocument/2006/relationships/hyperlink" Target="https://www.linkedin.com/in/anindya-d-0785a333b/?originalSubdomain=in" TargetMode="External"/><Relationship Id="rId62" Type="http://schemas.openxmlformats.org/officeDocument/2006/relationships/hyperlink" Target="https://www.linkedin.com/in/satish-jain-2a5709278/?originalSubdomain=in" TargetMode="External"/><Relationship Id="rId61" Type="http://schemas.openxmlformats.org/officeDocument/2006/relationships/hyperlink" Target="https://www.linkedin.com/in/pmi-aanchal-jain/?originalSubdomain=in" TargetMode="External"/><Relationship Id="rId64" Type="http://schemas.openxmlformats.org/officeDocument/2006/relationships/hyperlink" Target="https://www.linkedin.com/in/piyushsomani/?originalSubdomain=in" TargetMode="External"/><Relationship Id="rId63" Type="http://schemas.openxmlformats.org/officeDocument/2006/relationships/hyperlink" Target="https://www.linkedin.com/in/megha-rajora-2345311b/?originalSubdomain=in" TargetMode="External"/><Relationship Id="rId66" Type="http://schemas.openxmlformats.org/officeDocument/2006/relationships/hyperlink" Target="https://www.linkedin.com/in/iamkishoreshah/?originalSubdomain=in" TargetMode="External"/><Relationship Id="rId65" Type="http://schemas.openxmlformats.org/officeDocument/2006/relationships/hyperlink" Target="https://www.linkedin.com/in/sharmishtha-roy-a568a38b/?originalSubdomain=in" TargetMode="External"/><Relationship Id="rId68" Type="http://schemas.openxmlformats.org/officeDocument/2006/relationships/hyperlink" Target="https://www.linkedin.com/in/mayank-banerjee-b081507b/?originalSubdomain=in" TargetMode="External"/><Relationship Id="rId67" Type="http://schemas.openxmlformats.org/officeDocument/2006/relationships/hyperlink" Target="https://www.linkedin.com/in/matilde-giglio-774961a8/?originalSubdomain=in" TargetMode="External"/><Relationship Id="rId60" Type="http://schemas.openxmlformats.org/officeDocument/2006/relationships/hyperlink" Target="https://www.linkedin.com/in/vandana-mishra/?originalSubdomain=in" TargetMode="External"/><Relationship Id="rId69" Type="http://schemas.openxmlformats.org/officeDocument/2006/relationships/hyperlink" Target="https://www.linkedin.com/in/alessandro-ialongo/?originalSubdomain=in" TargetMode="External"/><Relationship Id="rId51" Type="http://schemas.openxmlformats.org/officeDocument/2006/relationships/hyperlink" Target="https://www.linkedin.com/in/anil-gelra-91890b4/" TargetMode="External"/><Relationship Id="rId50" Type="http://schemas.openxmlformats.org/officeDocument/2006/relationships/hyperlink" Target="https://www.linkedin.com/in/abhineet-sawa-31575b4/" TargetMode="External"/><Relationship Id="rId53" Type="http://schemas.openxmlformats.org/officeDocument/2006/relationships/hyperlink" Target="https://www.linkedin.com/in/shashankbijapur/" TargetMode="External"/><Relationship Id="rId52" Type="http://schemas.openxmlformats.org/officeDocument/2006/relationships/hyperlink" Target="https://www.linkedin.com/in/amitsharmaam/?originalSubdomain=in" TargetMode="External"/><Relationship Id="rId55" Type="http://schemas.openxmlformats.org/officeDocument/2006/relationships/hyperlink" Target="https://www.linkedin.com/in/saubhagya-mehta-m4/?originalSubdomain=in" TargetMode="External"/><Relationship Id="rId54" Type="http://schemas.openxmlformats.org/officeDocument/2006/relationships/hyperlink" Target="https://www.linkedin.com/in/madhavbhagat/?originalSubdomain=in" TargetMode="External"/><Relationship Id="rId57" Type="http://schemas.openxmlformats.org/officeDocument/2006/relationships/hyperlink" Target="https://www.linkedin.com/in/vivekgajula/?originalSubdomain=in" TargetMode="External"/><Relationship Id="rId56" Type="http://schemas.openxmlformats.org/officeDocument/2006/relationships/hyperlink" Target="https://www.linkedin.com/in/rohan-shah-3bb45489/?originalSubdomain=in" TargetMode="External"/><Relationship Id="rId59" Type="http://schemas.openxmlformats.org/officeDocument/2006/relationships/hyperlink" Target="http://linkedin.com/in/vinay/?originalSubdomain=in" TargetMode="External"/><Relationship Id="rId58" Type="http://schemas.openxmlformats.org/officeDocument/2006/relationships/hyperlink" Target="https://www.linkedin.com/in/ashishsemwal/?originalSubdomain=in" TargetMode="External"/><Relationship Id="rId349" Type="http://schemas.openxmlformats.org/officeDocument/2006/relationships/hyperlink" Target="https://www.linkedin.com/in/sravanth/" TargetMode="External"/><Relationship Id="rId348" Type="http://schemas.openxmlformats.org/officeDocument/2006/relationships/hyperlink" Target="https://in.linkedin.com/in/gupta-rahul" TargetMode="External"/><Relationship Id="rId347" Type="http://schemas.openxmlformats.org/officeDocument/2006/relationships/hyperlink" Target="https://www.crunchbase.com/person/khushnud-khan" TargetMode="External"/><Relationship Id="rId346" Type="http://schemas.openxmlformats.org/officeDocument/2006/relationships/hyperlink" Target="https://in.linkedin.com/in/prasanna-rao-a402ab44" TargetMode="External"/><Relationship Id="rId341" Type="http://schemas.openxmlformats.org/officeDocument/2006/relationships/hyperlink" Target="https://www.linkedin.com/in/lalit-ahuja-298139171/?originalSubdomain=in" TargetMode="External"/><Relationship Id="rId340" Type="http://schemas.openxmlformats.org/officeDocument/2006/relationships/hyperlink" Target="https://www.linkedin.com/in/srinath-ravichandran-09679a7/?originalSubdomain=in" TargetMode="External"/><Relationship Id="rId345" Type="http://schemas.openxmlformats.org/officeDocument/2006/relationships/hyperlink" Target="http://arya.ag" TargetMode="External"/><Relationship Id="rId344" Type="http://schemas.openxmlformats.org/officeDocument/2006/relationships/hyperlink" Target="https://www.linkedin.com/in/abhisheknayak" TargetMode="External"/><Relationship Id="rId343" Type="http://schemas.openxmlformats.org/officeDocument/2006/relationships/hyperlink" Target="https://www.linkedin.com/in/paddy-padmanabhan-4619103/?originalSubdomain=in" TargetMode="External"/><Relationship Id="rId342" Type="http://schemas.openxmlformats.org/officeDocument/2006/relationships/hyperlink" Target="https://www.linkedin.com/in/shrutipy/?originalSubdomain=in" TargetMode="External"/><Relationship Id="rId338" Type="http://schemas.openxmlformats.org/officeDocument/2006/relationships/hyperlink" Target="https://www.linkedin.com/in/chirag-shah-41303024?originalSubdomain=in" TargetMode="External"/><Relationship Id="rId337" Type="http://schemas.openxmlformats.org/officeDocument/2006/relationships/hyperlink" Target="https://www.linkedin.com/in/kunalbahl?originalSubdomain=in" TargetMode="External"/><Relationship Id="rId336" Type="http://schemas.openxmlformats.org/officeDocument/2006/relationships/hyperlink" Target="https://www.linkedin.com/in/drkishorekumar/?originalSubdomain=in" TargetMode="External"/><Relationship Id="rId335" Type="http://schemas.openxmlformats.org/officeDocument/2006/relationships/hyperlink" Target="https://www.linkedin.com/in/yadavrajeev/?originalSubdomain=in" TargetMode="External"/><Relationship Id="rId339" Type="http://schemas.openxmlformats.org/officeDocument/2006/relationships/hyperlink" Target="https://www.linkedin.com/in/ravisubramanian1/?originalSubdomain=in" TargetMode="External"/><Relationship Id="rId330" Type="http://schemas.openxmlformats.org/officeDocument/2006/relationships/hyperlink" Target="http://linkedin.com/in/shivashish-chatterjee-51a6a57/?originalSubdomain=in" TargetMode="External"/><Relationship Id="rId334" Type="http://schemas.openxmlformats.org/officeDocument/2006/relationships/hyperlink" Target="https://www.linkedin.com/in/pkkhaitan/?originalSubdomain=in" TargetMode="External"/><Relationship Id="rId333" Type="http://schemas.openxmlformats.org/officeDocument/2006/relationships/hyperlink" Target="https://www.linkedin.com/in/sachaturvedi/" TargetMode="External"/><Relationship Id="rId332" Type="http://schemas.openxmlformats.org/officeDocument/2006/relationships/hyperlink" Target="https://www.linkedin.com/in/thevineetmittal/?originalSubdomain=in" TargetMode="External"/><Relationship Id="rId331" Type="http://schemas.openxmlformats.org/officeDocument/2006/relationships/hyperlink" Target="https://www.linkedin.com/in/harshvardhan-lunia-1189887/?originalSubdomain=in" TargetMode="External"/><Relationship Id="rId370" Type="http://schemas.openxmlformats.org/officeDocument/2006/relationships/hyperlink" Target="http://linkedin.com/in/drmahipalsachdev" TargetMode="External"/><Relationship Id="rId369" Type="http://schemas.openxmlformats.org/officeDocument/2006/relationships/hyperlink" Target="http://linkedin.com/in/gautamsinha" TargetMode="External"/><Relationship Id="rId368" Type="http://schemas.openxmlformats.org/officeDocument/2006/relationships/hyperlink" Target="https://in.linkedin.com/in/sinhaakash" TargetMode="External"/><Relationship Id="rId363" Type="http://schemas.openxmlformats.org/officeDocument/2006/relationships/hyperlink" Target="https://in.linkedin.com/in/sunil-khurana-230787121" TargetMode="External"/><Relationship Id="rId362" Type="http://schemas.openxmlformats.org/officeDocument/2006/relationships/hyperlink" Target="https://in.linkedin.com/in/amit-raj-06981213" TargetMode="External"/><Relationship Id="rId361" Type="http://schemas.openxmlformats.org/officeDocument/2006/relationships/hyperlink" Target="https://www.linkedin.com/in/alina-kisina-74b0478/" TargetMode="External"/><Relationship Id="rId360" Type="http://schemas.openxmlformats.org/officeDocument/2006/relationships/hyperlink" Target="https://in.linkedin.com/in/mchitharanjan" TargetMode="External"/><Relationship Id="rId367" Type="http://schemas.openxmlformats.org/officeDocument/2006/relationships/hyperlink" Target="https://nl.linkedin.com/in/uthamks" TargetMode="External"/><Relationship Id="rId366" Type="http://schemas.openxmlformats.org/officeDocument/2006/relationships/hyperlink" Target="https://in.linkedin.com/in/hari-thalapalli-1bb45112" TargetMode="External"/><Relationship Id="rId365" Type="http://schemas.openxmlformats.org/officeDocument/2006/relationships/hyperlink" Target="https://in.linkedin.com/in/ashwin-mittal-a99b09" TargetMode="External"/><Relationship Id="rId364" Type="http://schemas.openxmlformats.org/officeDocument/2006/relationships/hyperlink" Target="https://www.linkedin.com/in/matthew-flannery-4b6895111" TargetMode="External"/><Relationship Id="rId95" Type="http://schemas.openxmlformats.org/officeDocument/2006/relationships/hyperlink" Target="https://www.linkedin.com/in/anandprabhudesai/?originalSubdomain=in" TargetMode="External"/><Relationship Id="rId94" Type="http://schemas.openxmlformats.org/officeDocument/2006/relationships/hyperlink" Target="https://www.linkedin.com/in/anupama-tigga-40952846/?originalSubdomain=in" TargetMode="External"/><Relationship Id="rId97" Type="http://schemas.openxmlformats.org/officeDocument/2006/relationships/hyperlink" Target="https://www.linkedin.com/in/sunny-bhatia-9244b314/?originalSubdomain=in" TargetMode="External"/><Relationship Id="rId96" Type="http://schemas.openxmlformats.org/officeDocument/2006/relationships/hyperlink" Target="https://www.linkedin.com/in/dhirendra-mahyavanshi-turtlemint/?originalSubdomain=in" TargetMode="External"/><Relationship Id="rId99" Type="http://schemas.openxmlformats.org/officeDocument/2006/relationships/hyperlink" Target="https://www.linkedin.com/in/prafull-billore-a228019b/?originalSubdomain=in" TargetMode="External"/><Relationship Id="rId98" Type="http://schemas.openxmlformats.org/officeDocument/2006/relationships/hyperlink" Target="https://www.linkedin.com/in/vivek-billore-00049a1a6/?originalSubdomain=in" TargetMode="External"/><Relationship Id="rId91" Type="http://schemas.openxmlformats.org/officeDocument/2006/relationships/hyperlink" Target="https://www.linkedin.com/in/dvenkatesh/" TargetMode="External"/><Relationship Id="rId90" Type="http://schemas.openxmlformats.org/officeDocument/2006/relationships/hyperlink" Target="https://www.linkedin.com/in/ankurhan/?originalSubdomain=in" TargetMode="External"/><Relationship Id="rId93" Type="http://schemas.openxmlformats.org/officeDocument/2006/relationships/hyperlink" Target="https://www.linkedin.com/in/sachin-agrawal-903b8323/?originalSubdomain=in" TargetMode="External"/><Relationship Id="rId92" Type="http://schemas.openxmlformats.org/officeDocument/2006/relationships/hyperlink" Target="https://www.linkedin.com/in/bhuvan/?originalSubdomain=in" TargetMode="External"/><Relationship Id="rId359" Type="http://schemas.openxmlformats.org/officeDocument/2006/relationships/hyperlink" Target="https://in.linkedin.com/in/ajain6" TargetMode="External"/><Relationship Id="rId358" Type="http://schemas.openxmlformats.org/officeDocument/2006/relationships/hyperlink" Target="https://in.linkedin.com/in/jitendra-hegde-731246172" TargetMode="External"/><Relationship Id="rId357" Type="http://schemas.openxmlformats.org/officeDocument/2006/relationships/hyperlink" Target="https://in.linkedin.com/in/siddharth-vij-ab4abb7a" TargetMode="External"/><Relationship Id="rId352" Type="http://schemas.openxmlformats.org/officeDocument/2006/relationships/hyperlink" Target="https://in.linkedin.com/in/gautam-c-3009a710" TargetMode="External"/><Relationship Id="rId351" Type="http://schemas.openxmlformats.org/officeDocument/2006/relationships/hyperlink" Target="https://www.linkedin.com/posts/bandhanbank_shri-chandra-shekhar-ghosh-md-ceo-bandhan-activity-6981133832699699200-PxIn" TargetMode="External"/><Relationship Id="rId350" Type="http://schemas.openxmlformats.org/officeDocument/2006/relationships/hyperlink" Target="https://in.linkedin.com/in/villoo-morawala-patell-101720" TargetMode="External"/><Relationship Id="rId356" Type="http://schemas.openxmlformats.org/officeDocument/2006/relationships/hyperlink" Target="https://www.linkedin.com/in/kapilmathrani/" TargetMode="External"/><Relationship Id="rId355" Type="http://schemas.openxmlformats.org/officeDocument/2006/relationships/hyperlink" Target="https://in.linkedin.com/in/meena-bindra-521ab69b" TargetMode="External"/><Relationship Id="rId354" Type="http://schemas.openxmlformats.org/officeDocument/2006/relationships/hyperlink" Target="https://in.linkedin.com/in/hirenshah3" TargetMode="External"/><Relationship Id="rId353" Type="http://schemas.openxmlformats.org/officeDocument/2006/relationships/hyperlink" Target="https://in.linkedin.com/in/aakashanand" TargetMode="External"/><Relationship Id="rId305" Type="http://schemas.openxmlformats.org/officeDocument/2006/relationships/hyperlink" Target="https://www.linkedin.com/in/shashanknd/?originalSubdomain=in" TargetMode="External"/><Relationship Id="rId304" Type="http://schemas.openxmlformats.org/officeDocument/2006/relationships/hyperlink" Target="https://www.linkedin.com/in/tushar-aggarwal-4883421/?originalSubdomain=in" TargetMode="External"/><Relationship Id="rId303" Type="http://schemas.openxmlformats.org/officeDocument/2006/relationships/hyperlink" Target="https://www.linkedin.com/in/ranvir-singh-23701719/" TargetMode="External"/><Relationship Id="rId302" Type="http://schemas.openxmlformats.org/officeDocument/2006/relationships/hyperlink" Target="https://www.linkedin.com/in/krishnan-vishwanathan-76a970/?originalSubdomain=in" TargetMode="External"/><Relationship Id="rId309" Type="http://schemas.openxmlformats.org/officeDocument/2006/relationships/hyperlink" Target="https://www.linkedin.com/in/rohan-nayak/?originalSubdomain=in" TargetMode="External"/><Relationship Id="rId308" Type="http://schemas.openxmlformats.org/officeDocument/2006/relationships/hyperlink" Target="https://www.linkedin.com/in/nibhrantshah/?originalSubdomain=in" TargetMode="External"/><Relationship Id="rId307" Type="http://schemas.openxmlformats.org/officeDocument/2006/relationships/hyperlink" Target="https://www.linkedin.com/in/anshumbhambri/" TargetMode="External"/><Relationship Id="rId306" Type="http://schemas.openxmlformats.org/officeDocument/2006/relationships/hyperlink" Target="https://www.linkedin.com/in/sreevathsap/" TargetMode="External"/><Relationship Id="rId301" Type="http://schemas.openxmlformats.org/officeDocument/2006/relationships/hyperlink" Target="https://www.linkedin.com/in/kvkumar?originalSubdomain=in" TargetMode="External"/><Relationship Id="rId300" Type="http://schemas.openxmlformats.org/officeDocument/2006/relationships/hyperlink" Target="https://www.linkedin.com/in/sumit-chingari/" TargetMode="External"/><Relationship Id="rId327" Type="http://schemas.openxmlformats.org/officeDocument/2006/relationships/hyperlink" Target="https://www.linkedin.com/in/sunil-tom/" TargetMode="External"/><Relationship Id="rId326" Type="http://schemas.openxmlformats.org/officeDocument/2006/relationships/hyperlink" Target="https://www.linkedin.com/in/dharmilsheth/?originalSubdomain=in" TargetMode="External"/><Relationship Id="rId325" Type="http://schemas.openxmlformats.org/officeDocument/2006/relationships/hyperlink" Target="https://www.linkedin.com/in/karthik-jayaraman-87924a1/?originalSubdomain=in" TargetMode="External"/><Relationship Id="rId324" Type="http://schemas.openxmlformats.org/officeDocument/2006/relationships/hyperlink" Target="https://www.linkedin.com/in/voiceaiagent/" TargetMode="External"/><Relationship Id="rId329" Type="http://schemas.openxmlformats.org/officeDocument/2006/relationships/hyperlink" Target="https://www.linkedin.com/in/jaydeepbarman/?originalSubdomain=in" TargetMode="External"/><Relationship Id="rId328" Type="http://schemas.openxmlformats.org/officeDocument/2006/relationships/hyperlink" Target="https://www.linkedin.com/in/sameer-maheshwari-7a8a78/?originalSubdomain=in" TargetMode="External"/><Relationship Id="rId323" Type="http://schemas.openxmlformats.org/officeDocument/2006/relationships/hyperlink" Target="http://observe.ai" TargetMode="External"/><Relationship Id="rId322" Type="http://schemas.openxmlformats.org/officeDocument/2006/relationships/hyperlink" Target="https://www.linkedin.com/in/madhusudane/?originalSubdomain=in" TargetMode="External"/><Relationship Id="rId321" Type="http://schemas.openxmlformats.org/officeDocument/2006/relationships/hyperlink" Target="https://www.linkedin.com/in/sunildhingra/?originalSubdomain=in" TargetMode="External"/><Relationship Id="rId320" Type="http://schemas.openxmlformats.org/officeDocument/2006/relationships/hyperlink" Target="https://www.linkedin.com/in/rteja/" TargetMode="External"/><Relationship Id="rId316" Type="http://schemas.openxmlformats.org/officeDocument/2006/relationships/hyperlink" Target="http://linkedin.com/in/deepak-h-saluja?originalSubdomain=ae" TargetMode="External"/><Relationship Id="rId315" Type="http://schemas.openxmlformats.org/officeDocument/2006/relationships/hyperlink" Target="https://www.linkedin.com/in/ankitnagori/?originalSubdomain=in" TargetMode="External"/><Relationship Id="rId314" Type="http://schemas.openxmlformats.org/officeDocument/2006/relationships/hyperlink" Target="https://www.linkedin.com/in/dilsher-malhi-983ab5121/?originalSubdomain=in" TargetMode="External"/><Relationship Id="rId313" Type="http://schemas.openxmlformats.org/officeDocument/2006/relationships/hyperlink" Target="https://www.linkedin.com/in/shubham015/" TargetMode="External"/><Relationship Id="rId319" Type="http://schemas.openxmlformats.org/officeDocument/2006/relationships/hyperlink" Target="https://www.linkedin.com/in/shardul-sheth-aa1aa659/?originalSubdomain=in" TargetMode="External"/><Relationship Id="rId318" Type="http://schemas.openxmlformats.org/officeDocument/2006/relationships/hyperlink" Target="https://www.linkedin.com/in/graghunandan/?originalSubdomain=in" TargetMode="External"/><Relationship Id="rId317" Type="http://schemas.openxmlformats.org/officeDocument/2006/relationships/hyperlink" Target="https://www.linkedin.com/in/cardekhoamitjain/?originalSubdomain=in" TargetMode="External"/><Relationship Id="rId312" Type="http://schemas.openxmlformats.org/officeDocument/2006/relationships/hyperlink" Target="https://www.linkedin.com/in/sandeep-nailwal-60709a33/" TargetMode="External"/><Relationship Id="rId311" Type="http://schemas.openxmlformats.org/officeDocument/2006/relationships/hyperlink" Target="https://www.linkedin.com/in/anup-agarwal-2033222/?originalSubdomain=in" TargetMode="External"/><Relationship Id="rId310" Type="http://schemas.openxmlformats.org/officeDocument/2006/relationships/hyperlink" Target="https://www.linkedin.com/in/angad-k-68478312/?originalSubdomain=in" TargetMode="External"/><Relationship Id="rId297" Type="http://schemas.openxmlformats.org/officeDocument/2006/relationships/hyperlink" Target="https://www.linkedin.com/in/amit-banerji-36533b4/" TargetMode="External"/><Relationship Id="rId296" Type="http://schemas.openxmlformats.org/officeDocument/2006/relationships/hyperlink" Target="http://linkedin.com/in/vivekananda-hallekere-0483bb19?originalSubdomain=in" TargetMode="External"/><Relationship Id="rId295" Type="http://schemas.openxmlformats.org/officeDocument/2006/relationships/hyperlink" Target="https://www.linkedin.com/in/cardekhoamitjain/" TargetMode="External"/><Relationship Id="rId294" Type="http://schemas.openxmlformats.org/officeDocument/2006/relationships/hyperlink" Target="https://www.linkedin.com/in/rawatprateek/" TargetMode="External"/><Relationship Id="rId299" Type="http://schemas.openxmlformats.org/officeDocument/2006/relationships/hyperlink" Target="https://www.linkedin.com/in/akshay-hiranandani-82a1b7b/" TargetMode="External"/><Relationship Id="rId298" Type="http://schemas.openxmlformats.org/officeDocument/2006/relationships/hyperlink" Target="https://www.linkedin.com/in/gagan-gupta-2a407215/" TargetMode="External"/><Relationship Id="rId271" Type="http://schemas.openxmlformats.org/officeDocument/2006/relationships/hyperlink" Target="https://www.linkedin.com/in/architgupta/" TargetMode="External"/><Relationship Id="rId270" Type="http://schemas.openxmlformats.org/officeDocument/2006/relationships/hyperlink" Target="http://linkedin.com/in/ravish-naresh-72543359?originalSubdomain=in" TargetMode="External"/><Relationship Id="rId269" Type="http://schemas.openxmlformats.org/officeDocument/2006/relationships/hyperlink" Target="https://www.linkedin.com/in/vinay-sanghi-296a4413/" TargetMode="External"/><Relationship Id="rId264" Type="http://schemas.openxmlformats.org/officeDocument/2006/relationships/hyperlink" Target="https://www.linkedin.com/in/paavan-nanda-68b41924/" TargetMode="External"/><Relationship Id="rId263" Type="http://schemas.openxmlformats.org/officeDocument/2006/relationships/hyperlink" Target="https://www.linkedin.com/in/rikantpitti/" TargetMode="External"/><Relationship Id="rId262" Type="http://schemas.openxmlformats.org/officeDocument/2006/relationships/hyperlink" Target="https://www.linkedin.com/in/nishant-pitti-a956b079/" TargetMode="External"/><Relationship Id="rId261" Type="http://schemas.openxmlformats.org/officeDocument/2006/relationships/hyperlink" Target="https://www.linkedin.com/in/execamit/" TargetMode="External"/><Relationship Id="rId268" Type="http://schemas.openxmlformats.org/officeDocument/2006/relationships/hyperlink" Target="https://www.linkedin.com/in/arjun-shetty-bb/" TargetMode="External"/><Relationship Id="rId267" Type="http://schemas.openxmlformats.org/officeDocument/2006/relationships/hyperlink" Target="https://www.linkedin.com/in/adhilshetty/" TargetMode="External"/><Relationship Id="rId266" Type="http://schemas.openxmlformats.org/officeDocument/2006/relationships/hyperlink" Target="https://www.linkedin.com/in/ajaylakhotia/" TargetMode="External"/><Relationship Id="rId265" Type="http://schemas.openxmlformats.org/officeDocument/2006/relationships/hyperlink" Target="https://www.linkedin.com/in/saumya-singh-rathore/" TargetMode="External"/><Relationship Id="rId260" Type="http://schemas.openxmlformats.org/officeDocument/2006/relationships/hyperlink" Target="https://www.linkedin.com/in/ashishkashyap/" TargetMode="External"/><Relationship Id="rId259" Type="http://schemas.openxmlformats.org/officeDocument/2006/relationships/hyperlink" Target="http://linkedin.com/in/manoj-upadhyay-013a5410?originalSubdomain=in" TargetMode="External"/><Relationship Id="rId258" Type="http://schemas.openxmlformats.org/officeDocument/2006/relationships/hyperlink" Target="http://linkedin.com/in/kameshgoyal?originalSubdomain=in" TargetMode="External"/><Relationship Id="rId253" Type="http://schemas.openxmlformats.org/officeDocument/2006/relationships/hyperlink" Target="https://www.linkedin.com/in/ravi-vishvanathan-09922098/" TargetMode="External"/><Relationship Id="rId252" Type="http://schemas.openxmlformats.org/officeDocument/2006/relationships/hyperlink" Target="https://www.linkedin.com/in/thirukumaran-nagarajan-51870242?originalSubdomain=in" TargetMode="External"/><Relationship Id="rId251" Type="http://schemas.openxmlformats.org/officeDocument/2006/relationships/hyperlink" Target="https://www.linkedin.com/in/geetanshbamania/" TargetMode="External"/><Relationship Id="rId250" Type="http://schemas.openxmlformats.org/officeDocument/2006/relationships/hyperlink" Target="https://www.linkedin.com/in/abhishekkumariima/" TargetMode="External"/><Relationship Id="rId257" Type="http://schemas.openxmlformats.org/officeDocument/2006/relationships/hyperlink" Target="https://www.linkedin.com/in/aman-arora-20a8b945/" TargetMode="External"/><Relationship Id="rId256" Type="http://schemas.openxmlformats.org/officeDocument/2006/relationships/hyperlink" Target="https://www.linkedin.com/in/agastya-dalmia-10b05139/" TargetMode="External"/><Relationship Id="rId255" Type="http://schemas.openxmlformats.org/officeDocument/2006/relationships/hyperlink" Target="https://www.linkedin.com/in/ketan-patel-0814b7/" TargetMode="External"/><Relationship Id="rId254" Type="http://schemas.openxmlformats.org/officeDocument/2006/relationships/hyperlink" Target="https://www.linkedin.com/in/manish-patel-827a1124/" TargetMode="External"/><Relationship Id="rId293" Type="http://schemas.openxmlformats.org/officeDocument/2006/relationships/hyperlink" Target="https://www.linkedin.com/in/manish-arora-50499614/" TargetMode="External"/><Relationship Id="rId292" Type="http://schemas.openxmlformats.org/officeDocument/2006/relationships/hyperlink" Target="https://www.linkedin.com/in/pulkitkhurana/" TargetMode="External"/><Relationship Id="rId291" Type="http://schemas.openxmlformats.org/officeDocument/2006/relationships/hyperlink" Target="https://www.linkedin.com/in/abhisheknehru/" TargetMode="External"/><Relationship Id="rId290" Type="http://schemas.openxmlformats.org/officeDocument/2006/relationships/hyperlink" Target="https://www.linkedin.com/in/rajat-verma-751773/" TargetMode="External"/><Relationship Id="rId286" Type="http://schemas.openxmlformats.org/officeDocument/2006/relationships/hyperlink" Target="https://www.linkedin.com/in/dr-arpi-mehta-b16871159/" TargetMode="External"/><Relationship Id="rId285" Type="http://schemas.openxmlformats.org/officeDocument/2006/relationships/hyperlink" Target="https://www.linkedin.com/in/presha-p-a179415b/" TargetMode="External"/><Relationship Id="rId284" Type="http://schemas.openxmlformats.org/officeDocument/2006/relationships/hyperlink" Target="https://www.linkedin.com/in/pranay-chulet-3911a7/" TargetMode="External"/><Relationship Id="rId283" Type="http://schemas.openxmlformats.org/officeDocument/2006/relationships/hyperlink" Target="https://www.linkedin.com/in/rajesh-doshi-aa578566/" TargetMode="External"/><Relationship Id="rId289" Type="http://schemas.openxmlformats.org/officeDocument/2006/relationships/hyperlink" Target="https://www.linkedin.com/in/manoj-meena-46510415/" TargetMode="External"/><Relationship Id="rId288" Type="http://schemas.openxmlformats.org/officeDocument/2006/relationships/hyperlink" Target="http://linkedin.com/in/akshat-nayyar" TargetMode="External"/><Relationship Id="rId287" Type="http://schemas.openxmlformats.org/officeDocument/2006/relationships/hyperlink" Target="https://www.linkedin.com/in/dr-sudhir-mehta-79a2839/" TargetMode="External"/><Relationship Id="rId282" Type="http://schemas.openxmlformats.org/officeDocument/2006/relationships/hyperlink" Target="http://linkedin.com/in/cpankaj?originalSubdomain=in" TargetMode="External"/><Relationship Id="rId281" Type="http://schemas.openxmlformats.org/officeDocument/2006/relationships/hyperlink" Target="https://www.linkedin.com/in/deepit-purkayastha/" TargetMode="External"/><Relationship Id="rId280" Type="http://schemas.openxmlformats.org/officeDocument/2006/relationships/hyperlink" Target="https://www.linkedin.com/in/azhariqubal/" TargetMode="External"/><Relationship Id="rId275" Type="http://schemas.openxmlformats.org/officeDocument/2006/relationships/hyperlink" Target="https://www.linkedin.com/in/jayantpaleti/" TargetMode="External"/><Relationship Id="rId274" Type="http://schemas.openxmlformats.org/officeDocument/2006/relationships/hyperlink" Target="https://www.linkedin.com/in/kumarvimal?originalSubdomain=in" TargetMode="External"/><Relationship Id="rId273" Type="http://schemas.openxmlformats.org/officeDocument/2006/relationships/hyperlink" Target="https://www.linkedin.com/in/neeraj-biyani-7411234/" TargetMode="External"/><Relationship Id="rId272" Type="http://schemas.openxmlformats.org/officeDocument/2006/relationships/hyperlink" Target="https://www.linkedin.com/in/neeraj-kakkar-2410839/" TargetMode="External"/><Relationship Id="rId279" Type="http://schemas.openxmlformats.org/officeDocument/2006/relationships/hyperlink" Target="https://www.linkedin.com/in/rajnishkumar-ixigo/" TargetMode="External"/><Relationship Id="rId278" Type="http://schemas.openxmlformats.org/officeDocument/2006/relationships/hyperlink" Target="https://www.linkedin.com/in/alokebajpai/" TargetMode="External"/><Relationship Id="rId277" Type="http://schemas.openxmlformats.org/officeDocument/2006/relationships/hyperlink" Target="https://www.linkedin.com/in/rohit-chennamaneni/" TargetMode="External"/><Relationship Id="rId276" Type="http://schemas.openxmlformats.org/officeDocument/2006/relationships/hyperlink" Target="https://www.linkedin.com/in/chaitanyapeddi/" TargetMode="External"/><Relationship Id="rId228" Type="http://schemas.openxmlformats.org/officeDocument/2006/relationships/hyperlink" Target="https://www.linkedin.com/in/vinod-kumar-meena-0b3a165a/" TargetMode="External"/><Relationship Id="rId227" Type="http://schemas.openxmlformats.org/officeDocument/2006/relationships/hyperlink" Target="https://www.linkedin.com/in/lalchandbisu/" TargetMode="External"/><Relationship Id="rId226" Type="http://schemas.openxmlformats.org/officeDocument/2006/relationships/hyperlink" Target="https://www.linkedin.com/in/punit-k-goyal/" TargetMode="External"/><Relationship Id="rId225" Type="http://schemas.openxmlformats.org/officeDocument/2006/relationships/hyperlink" Target="https://www.linkedin.com/in/anmolsinghjaggi/" TargetMode="External"/><Relationship Id="rId229" Type="http://schemas.openxmlformats.org/officeDocument/2006/relationships/hyperlink" Target="https://www.linkedin.com/in/vikas-goyal-76a66627/" TargetMode="External"/><Relationship Id="rId220" Type="http://schemas.openxmlformats.org/officeDocument/2006/relationships/hyperlink" Target="http://linkedin.com/in/shankarprasad?originalSubdomain=in" TargetMode="External"/><Relationship Id="rId224" Type="http://schemas.openxmlformats.org/officeDocument/2006/relationships/hyperlink" Target="https://www.linkedin.com/in/samarth-narang/" TargetMode="External"/><Relationship Id="rId223" Type="http://schemas.openxmlformats.org/officeDocument/2006/relationships/hyperlink" Target="https://www.linkedin.com/in/rashinarang/" TargetMode="External"/><Relationship Id="rId222" Type="http://schemas.openxmlformats.org/officeDocument/2006/relationships/hyperlink" Target="https://www.linkedin.com/in/rahul-yadav-minimalist/" TargetMode="External"/><Relationship Id="rId221" Type="http://schemas.openxmlformats.org/officeDocument/2006/relationships/hyperlink" Target="https://www.linkedin.com/in/mohit-yadav-minimalist/" TargetMode="External"/><Relationship Id="rId217" Type="http://schemas.openxmlformats.org/officeDocument/2006/relationships/hyperlink" Target="https://www.linkedin.com/in/shantanudeshpandebsc/" TargetMode="External"/><Relationship Id="rId216" Type="http://schemas.openxmlformats.org/officeDocument/2006/relationships/hyperlink" Target="https://www.linkedin.com/in/chaitanyaramalingegowda/" TargetMode="External"/><Relationship Id="rId215" Type="http://schemas.openxmlformats.org/officeDocument/2006/relationships/hyperlink" Target="https://www.linkedin.com/in/ankitgarg-wakefit/" TargetMode="External"/><Relationship Id="rId214" Type="http://schemas.openxmlformats.org/officeDocument/2006/relationships/hyperlink" Target="https://www.linkedin.com/in/tanuj-choudhry/" TargetMode="External"/><Relationship Id="rId219" Type="http://schemas.openxmlformats.org/officeDocument/2006/relationships/hyperlink" Target="https://www.linkedin.com/in/vikas-lachhwani/" TargetMode="External"/><Relationship Id="rId218" Type="http://schemas.openxmlformats.org/officeDocument/2006/relationships/hyperlink" Target="https://www.linkedin.com/in/tarun-sharma-a5993328?originalSubdomain=in" TargetMode="External"/><Relationship Id="rId213" Type="http://schemas.openxmlformats.org/officeDocument/2006/relationships/hyperlink" Target="https://www.linkedin.com/in/iyersrikanth/" TargetMode="External"/><Relationship Id="rId212" Type="http://schemas.openxmlformats.org/officeDocument/2006/relationships/hyperlink" Target="https://www.linkedin.com/in/virendra-ranawat/" TargetMode="External"/><Relationship Id="rId211" Type="http://schemas.openxmlformats.org/officeDocument/2006/relationships/hyperlink" Target="https://www.linkedin.com/in/lokendra-singh-ranawat-84324117/" TargetMode="External"/><Relationship Id="rId210" Type="http://schemas.openxmlformats.org/officeDocument/2006/relationships/hyperlink" Target="https://www.linkedin.com/in/nitin-kaushal-cd/" TargetMode="External"/><Relationship Id="rId249" Type="http://schemas.openxmlformats.org/officeDocument/2006/relationships/hyperlink" Target="https://www.linkedin.com/in/vijay-arisetty-b952084/" TargetMode="External"/><Relationship Id="rId248" Type="http://schemas.openxmlformats.org/officeDocument/2006/relationships/hyperlink" Target="https://www.linkedin.com/in/rahulsanand/" TargetMode="External"/><Relationship Id="rId247" Type="http://schemas.openxmlformats.org/officeDocument/2006/relationships/hyperlink" Target="https://www.linkedin.com/in/aniketdeb/" TargetMode="External"/><Relationship Id="rId242" Type="http://schemas.openxmlformats.org/officeDocument/2006/relationships/hyperlink" Target="https://www.linkedin.com/in/agarwalmanu/" TargetMode="External"/><Relationship Id="rId241" Type="http://schemas.openxmlformats.org/officeDocument/2006/relationships/hyperlink" Target="https://www.linkedin.com/in/parikshitdar/" TargetMode="External"/><Relationship Id="rId240" Type="http://schemas.openxmlformats.org/officeDocument/2006/relationships/hyperlink" Target="https://www.linkedin.com/in/ashishhemrajani/" TargetMode="External"/><Relationship Id="rId246" Type="http://schemas.openxmlformats.org/officeDocument/2006/relationships/hyperlink" Target="https://www.linkedin.com/in/umangbedi/" TargetMode="External"/><Relationship Id="rId245" Type="http://schemas.openxmlformats.org/officeDocument/2006/relationships/hyperlink" Target="https://www.linkedin.com/in/virendra-gupta-190a44/" TargetMode="External"/><Relationship Id="rId244" Type="http://schemas.openxmlformats.org/officeDocument/2006/relationships/hyperlink" Target="https://www.linkedin.com/in/sahasmalhotra/" TargetMode="External"/><Relationship Id="rId243" Type="http://schemas.openxmlformats.org/officeDocument/2006/relationships/hyperlink" Target="https://www.linkedin.com/in/asshah76/" TargetMode="External"/><Relationship Id="rId239" Type="http://schemas.openxmlformats.org/officeDocument/2006/relationships/hyperlink" Target="https://www.linkedin.com/in/dalvir-suri-5b078918/" TargetMode="External"/><Relationship Id="rId238" Type="http://schemas.openxmlformats.org/officeDocument/2006/relationships/hyperlink" Target="https://www.linkedin.com/in/kabeerbiswas/" TargetMode="External"/><Relationship Id="rId237" Type="http://schemas.openxmlformats.org/officeDocument/2006/relationships/hyperlink" Target="https://www.linkedin.com/in/kaivalya-vohra/" TargetMode="External"/><Relationship Id="rId236" Type="http://schemas.openxmlformats.org/officeDocument/2006/relationships/hyperlink" Target="https://www.linkedin.com/in/aadit-palicha/" TargetMode="External"/><Relationship Id="rId231" Type="http://schemas.openxmlformats.org/officeDocument/2006/relationships/hyperlink" Target="https://www.linkedin.com/in/nakulkumar/" TargetMode="External"/><Relationship Id="rId230" Type="http://schemas.openxmlformats.org/officeDocument/2006/relationships/hyperlink" Target="https://www.linkedin.com/in/mandeepmanocha/" TargetMode="External"/><Relationship Id="rId235" Type="http://schemas.openxmlformats.org/officeDocument/2006/relationships/hyperlink" Target="https://www.linkedin.com/in/sachin-nandwana-1b3b2413/" TargetMode="External"/><Relationship Id="rId234" Type="http://schemas.openxmlformats.org/officeDocument/2006/relationships/hyperlink" Target="https://www.linkedin.com/in/sateeshnukala/" TargetMode="External"/><Relationship Id="rId233" Type="http://schemas.openxmlformats.org/officeDocument/2006/relationships/hyperlink" Target="https://www.linkedin.com/in/ishbabbar/" TargetMode="External"/><Relationship Id="rId232" Type="http://schemas.openxmlformats.org/officeDocument/2006/relationships/hyperlink" Target="https://www.linkedin.com/in/ankit-agrawal-0a95057/" TargetMode="External"/><Relationship Id="rId206" Type="http://schemas.openxmlformats.org/officeDocument/2006/relationships/hyperlink" Target="http://linkedin.com/in/saroja-yeramilli-2540321?originalSubdomain=in" TargetMode="External"/><Relationship Id="rId205" Type="http://schemas.openxmlformats.org/officeDocument/2006/relationships/hyperlink" Target="https://www.linkedin.com/in/gskush/" TargetMode="External"/><Relationship Id="rId204" Type="http://schemas.openxmlformats.org/officeDocument/2006/relationships/hyperlink" Target="https://www.linkedin.com/in/kaushikmukherjee/" TargetMode="External"/><Relationship Id="rId203" Type="http://schemas.openxmlformats.org/officeDocument/2006/relationships/hyperlink" Target="https://www.linkedin.com/in/vineetasingh-sugar/" TargetMode="External"/><Relationship Id="rId209" Type="http://schemas.openxmlformats.org/officeDocument/2006/relationships/hyperlink" Target="https://www.linkedin.com/in/chakradhar-gade/" TargetMode="External"/><Relationship Id="rId208" Type="http://schemas.openxmlformats.org/officeDocument/2006/relationships/hyperlink" Target="https://www.linkedin.com/in/nikita-prasad-giva/" TargetMode="External"/><Relationship Id="rId207" Type="http://schemas.openxmlformats.org/officeDocument/2006/relationships/hyperlink" Target="https://www.linkedin.com/in/ishendra-agarwal-23a91a55/" TargetMode="External"/><Relationship Id="rId202" Type="http://schemas.openxmlformats.org/officeDocument/2006/relationships/hyperlink" Target="https://www.linkedin.com/in/saurabhtandon-betterplace/" TargetMode="External"/><Relationship Id="rId201" Type="http://schemas.openxmlformats.org/officeDocument/2006/relationships/hyperlink" Target="https://www.linkedin.com/in/pravinagarwala/" TargetMode="External"/><Relationship Id="rId200" Type="http://schemas.openxmlformats.org/officeDocument/2006/relationships/hyperlink" Target="https://www.linkedin.com/in/jaysingh-lambdatest/" TargetMode="External"/><Relationship Id="rId190" Type="http://schemas.openxmlformats.org/officeDocument/2006/relationships/hyperlink" Target="https://www.linkedin.com/in/gaurav-srivastava-fareye/" TargetMode="External"/><Relationship Id="rId194" Type="http://schemas.openxmlformats.org/officeDocument/2006/relationships/hyperlink" Target="https://www.linkedin.com/in/amitlakhotia/" TargetMode="External"/><Relationship Id="rId193" Type="http://schemas.openxmlformats.org/officeDocument/2006/relationships/hyperlink" Target="https://www.linkedin.com/in/vaibhav-khandelwal/" TargetMode="External"/><Relationship Id="rId192" Type="http://schemas.openxmlformats.org/officeDocument/2006/relationships/hyperlink" Target="https://www.linkedin.com/in/abhishek-bansal-shadowfax/" TargetMode="External"/><Relationship Id="rId191" Type="http://schemas.openxmlformats.org/officeDocument/2006/relationships/hyperlink" Target="https://www.linkedin.com/in/gautam-kumar-fareye/" TargetMode="External"/><Relationship Id="rId187" Type="http://schemas.openxmlformats.org/officeDocument/2006/relationships/hyperlink" Target="https://www.linkedin.com/in/nishithrastogi/" TargetMode="External"/><Relationship Id="rId186" Type="http://schemas.openxmlformats.org/officeDocument/2006/relationships/hyperlink" Target="https://www.linkedin.com/in/akash-gupta-greyorange/" TargetMode="External"/><Relationship Id="rId185" Type="http://schemas.openxmlformats.org/officeDocument/2006/relationships/hyperlink" Target="https://www.linkedin.com/in/samaykohli/" TargetMode="External"/><Relationship Id="rId184" Type="http://schemas.openxmlformats.org/officeDocument/2006/relationships/hyperlink" Target="https://www.linkedin.com/in/jitendrachouksey/" TargetMode="External"/><Relationship Id="rId189" Type="http://schemas.openxmlformats.org/officeDocument/2006/relationships/hyperlink" Target="https://www.linkedin.com/in/kushalnahata/" TargetMode="External"/><Relationship Id="rId188" Type="http://schemas.openxmlformats.org/officeDocument/2006/relationships/hyperlink" Target="https://www.linkedin.com/in/geet-garg/" TargetMode="External"/><Relationship Id="rId183" Type="http://schemas.openxmlformats.org/officeDocument/2006/relationships/hyperlink" Target="https://www.linkedin.com/in/pooja-rao-qure/" TargetMode="External"/><Relationship Id="rId182" Type="http://schemas.openxmlformats.org/officeDocument/2006/relationships/hyperlink" Target="http://qure.ai" TargetMode="External"/><Relationship Id="rId181" Type="http://schemas.openxmlformats.org/officeDocument/2006/relationships/hyperlink" Target="https://www.linkedin.com/in/pwarier/" TargetMode="External"/><Relationship Id="rId180" Type="http://schemas.openxmlformats.org/officeDocument/2006/relationships/hyperlink" Target="http://qure.ai" TargetMode="External"/><Relationship Id="rId176" Type="http://schemas.openxmlformats.org/officeDocument/2006/relationships/hyperlink" Target="https://www.linkedin.com/in/adityakandoi/" TargetMode="External"/><Relationship Id="rId175" Type="http://schemas.openxmlformats.org/officeDocument/2006/relationships/hyperlink" Target="https://www.linkedin.com/in/enbasekar/" TargetMode="External"/><Relationship Id="rId174" Type="http://schemas.openxmlformats.org/officeDocument/2006/relationships/hyperlink" Target="https://www.linkedin.com/in/satishkannan16/" TargetMode="External"/><Relationship Id="rId173" Type="http://schemas.openxmlformats.org/officeDocument/2006/relationships/hyperlink" Target="https://www.linkedin.com/in/vatsal-singhal/" TargetMode="External"/><Relationship Id="rId179" Type="http://schemas.openxmlformats.org/officeDocument/2006/relationships/hyperlink" Target="https://www.linkedin.com/in/tarunbhambra/" TargetMode="External"/><Relationship Id="rId178" Type="http://schemas.openxmlformats.org/officeDocument/2006/relationships/hyperlink" Target="https://www.linkedin.com/in/dhruvgupta1?originalSubdomain=in" TargetMode="External"/><Relationship Id="rId177" Type="http://schemas.openxmlformats.org/officeDocument/2006/relationships/hyperlink" Target="https://www.linkedin.com/in/dheerajjain/" TargetMode="External"/><Relationship Id="rId198" Type="http://schemas.openxmlformats.org/officeDocument/2006/relationships/hyperlink" Target="https://www.linkedin.com/in/varakumar/" TargetMode="External"/><Relationship Id="rId197" Type="http://schemas.openxmlformats.org/officeDocument/2006/relationships/hyperlink" Target="https://www.linkedin.com/in/khadimbatti/" TargetMode="External"/><Relationship Id="rId196" Type="http://schemas.openxmlformats.org/officeDocument/2006/relationships/hyperlink" Target="https://www.linkedin.com/in/ishwarsridharan/" TargetMode="External"/><Relationship Id="rId195" Type="http://schemas.openxmlformats.org/officeDocument/2006/relationships/hyperlink" Target="https://www.linkedin.com/in/shivku/" TargetMode="External"/><Relationship Id="rId199" Type="http://schemas.openxmlformats.org/officeDocument/2006/relationships/hyperlink" Target="https://www.linkedin.com/in/asad-khan-lambdatest/" TargetMode="External"/><Relationship Id="rId150" Type="http://schemas.openxmlformats.org/officeDocument/2006/relationships/hyperlink" Target="https://www.linkedin.com/posts/joydipgupta_nitin-gupta-founder-ceo-uni-cards-on-activity-7290657794477719552-gw7W/" TargetMode="External"/><Relationship Id="rId149" Type="http://schemas.openxmlformats.org/officeDocument/2006/relationships/hyperlink" Target="https://www.linkedin.com/in/apoorvkumar/" TargetMode="External"/><Relationship Id="rId148" Type="http://schemas.openxmlformats.org/officeDocument/2006/relationships/hyperlink" Target="https://www.linkedin.com/in/chitreshsharma/" TargetMode="External"/><Relationship Id="rId143" Type="http://schemas.openxmlformats.org/officeDocument/2006/relationships/hyperlink" Target="https://www.linkedin.com/in/vikram-jetley-b3489816/" TargetMode="External"/><Relationship Id="rId142" Type="http://schemas.openxmlformats.org/officeDocument/2006/relationships/hyperlink" Target="https://www.linkedin.com/in/sanjaysharmaaye/" TargetMode="External"/><Relationship Id="rId141" Type="http://schemas.openxmlformats.org/officeDocument/2006/relationships/hyperlink" Target="https://www.linkedin.com/in/siddharth-mahanot-173305/" TargetMode="External"/><Relationship Id="rId140" Type="http://schemas.openxmlformats.org/officeDocument/2006/relationships/hyperlink" Target="https://www.linkedin.com/in/alok-mittal-590a/" TargetMode="External"/><Relationship Id="rId147" Type="http://schemas.openxmlformats.org/officeDocument/2006/relationships/hyperlink" Target="https://www.linkedin.com/in/sumitgwalani/" TargetMode="External"/><Relationship Id="rId146" Type="http://schemas.openxmlformats.org/officeDocument/2006/relationships/hyperlink" Target="https://www.linkedin.com/in/sujithnarayanan/" TargetMode="External"/><Relationship Id="rId145" Type="http://schemas.openxmlformats.org/officeDocument/2006/relationships/hyperlink" Target="https://www.linkedin.com/in/virender-bisht-a6b1078/" TargetMode="External"/><Relationship Id="rId144" Type="http://schemas.openxmlformats.org/officeDocument/2006/relationships/hyperlink" Target="http://linkedin.com/in/guptajiten?originalSubdomain=in" TargetMode="External"/><Relationship Id="rId139" Type="http://schemas.openxmlformats.org/officeDocument/2006/relationships/hyperlink" Target="https://www.linkedin.com/in/gaurav-kumar-a6a3245/" TargetMode="External"/><Relationship Id="rId138" Type="http://schemas.openxmlformats.org/officeDocument/2006/relationships/hyperlink" Target="https://www.linkedin.com/in/vineet-sukumar-5264b32/" TargetMode="External"/><Relationship Id="rId137" Type="http://schemas.openxmlformats.org/officeDocument/2006/relationships/hyperlink" Target="https://www.linkedin.com/in/rohan-gupta-86289924/" TargetMode="External"/><Relationship Id="rId132" Type="http://schemas.openxmlformats.org/officeDocument/2006/relationships/hyperlink" Target="https://www.linkedin.com/in/prabhkiran-singh-a5124918/?originalSubdomain=in" TargetMode="External"/><Relationship Id="rId131" Type="http://schemas.openxmlformats.org/officeDocument/2006/relationships/hyperlink" Target="https://www.linkedin.com/in/nitin-saluja-6a88297/?originalSubdomain=in" TargetMode="External"/><Relationship Id="rId130" Type="http://schemas.openxmlformats.org/officeDocument/2006/relationships/hyperlink" Target="http://linkedin.com/in/raghav-verma-59367349?originalSubdomain=in" TargetMode="External"/><Relationship Id="rId136" Type="http://schemas.openxmlformats.org/officeDocument/2006/relationships/hyperlink" Target="https://www.linkedin.com/in/anugrah-shrivastava-58721422/" TargetMode="External"/><Relationship Id="rId135" Type="http://schemas.openxmlformats.org/officeDocument/2006/relationships/hyperlink" Target="https://www.linkedin.com/in/vasanthskamath/" TargetMode="External"/><Relationship Id="rId134" Type="http://schemas.openxmlformats.org/officeDocument/2006/relationships/hyperlink" Target="https://www.linkedin.com/in/sumitmaniyar/" TargetMode="External"/><Relationship Id="rId133" Type="http://schemas.openxmlformats.org/officeDocument/2006/relationships/hyperlink" Target="https://www.linkedin.com/in/shradha-khapra/?originalSubdomain=in" TargetMode="External"/><Relationship Id="rId172" Type="http://schemas.openxmlformats.org/officeDocument/2006/relationships/hyperlink" Target="https://www.linkedin.com/in/mohit-kumar-ultrahuman/" TargetMode="External"/><Relationship Id="rId171" Type="http://schemas.openxmlformats.org/officeDocument/2006/relationships/hyperlink" Target="https://www.linkedin.com/in/sachinshenoy/" TargetMode="External"/><Relationship Id="rId170" Type="http://schemas.openxmlformats.org/officeDocument/2006/relationships/hyperlink" Target="https://www.linkedin.com/in/tusharvashisht/" TargetMode="External"/><Relationship Id="rId165" Type="http://schemas.openxmlformats.org/officeDocument/2006/relationships/hyperlink" Target="https://www.linkedin.com/in/saurabh-bansal-adda247/" TargetMode="External"/><Relationship Id="rId164" Type="http://schemas.openxmlformats.org/officeDocument/2006/relationships/hyperlink" Target="https://www.linkedin.com/in/anil-nagar/" TargetMode="External"/><Relationship Id="rId163" Type="http://schemas.openxmlformats.org/officeDocument/2006/relationships/hyperlink" Target="https://www.linkedin.com/in/anshuman-singh-scaler/" TargetMode="External"/><Relationship Id="rId162" Type="http://schemas.openxmlformats.org/officeDocument/2006/relationships/hyperlink" Target="https://www.linkedin.com/in/abhimanyusaxena/" TargetMode="External"/><Relationship Id="rId169" Type="http://schemas.openxmlformats.org/officeDocument/2006/relationships/hyperlink" Target="https://www.linkedin.com/in/krishnakumar-simplilearn/" TargetMode="External"/><Relationship Id="rId168" Type="http://schemas.openxmlformats.org/officeDocument/2006/relationships/hyperlink" Target="https://www.linkedin.com/in/akshaychaturvedi/" TargetMode="External"/><Relationship Id="rId167" Type="http://schemas.openxmlformats.org/officeDocument/2006/relationships/hyperlink" Target="https://www.linkedin.com/in/saurabh-jain-collegedekho/" TargetMode="External"/><Relationship Id="rId166" Type="http://schemas.openxmlformats.org/officeDocument/2006/relationships/hyperlink" Target="https://www.linkedin.com/in/aroraruchir?originalSubdomain=in" TargetMode="External"/><Relationship Id="rId161" Type="http://schemas.openxmlformats.org/officeDocument/2006/relationships/hyperlink" Target="https://www.linkedin.com/in/manankhurma/" TargetMode="External"/><Relationship Id="rId160" Type="http://schemas.openxmlformats.org/officeDocument/2006/relationships/hyperlink" Target="https://www.linkedin.com/in/divyansh-bordia/" TargetMode="External"/><Relationship Id="rId159" Type="http://schemas.openxmlformats.org/officeDocument/2006/relationships/hyperlink" Target="https://www.linkedin.com/in/payoj-jain/" TargetMode="External"/><Relationship Id="rId154" Type="http://schemas.openxmlformats.org/officeDocument/2006/relationships/hyperlink" Target="https://www.linkedin.com/in/akshay-mehrotra-b671925/" TargetMode="External"/><Relationship Id="rId153" Type="http://schemas.openxmlformats.org/officeDocument/2006/relationships/hyperlink" Target="https://www.linkedin.com/in/misbahashraf/" TargetMode="External"/><Relationship Id="rId152" Type="http://schemas.openxmlformats.org/officeDocument/2006/relationships/hyperlink" Target="https://www.linkedin.com/in/nishchay-ag-904b325/" TargetMode="External"/><Relationship Id="rId151" Type="http://schemas.openxmlformats.org/officeDocument/2006/relationships/hyperlink" Target="https://www.linkedin.com/in/prateek-jindal-0560b213/" TargetMode="External"/><Relationship Id="rId158" Type="http://schemas.openxmlformats.org/officeDocument/2006/relationships/hyperlink" Target="https://www.linkedin.com/in/gmihir/" TargetMode="External"/><Relationship Id="rId157" Type="http://schemas.openxmlformats.org/officeDocument/2006/relationships/hyperlink" Target="https://www.linkedin.com/in/bhaswat-agarwal-classplus/" TargetMode="External"/><Relationship Id="rId156" Type="http://schemas.openxmlformats.org/officeDocument/2006/relationships/hyperlink" Target="https://www.linkedin.com/in/mukul-rustagi-45462316/" TargetMode="External"/><Relationship Id="rId155" Type="http://schemas.openxmlformats.org/officeDocument/2006/relationships/hyperlink" Target="https://www.linkedin.com/in/ashish-goyal-a5554313/" TargetMode="External"/><Relationship Id="rId502" Type="http://schemas.openxmlformats.org/officeDocument/2006/relationships/drawing" Target="../drawings/drawing4.xml"/><Relationship Id="rId501" Type="http://schemas.openxmlformats.org/officeDocument/2006/relationships/hyperlink" Target="https://www.linkedin.com/in/dr-nikhil-sikri/?originalSubdomain=in" TargetMode="External"/><Relationship Id="rId500" Type="http://schemas.openxmlformats.org/officeDocument/2006/relationships/hyperlink" Target="https://www.linkedin.com/in/pritesh123iit/?originalSubdomain=uk" TargetMode="External"/><Relationship Id="rId107" Type="http://schemas.openxmlformats.org/officeDocument/2006/relationships/hyperlink" Target="https://www.linkedin.com/in/murali-krishnan-976a859/?originalSubdomain=in" TargetMode="External"/><Relationship Id="rId106" Type="http://schemas.openxmlformats.org/officeDocument/2006/relationships/hyperlink" Target="https://www.linkedin.com/in/binod-homagai-b652b430/overlay/contact-info/?lipi=urn%3Ali%3Apage%3Ad_flagship3_profile_view_base%3BnOc8vtfwQnyb4iJ3Endytw%3D%3D" TargetMode="External"/><Relationship Id="rId105" Type="http://schemas.openxmlformats.org/officeDocument/2006/relationships/hyperlink" Target="https://www.linkedin.com/in/gsrinivas/?originalSubdomain=in" TargetMode="External"/><Relationship Id="rId104" Type="http://schemas.openxmlformats.org/officeDocument/2006/relationships/hyperlink" Target="https://www.linkedin.com/in/sagar-j-daryani-950085b7/?originalSubdomain=in" TargetMode="External"/><Relationship Id="rId109" Type="http://schemas.openxmlformats.org/officeDocument/2006/relationships/hyperlink" Target="https://www.linkedin.com/in/navinparwal/?originalSubdomain=in" TargetMode="External"/><Relationship Id="rId108" Type="http://schemas.openxmlformats.org/officeDocument/2006/relationships/hyperlink" Target="https://www.linkedin.com/in/sangeet-agrawal-2260734a/?originalSubdomain=in" TargetMode="External"/><Relationship Id="rId103" Type="http://schemas.openxmlformats.org/officeDocument/2006/relationships/hyperlink" Target="https://www.linkedin.com/in/mehrab-ilavia-ab021b1a/?originalSubdomain=in" TargetMode="External"/><Relationship Id="rId102" Type="http://schemas.openxmlformats.org/officeDocument/2006/relationships/hyperlink" Target="https://www.linkedin.com/in/kabir-jeet-singh-6265439/" TargetMode="External"/><Relationship Id="rId101" Type="http://schemas.openxmlformats.org/officeDocument/2006/relationships/hyperlink" Target="https://www.linkedin.com/in/rahul-seth-22697743/?originalSubdomain=in" TargetMode="External"/><Relationship Id="rId100" Type="http://schemas.openxmlformats.org/officeDocument/2006/relationships/hyperlink" Target="https://www.linkedin.com/in/nandini-goyal-15a64b113/?originalSubdomain=in" TargetMode="External"/><Relationship Id="rId129" Type="http://schemas.openxmlformats.org/officeDocument/2006/relationships/hyperlink" Target="https://www.linkedin.com/in/abhutra/?originalSubdomain=in" TargetMode="External"/><Relationship Id="rId128" Type="http://schemas.openxmlformats.org/officeDocument/2006/relationships/hyperlink" Target="https://www.linkedin.com/in/gupta-aviral/?originalSubdomain=in" TargetMode="External"/><Relationship Id="rId127" Type="http://schemas.openxmlformats.org/officeDocument/2006/relationships/hyperlink" Target="https://www.linkedin.com/in/dvcoolster/?originalSubdomain=in" TargetMode="External"/><Relationship Id="rId126" Type="http://schemas.openxmlformats.org/officeDocument/2006/relationships/hyperlink" Target="https://www.linkedin.com/in/sandeep-sinha-hr/?originalSubdomain=in" TargetMode="External"/><Relationship Id="rId121" Type="http://schemas.openxmlformats.org/officeDocument/2006/relationships/hyperlink" Target="https://www.linkedin.com/in/aditya-sharma-33018634/?originalSubdomain=in" TargetMode="External"/><Relationship Id="rId120" Type="http://schemas.openxmlformats.org/officeDocument/2006/relationships/hyperlink" Target="https://www.linkedin.com/in/anujasinghhr/?originalSubdomain=in" TargetMode="External"/><Relationship Id="rId125" Type="http://schemas.openxmlformats.org/officeDocument/2006/relationships/hyperlink" Target="https://www.linkedin.com/in/anirudh-sharma-877ab2a0/?originalSubdomain=in" TargetMode="External"/><Relationship Id="rId124" Type="http://schemas.openxmlformats.org/officeDocument/2006/relationships/hyperlink" Target="https://www.linkedin.com/in/rajat-luthra-a9826b8/?originalSubdomain=in" TargetMode="External"/><Relationship Id="rId123" Type="http://schemas.openxmlformats.org/officeDocument/2006/relationships/hyperlink" Target="https://www.linkedin.com/in/harsh-lal-98247648/?originalSubdomain=in" TargetMode="External"/><Relationship Id="rId122" Type="http://schemas.openxmlformats.org/officeDocument/2006/relationships/hyperlink" Target="https://www.linkedin.com/in/vedang-patel-40aba34b/?originalSubdomain=in" TargetMode="External"/><Relationship Id="rId118" Type="http://schemas.openxmlformats.org/officeDocument/2006/relationships/hyperlink" Target="https://www.linkedin.com/in/sharathloganathan/?originalSubdomain=in" TargetMode="External"/><Relationship Id="rId117" Type="http://schemas.openxmlformats.org/officeDocument/2006/relationships/hyperlink" Target="https://www.linkedin.com/in/thirukumaran-nagarajan-51870242/?originalSubdomain=in" TargetMode="External"/><Relationship Id="rId116" Type="http://schemas.openxmlformats.org/officeDocument/2006/relationships/hyperlink" Target="https://www.linkedin.com/in/gowtham-elango-ab613759/?originalSubdomain=in" TargetMode="External"/><Relationship Id="rId115" Type="http://schemas.openxmlformats.org/officeDocument/2006/relationships/hyperlink" Target="https://www.linkedin.com/in/lavish-soni-0a000342/?originalSubdomain=in" TargetMode="External"/><Relationship Id="rId119" Type="http://schemas.openxmlformats.org/officeDocument/2006/relationships/hyperlink" Target="https://www.linkedin.com/in/kartheeswarankk/?originalSubdomain=in" TargetMode="External"/><Relationship Id="rId110" Type="http://schemas.openxmlformats.org/officeDocument/2006/relationships/hyperlink" Target="https://www.linkedin.com/in/natasha-naidu-8052218b/?originalSubdomain=in" TargetMode="External"/><Relationship Id="rId114" Type="http://schemas.openxmlformats.org/officeDocument/2006/relationships/hyperlink" Target="https://www.linkedin.com/in/manish-poddar-08b013207/?originalSubdomain=in" TargetMode="External"/><Relationship Id="rId113" Type="http://schemas.openxmlformats.org/officeDocument/2006/relationships/hyperlink" Target="https://www.linkedin.com/in/mayurimakwana/" TargetMode="External"/><Relationship Id="rId112" Type="http://schemas.openxmlformats.org/officeDocument/2006/relationships/hyperlink" Target="https://www.linkedin.com/in/niraj-shukla-07709b8a/?originalSubdomain=in" TargetMode="External"/><Relationship Id="rId111" Type="http://schemas.openxmlformats.org/officeDocument/2006/relationships/hyperlink" Target="https://www.linkedin.com/in/ankit-patel81/?originalSubdomain=in" TargetMode="External"/><Relationship Id="rId495" Type="http://schemas.openxmlformats.org/officeDocument/2006/relationships/hyperlink" Target="https://www.linkedin.com/in/ravi-saxena-59802ba/?originalSubdomain=in" TargetMode="External"/><Relationship Id="rId494" Type="http://schemas.openxmlformats.org/officeDocument/2006/relationships/hyperlink" Target="https://www.linkedin.com/in/connectram91/?originalSubdomain=in" TargetMode="External"/><Relationship Id="rId493" Type="http://schemas.openxmlformats.org/officeDocument/2006/relationships/hyperlink" Target="https://in.linkedin.com/in/anju-srivastava-28843527" TargetMode="External"/><Relationship Id="rId492" Type="http://schemas.openxmlformats.org/officeDocument/2006/relationships/hyperlink" Target="https://www.linkedin.com/in/anil-k-pinapala-57aaa5/" TargetMode="External"/><Relationship Id="rId499" Type="http://schemas.openxmlformats.org/officeDocument/2006/relationships/hyperlink" Target="http://linkedin.com/in/raghuravinutala" TargetMode="External"/><Relationship Id="rId498" Type="http://schemas.openxmlformats.org/officeDocument/2006/relationships/hyperlink" Target="http://yellow.ai" TargetMode="External"/><Relationship Id="rId497" Type="http://schemas.openxmlformats.org/officeDocument/2006/relationships/hyperlink" Target="http://linkedin.com/in/yogeshkabra" TargetMode="External"/><Relationship Id="rId496" Type="http://schemas.openxmlformats.org/officeDocument/2006/relationships/hyperlink" Target="http://linkedin.com/in/anjana-reddy-48135825/?originalSubdomain=in" TargetMode="External"/><Relationship Id="rId409" Type="http://schemas.openxmlformats.org/officeDocument/2006/relationships/hyperlink" Target="http://linkedin.com/in/pcmusthafa" TargetMode="External"/><Relationship Id="rId404" Type="http://schemas.openxmlformats.org/officeDocument/2006/relationships/hyperlink" Target="http://linkedin.com/in/ratulpuri" TargetMode="External"/><Relationship Id="rId403" Type="http://schemas.openxmlformats.org/officeDocument/2006/relationships/hyperlink" Target="http://linkedin.com/in/mohitgarg" TargetMode="External"/><Relationship Id="rId402" Type="http://schemas.openxmlformats.org/officeDocument/2006/relationships/hyperlink" Target="http://linkedin.com/in/abhimanyumunjal" TargetMode="External"/><Relationship Id="rId401" Type="http://schemas.openxmlformats.org/officeDocument/2006/relationships/hyperlink" Target="http://linkedin.com/in/naveenmunjal" TargetMode="External"/><Relationship Id="rId408" Type="http://schemas.openxmlformats.org/officeDocument/2006/relationships/hyperlink" Target="http://linkedin.com/in/vkmathews" TargetMode="External"/><Relationship Id="rId407" Type="http://schemas.openxmlformats.org/officeDocument/2006/relationships/hyperlink" Target="http://linkedin.com/in/manojsinha" TargetMode="External"/><Relationship Id="rId406" Type="http://schemas.openxmlformats.org/officeDocument/2006/relationships/hyperlink" Target="http://linkedin.com/in/dhruv-agarwala" TargetMode="External"/><Relationship Id="rId405" Type="http://schemas.openxmlformats.org/officeDocument/2006/relationships/hyperlink" Target="http://housing.com" TargetMode="External"/><Relationship Id="rId400" Type="http://schemas.openxmlformats.org/officeDocument/2006/relationships/hyperlink" Target="http://linkedin.com/in/deepak-gullapalli" TargetMode="External"/><Relationship Id="rId469" Type="http://schemas.openxmlformats.org/officeDocument/2006/relationships/hyperlink" Target="http://linkedin.com/in/trdastidar?originalSubdomain=in" TargetMode="External"/><Relationship Id="rId468" Type="http://schemas.openxmlformats.org/officeDocument/2006/relationships/hyperlink" Target="http://linkedin.com/in/amitucla" TargetMode="External"/><Relationship Id="rId467" Type="http://schemas.openxmlformats.org/officeDocument/2006/relationships/hyperlink" Target="http://linkedin.com/in/anildharni" TargetMode="External"/><Relationship Id="rId462" Type="http://schemas.openxmlformats.org/officeDocument/2006/relationships/hyperlink" Target="http://linkedin.com/in/nilshammar" TargetMode="External"/><Relationship Id="rId461" Type="http://schemas.openxmlformats.org/officeDocument/2006/relationships/hyperlink" Target="http://linkedin.com/in/writetopiyush?originalSubdomain=in" TargetMode="External"/><Relationship Id="rId460" Type="http://schemas.openxmlformats.org/officeDocument/2006/relationships/hyperlink" Target="http://linkedin.com/in/aravindmani" TargetMode="External"/><Relationship Id="rId466" Type="http://schemas.openxmlformats.org/officeDocument/2006/relationships/hyperlink" Target="https://www.linkedin.com/in/vishalgauri/" TargetMode="External"/><Relationship Id="rId465" Type="http://schemas.openxmlformats.org/officeDocument/2006/relationships/hyperlink" Target="http://linkedin.com/in/atulshinghal" TargetMode="External"/><Relationship Id="rId464" Type="http://schemas.openxmlformats.org/officeDocument/2006/relationships/hyperlink" Target="https://www.linkedin.com/in/vivek-raghavan-16005424/?originalSubdomain=in" TargetMode="External"/><Relationship Id="rId463" Type="http://schemas.openxmlformats.org/officeDocument/2006/relationships/hyperlink" Target="https://www.linkedin.com/in/anilkumar-sg/?originalSubdomain=in" TargetMode="External"/><Relationship Id="rId459" Type="http://schemas.openxmlformats.org/officeDocument/2006/relationships/hyperlink" Target="https://www.linkedin.com/in/mayanktiwari1/?originalSubdomain=in" TargetMode="External"/><Relationship Id="rId458" Type="http://schemas.openxmlformats.org/officeDocument/2006/relationships/hyperlink" Target="http://linkedin.com/in/balachandersekhar" TargetMode="External"/><Relationship Id="rId457" Type="http://schemas.openxmlformats.org/officeDocument/2006/relationships/hyperlink" Target="http://linkedin.com/in/ketanmehta" TargetMode="External"/><Relationship Id="rId456" Type="http://schemas.openxmlformats.org/officeDocument/2006/relationships/hyperlink" Target="http://linkedin.com/in/ankit042" TargetMode="External"/><Relationship Id="rId451" Type="http://schemas.openxmlformats.org/officeDocument/2006/relationships/hyperlink" Target="https://www.linkedin.com/in/pallavishrivastava/?originalSubdomain=in" TargetMode="External"/><Relationship Id="rId450" Type="http://schemas.openxmlformats.org/officeDocument/2006/relationships/hyperlink" Target="https://www.linkedin.com/in/satyenjain/" TargetMode="External"/><Relationship Id="rId455" Type="http://schemas.openxmlformats.org/officeDocument/2006/relationships/hyperlink" Target="https://www.linkedin.com/in/vinamrapandiya/" TargetMode="External"/><Relationship Id="rId454" Type="http://schemas.openxmlformats.org/officeDocument/2006/relationships/hyperlink" Target="https://www.linkedin.com/in/abhishek-monty-agarwal-52b17215/?originalSubdomain=in" TargetMode="External"/><Relationship Id="rId453" Type="http://schemas.openxmlformats.org/officeDocument/2006/relationships/hyperlink" Target="https://www.linkedin.com/in/nishanthdongari/?originalSubdomain=in" TargetMode="External"/><Relationship Id="rId452" Type="http://schemas.openxmlformats.org/officeDocument/2006/relationships/hyperlink" Target="http://linkedin.com/in/hashimkhan?originalSubdomain=in" TargetMode="External"/><Relationship Id="rId491" Type="http://schemas.openxmlformats.org/officeDocument/2006/relationships/hyperlink" Target="https://www.linkedin.com/in/shoubhit-jain-88a35315/?originalSubdomain=in" TargetMode="External"/><Relationship Id="rId490" Type="http://schemas.openxmlformats.org/officeDocument/2006/relationships/hyperlink" Target="http://linkedin.com/in/virajbahl" TargetMode="External"/><Relationship Id="rId489" Type="http://schemas.openxmlformats.org/officeDocument/2006/relationships/hyperlink" Target="http://linkedin.com/in/ramaswamy-iyer-b40aa96?originalSubdomain=in" TargetMode="External"/><Relationship Id="rId484" Type="http://schemas.openxmlformats.org/officeDocument/2006/relationships/hyperlink" Target="https://www.linkedin.com/in/cheolwon-lee-5b110b2/?originalSubdomain=in" TargetMode="External"/><Relationship Id="rId483" Type="http://schemas.openxmlformats.org/officeDocument/2006/relationships/hyperlink" Target="https://www.linkedin.com/in/gskvelu/?originalSubdomain=in" TargetMode="External"/><Relationship Id="rId482" Type="http://schemas.openxmlformats.org/officeDocument/2006/relationships/hyperlink" Target="https://www.linkedin.com/in/guptasidharth/?originalSubdomain=in" TargetMode="External"/><Relationship Id="rId481" Type="http://schemas.openxmlformats.org/officeDocument/2006/relationships/hyperlink" Target="https://www.linkedin.com/in/sankalpagarwal/?originalSubdomain=in" TargetMode="External"/><Relationship Id="rId488" Type="http://schemas.openxmlformats.org/officeDocument/2006/relationships/hyperlink" Target="http://linkedin.com/in/shardgrave?originalSubdomain=in" TargetMode="External"/><Relationship Id="rId487" Type="http://schemas.openxmlformats.org/officeDocument/2006/relationships/hyperlink" Target="http://linkedin.com/in/gautamkshatriya" TargetMode="External"/><Relationship Id="rId486" Type="http://schemas.openxmlformats.org/officeDocument/2006/relationships/hyperlink" Target="https://www.linkedin.com/in/siddharth-banerjee-25a3351/?originalSubdomain=in" TargetMode="External"/><Relationship Id="rId485" Type="http://schemas.openxmlformats.org/officeDocument/2006/relationships/hyperlink" Target="https://www.linkedin.com/in/ashutosh-sharma-6ba006103/?originalSubdomain=in" TargetMode="External"/><Relationship Id="rId480" Type="http://schemas.openxmlformats.org/officeDocument/2006/relationships/hyperlink" Target="https://www.linkedin.com/in/narayanaswami-shekhar-29b4947/?originalSubdomain=in" TargetMode="External"/><Relationship Id="rId479" Type="http://schemas.openxmlformats.org/officeDocument/2006/relationships/hyperlink" Target="http://linkedin.com/in/ashishmunjal" TargetMode="External"/><Relationship Id="rId478" Type="http://schemas.openxmlformats.org/officeDocument/2006/relationships/hyperlink" Target="https://www.linkedin.com/in/mainichetan/?originalSubdomain=in" TargetMode="External"/><Relationship Id="rId473" Type="http://schemas.openxmlformats.org/officeDocument/2006/relationships/hyperlink" Target="https://www.linkedin.com/in/sahil-dharia-810278b/?originalSubdomain=in" TargetMode="External"/><Relationship Id="rId472" Type="http://schemas.openxmlformats.org/officeDocument/2006/relationships/hyperlink" Target="https://www.linkedin.com/in/bhargav-kotadia-35a0951b/?originalSubdomain=in" TargetMode="External"/><Relationship Id="rId471" Type="http://schemas.openxmlformats.org/officeDocument/2006/relationships/hyperlink" Target="https://www.linkedin.com/in/pawan-kumar-chandana-a90b6514/?originalSubdomain=in" TargetMode="External"/><Relationship Id="rId470" Type="http://schemas.openxmlformats.org/officeDocument/2006/relationships/hyperlink" Target="https://www.linkedin.com/in/suhas-rajkumar-277824150/?originalSubdomain=in" TargetMode="External"/><Relationship Id="rId477" Type="http://schemas.openxmlformats.org/officeDocument/2006/relationships/hyperlink" Target="http://linkedin.com/in/satyaprabhakar" TargetMode="External"/><Relationship Id="rId476" Type="http://schemas.openxmlformats.org/officeDocument/2006/relationships/hyperlink" Target="https://www.linkedin.com/in/ishpreet-singh-gandhi-539893b/?originalSubdomain=in" TargetMode="External"/><Relationship Id="rId475" Type="http://schemas.openxmlformats.org/officeDocument/2006/relationships/hyperlink" Target="https://www.linkedin.com/in/amit-mundawala/?originalSubdomain=in" TargetMode="External"/><Relationship Id="rId474" Type="http://schemas.openxmlformats.org/officeDocument/2006/relationships/hyperlink" Target="https://www.linkedin.com/in/tanuj-shori-420b402/?originalSubdomain=ae" TargetMode="External"/><Relationship Id="rId426" Type="http://schemas.openxmlformats.org/officeDocument/2006/relationships/hyperlink" Target="http://linkedin.com/in/siddharth-mehta" TargetMode="External"/><Relationship Id="rId425" Type="http://schemas.openxmlformats.org/officeDocument/2006/relationships/hyperlink" Target="http://linkedin.com/in/siddharth-mehta" TargetMode="External"/><Relationship Id="rId424" Type="http://schemas.openxmlformats.org/officeDocument/2006/relationships/hyperlink" Target="http://linkedin.com/in/siddharth-mehta" TargetMode="External"/><Relationship Id="rId423" Type="http://schemas.openxmlformats.org/officeDocument/2006/relationships/hyperlink" Target="http://linkedin.com/in/siddharth-mehta" TargetMode="External"/><Relationship Id="rId429" Type="http://schemas.openxmlformats.org/officeDocument/2006/relationships/hyperlink" Target="http://linkedin.com/in/siddharth-mehta" TargetMode="External"/><Relationship Id="rId428" Type="http://schemas.openxmlformats.org/officeDocument/2006/relationships/hyperlink" Target="http://linkedin.com/in/siddharth-mehta" TargetMode="External"/><Relationship Id="rId427" Type="http://schemas.openxmlformats.org/officeDocument/2006/relationships/hyperlink" Target="http://linkedin.com/in/siddharth-mehta" TargetMode="External"/><Relationship Id="rId422" Type="http://schemas.openxmlformats.org/officeDocument/2006/relationships/hyperlink" Target="http://linkedin.com/in/siddharth-mehta" TargetMode="External"/><Relationship Id="rId421" Type="http://schemas.openxmlformats.org/officeDocument/2006/relationships/hyperlink" Target="http://linkedin.com/in/siddharth-mehta" TargetMode="External"/><Relationship Id="rId420" Type="http://schemas.openxmlformats.org/officeDocument/2006/relationships/hyperlink" Target="http://linkedin.com/in/siddharth-mehta" TargetMode="External"/><Relationship Id="rId415" Type="http://schemas.openxmlformats.org/officeDocument/2006/relationships/hyperlink" Target="http://linkedin.com/in/priti-sawant" TargetMode="External"/><Relationship Id="rId414" Type="http://schemas.openxmlformats.org/officeDocument/2006/relationships/hyperlink" Target="http://linkedin.com/in/mahesh-vyas" TargetMode="External"/><Relationship Id="rId413" Type="http://schemas.openxmlformats.org/officeDocument/2006/relationships/hyperlink" Target="http://linkedin.com/in/arjunahluwalia" TargetMode="External"/><Relationship Id="rId412" Type="http://schemas.openxmlformats.org/officeDocument/2006/relationships/hyperlink" Target="http://linkedin.com/in/rajeevagrawal" TargetMode="External"/><Relationship Id="rId419" Type="http://schemas.openxmlformats.org/officeDocument/2006/relationships/hyperlink" Target="http://linkedin.com/in/siddharth-mehta" TargetMode="External"/><Relationship Id="rId418" Type="http://schemas.openxmlformats.org/officeDocument/2006/relationships/hyperlink" Target="http://linkedin.com/in/amarmore" TargetMode="External"/><Relationship Id="rId417" Type="http://schemas.openxmlformats.org/officeDocument/2006/relationships/hyperlink" Target="http://linkedin.com/in/jaibirsiwach" TargetMode="External"/><Relationship Id="rId416" Type="http://schemas.openxmlformats.org/officeDocument/2006/relationships/hyperlink" Target="http://linkedin.com/in/sahilsani" TargetMode="External"/><Relationship Id="rId411" Type="http://schemas.openxmlformats.org/officeDocument/2006/relationships/hyperlink" Target="http://linkedin.com/in/rajul-jain" TargetMode="External"/><Relationship Id="rId410" Type="http://schemas.openxmlformats.org/officeDocument/2006/relationships/hyperlink" Target="http://linkedin.com/in/ashokhariharan" TargetMode="External"/><Relationship Id="rId448" Type="http://schemas.openxmlformats.org/officeDocument/2006/relationships/hyperlink" Target="https://www.linkedin.com/in/awaisahmedna/?locale=%3B%7B%7D&amp;lipi=urn%3Ali%3Apage%3Ad_flagship3_profile_view_base%3BUmjKwF5hSWWnDGMPQIbmYg%3D%3D" TargetMode="External"/><Relationship Id="rId447" Type="http://schemas.openxmlformats.org/officeDocument/2006/relationships/hyperlink" Target="https://www.linkedin.com/in/kalyan-muppaneni-591378b7/?lipi=urn%3Ali%3Apage%3Ad_flagship3_profile_view_base%3BDfngw6IiSGGfqrku17wsbA%3D%3D" TargetMode="External"/><Relationship Id="rId446" Type="http://schemas.openxmlformats.org/officeDocument/2006/relationships/hyperlink" Target="https://www.linkedin.com/in/gagan-maini-5038542/?lipi=urn%3Ali%3Apage%3Ad_flagship3_profile_view_base%3BCnP83fbzQqW54ekyAIemGA%3D%3D" TargetMode="External"/><Relationship Id="rId445" Type="http://schemas.openxmlformats.org/officeDocument/2006/relationships/hyperlink" Target="https://www.linkedin.com/in/harsh-pokharna/?lipi=urn%3Ali%3Apage%3Ad_flagship3_profile_view_base%3BH1En%2FlfsSaOTmbGkANxsFw%3D%3D" TargetMode="External"/><Relationship Id="rId449" Type="http://schemas.openxmlformats.org/officeDocument/2006/relationships/hyperlink" Target="https://www.linkedin.com/in/ranjeetpsingh/?lipi=urn%3Ali%3Apage%3Ad_flagship3_profile_view_base_contact_details%3BVXqZfFzNRxOpJWeFfXg0Vg%3D%3D" TargetMode="External"/><Relationship Id="rId440" Type="http://schemas.openxmlformats.org/officeDocument/2006/relationships/hyperlink" Target="https://www.linkedin.com/in/revant/?lipi=urn%3Ali%3Apage%3Ad_flagship3_profile_view_base_contact_details%3BxnQfTvNFSnmc3UZ6%2BtO91g%3D%3D" TargetMode="External"/><Relationship Id="rId444" Type="http://schemas.openxmlformats.org/officeDocument/2006/relationships/hyperlink" Target="https://www.linkedin.com/in/sameerjoshi73/?lipi=urn%3Ali%3Apage%3Ad_flagship3_profile_view_base%3BIPPVKspqTfy5QJIJiAYcyw%3D%3D" TargetMode="External"/><Relationship Id="rId443" Type="http://schemas.openxmlformats.org/officeDocument/2006/relationships/hyperlink" Target="https://www.linkedin.com/in/chenyukun/?lipi=urn%3Ali%3Apage%3Ad_flagship3_profile_view_base%3BnCcMACdvTpmBuLnxFEYWTA%3D%3D" TargetMode="External"/><Relationship Id="rId442" Type="http://schemas.openxmlformats.org/officeDocument/2006/relationships/hyperlink" Target="https://www.linkedin.com/in/girishbatranetambit/?lipi=urn%3Ali%3Apage%3Ad_flagship3_profile_view_base%3BwaogsZL5Qk%2BZN%2B%2BYj3lgNA%3D%3D" TargetMode="External"/><Relationship Id="rId441" Type="http://schemas.openxmlformats.org/officeDocument/2006/relationships/hyperlink" Target="https://www.linkedin.com/in/vijayarathna-venkatraman-83b82656/?lipi=urn%3Ali%3Apage%3Ad_flagship3_profile_view_base%3BaNdD6uCnQtiS%2BeSa8iAf3Q%3D%3D" TargetMode="External"/><Relationship Id="rId437" Type="http://schemas.openxmlformats.org/officeDocument/2006/relationships/hyperlink" Target="http://linkedin.com/in/siddharth-mehta" TargetMode="External"/><Relationship Id="rId436" Type="http://schemas.openxmlformats.org/officeDocument/2006/relationships/hyperlink" Target="http://linkedin.com/in/siddharth-mehta" TargetMode="External"/><Relationship Id="rId435" Type="http://schemas.openxmlformats.org/officeDocument/2006/relationships/hyperlink" Target="http://linkedin.com/in/siddharth-mehta" TargetMode="External"/><Relationship Id="rId434" Type="http://schemas.openxmlformats.org/officeDocument/2006/relationships/hyperlink" Target="http://linkedin.com/in/siddharth-mehta" TargetMode="External"/><Relationship Id="rId439" Type="http://schemas.openxmlformats.org/officeDocument/2006/relationships/hyperlink" Target="https://www.linkedin.com/in/ashishkohli77/?lipi=urn%3Ali%3Apage%3Ad_flagship3_profile_view_base%3Bfnhsv1f3TPS6ALdJWq7J7Q%3D%3D" TargetMode="External"/><Relationship Id="rId438" Type="http://schemas.openxmlformats.org/officeDocument/2006/relationships/hyperlink" Target="http://linkedin.com/in/siddharth-mehta" TargetMode="External"/><Relationship Id="rId433" Type="http://schemas.openxmlformats.org/officeDocument/2006/relationships/hyperlink" Target="http://linkedin.com/in/siddharth-mehta" TargetMode="External"/><Relationship Id="rId432" Type="http://schemas.openxmlformats.org/officeDocument/2006/relationships/hyperlink" Target="http://linkedin.com/in/siddharth-mehta" TargetMode="External"/><Relationship Id="rId431" Type="http://schemas.openxmlformats.org/officeDocument/2006/relationships/hyperlink" Target="http://linkedin.com/in/siddharth-mehta" TargetMode="External"/><Relationship Id="rId430" Type="http://schemas.openxmlformats.org/officeDocument/2006/relationships/hyperlink" Target="http://linkedin.com/in/siddharth-mehta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Nikhil+R+Meswani+site%3Alinkedin.com" TargetMode="External"/><Relationship Id="rId2" Type="http://schemas.openxmlformats.org/officeDocument/2006/relationships/hyperlink" Target="https://www.linkedin.com/in/shrikant-m-vaidya/" TargetMode="External"/><Relationship Id="rId3" Type="http://schemas.openxmlformats.org/officeDocument/2006/relationships/hyperlink" Target="https://www.linkedin.com/in/sanjay-kumar-118603ba/" TargetMode="External"/><Relationship Id="rId4" Type="http://schemas.openxmlformats.org/officeDocument/2006/relationships/hyperlink" Target="https://www.google.com/search?q=Vivek+Chandrakant+Tongaonkar+site%3Alinkedin.com" TargetMode="External"/><Relationship Id="rId9" Type="http://schemas.openxmlformats.org/officeDocument/2006/relationships/hyperlink" Target="https://www.linkedin.com/in/k-krithivasan-84659325/" TargetMode="External"/><Relationship Id="rId5" Type="http://schemas.openxmlformats.org/officeDocument/2006/relationships/hyperlink" Target="https://www.google.com/search?q=G.+Krishnakumar+site%3Alinkedin.com" TargetMode="External"/><Relationship Id="rId6" Type="http://schemas.openxmlformats.org/officeDocument/2006/relationships/hyperlink" Target="https://www.linkedin.com/in/dr-pushp-joshi-57759643/" TargetMode="External"/><Relationship Id="rId7" Type="http://schemas.openxmlformats.org/officeDocument/2006/relationships/hyperlink" Target="https://www.linkedin.com/in/shaileshchandra13/" TargetMode="External"/><Relationship Id="rId8" Type="http://schemas.openxmlformats.org/officeDocument/2006/relationships/hyperlink" Target="https://www.linkedin.com/in/t-v-narendran-5b531816/" TargetMode="External"/><Relationship Id="rId40" Type="http://schemas.openxmlformats.org/officeDocument/2006/relationships/hyperlink" Target="https://www.linkedin.com/in/alison-kennedy-2aaa6b14/" TargetMode="External"/><Relationship Id="rId42" Type="http://schemas.openxmlformats.org/officeDocument/2006/relationships/hyperlink" Target="https://www.linkedin.com/in/kumar-manglam-a95a316b/?originalSubdomain=in" TargetMode="External"/><Relationship Id="rId41" Type="http://schemas.openxmlformats.org/officeDocument/2006/relationships/hyperlink" Target="https://www.linkedin.com/in/sumedha-mahorey-4a523a3/" TargetMode="External"/><Relationship Id="rId44" Type="http://schemas.openxmlformats.org/officeDocument/2006/relationships/hyperlink" Target="https://www.linkedin.com/in/roma-datta-chobey-8474bb31/?originalSubdomain=in" TargetMode="External"/><Relationship Id="rId43" Type="http://schemas.openxmlformats.org/officeDocument/2006/relationships/hyperlink" Target="https://www.linkedin.com/in/sundarpichai/" TargetMode="External"/><Relationship Id="rId46" Type="http://schemas.openxmlformats.org/officeDocument/2006/relationships/hyperlink" Target="https://www.linkedin.com/in/thomas-kurian-469b6219/" TargetMode="External"/><Relationship Id="rId45" Type="http://schemas.openxmlformats.org/officeDocument/2006/relationships/hyperlink" Target="https://www.linkedin.com/in/amit-kumar-11241a7/" TargetMode="External"/><Relationship Id="rId48" Type="http://schemas.openxmlformats.org/officeDocument/2006/relationships/hyperlink" Target="https://www.linkedin.com/in/saiyai/" TargetMode="External"/><Relationship Id="rId47" Type="http://schemas.openxmlformats.org/officeDocument/2006/relationships/hyperlink" Target="https://www.linkedin.com/in/bhaskargaurav/?originalSubdomain=sg" TargetMode="External"/><Relationship Id="rId49" Type="http://schemas.openxmlformats.org/officeDocument/2006/relationships/hyperlink" Target="https://www.linkedin.com/in/jackie-wang-41bb012/" TargetMode="External"/><Relationship Id="rId31" Type="http://schemas.openxmlformats.org/officeDocument/2006/relationships/hyperlink" Target="https://www.linkedin.com/in/sydneymassing/" TargetMode="External"/><Relationship Id="rId30" Type="http://schemas.openxmlformats.org/officeDocument/2006/relationships/hyperlink" Target="https://www.linkedin.com/in/janine-paniagua-23560747/" TargetMode="External"/><Relationship Id="rId33" Type="http://schemas.openxmlformats.org/officeDocument/2006/relationships/hyperlink" Target="https://www.linkedin.com/in/yagrawal/" TargetMode="External"/><Relationship Id="rId32" Type="http://schemas.openxmlformats.org/officeDocument/2006/relationships/hyperlink" Target="https://www.linkedin.com/in/laura-fay-b95688/" TargetMode="External"/><Relationship Id="rId35" Type="http://schemas.openxmlformats.org/officeDocument/2006/relationships/hyperlink" Target="https://www.linkedin.com/in/julie-sweet/" TargetMode="External"/><Relationship Id="rId34" Type="http://schemas.openxmlformats.org/officeDocument/2006/relationships/hyperlink" Target="https://www.linkedin.com/in/marchamilton/" TargetMode="External"/><Relationship Id="rId37" Type="http://schemas.openxmlformats.org/officeDocument/2006/relationships/hyperlink" Target="https://www.linkedin.com/in/arundhati-chak/" TargetMode="External"/><Relationship Id="rId36" Type="http://schemas.openxmlformats.org/officeDocument/2006/relationships/hyperlink" Target="https://www.linkedin.com/in/ajay-vij-040292/?originalSubdomain=in" TargetMode="External"/><Relationship Id="rId39" Type="http://schemas.openxmlformats.org/officeDocument/2006/relationships/hyperlink" Target="https://www.linkedin.com/in/priyankaabbi09/" TargetMode="External"/><Relationship Id="rId38" Type="http://schemas.openxmlformats.org/officeDocument/2006/relationships/hyperlink" Target="https://www.linkedin.com/in/raghupolisetty/" TargetMode="External"/><Relationship Id="rId20" Type="http://schemas.openxmlformats.org/officeDocument/2006/relationships/hyperlink" Target="https://www.linkedin.com/in/lauren-myers-cavanagh-71801517/" TargetMode="External"/><Relationship Id="rId22" Type="http://schemas.openxmlformats.org/officeDocument/2006/relationships/hyperlink" Target="https://www.linkedin.com/in/lalit-tyagi-8643b416/?originalSubdomain=in" TargetMode="External"/><Relationship Id="rId21" Type="http://schemas.openxmlformats.org/officeDocument/2006/relationships/hyperlink" Target="https://www.linkedin.com/in/dr-debadatta-chand-0208b711a/?originalSubdomain=in" TargetMode="External"/><Relationship Id="rId24" Type="http://schemas.openxmlformats.org/officeDocument/2006/relationships/hyperlink" Target="https://www.linkedin.com/in/ganesh-mohan-5840841/?originalSubdomain=in" TargetMode="External"/><Relationship Id="rId23" Type="http://schemas.openxmlformats.org/officeDocument/2006/relationships/hyperlink" Target="https://www.linkedin.com/in/sanjiv-r-bajaj/?originalSubdomain=in" TargetMode="External"/><Relationship Id="rId26" Type="http://schemas.openxmlformats.org/officeDocument/2006/relationships/hyperlink" Target="https://www.linkedin.com/in/colette-kress-22328346/" TargetMode="External"/><Relationship Id="rId25" Type="http://schemas.openxmlformats.org/officeDocument/2006/relationships/hyperlink" Target="https://www.linkedin.com/in/jenhsunhuang/" TargetMode="External"/><Relationship Id="rId28" Type="http://schemas.openxmlformats.org/officeDocument/2006/relationships/hyperlink" Target="https://www.linkedin.com/in/vishaldhupar/?originalSubdomain=in" TargetMode="External"/><Relationship Id="rId27" Type="http://schemas.openxmlformats.org/officeDocument/2006/relationships/hyperlink" Target="https://www.linkedin.com/in/sachiko-gomez-57219777/" TargetMode="External"/><Relationship Id="rId29" Type="http://schemas.openxmlformats.org/officeDocument/2006/relationships/hyperlink" Target="https://www.linkedin.com/in/anabella-james-a9434826/" TargetMode="External"/><Relationship Id="rId11" Type="http://schemas.openxmlformats.org/officeDocument/2006/relationships/hyperlink" Target="https://www.google.com/search?q=Uday+Kotak+site%3Alinkedin.com" TargetMode="External"/><Relationship Id="rId10" Type="http://schemas.openxmlformats.org/officeDocument/2006/relationships/hyperlink" Target="https://www.linkedin.com/in/rishi-basu-b067574a/" TargetMode="External"/><Relationship Id="rId13" Type="http://schemas.openxmlformats.org/officeDocument/2006/relationships/hyperlink" Target="https://www.linkedin.com/in/ashokvaswani/?originalSubdomain=in" TargetMode="External"/><Relationship Id="rId12" Type="http://schemas.openxmlformats.org/officeDocument/2006/relationships/hyperlink" Target="https://www.linkedin.com/in/srini-pallia/" TargetMode="External"/><Relationship Id="rId15" Type="http://schemas.openxmlformats.org/officeDocument/2006/relationships/hyperlink" Target="https://www.linkedin.com/in/satyanadella/" TargetMode="External"/><Relationship Id="rId14" Type="http://schemas.openxmlformats.org/officeDocument/2006/relationships/hyperlink" Target="https://www.linkedin.com/in/rajivk-ms/" TargetMode="External"/><Relationship Id="rId17" Type="http://schemas.openxmlformats.org/officeDocument/2006/relationships/hyperlink" Target="https://www.linkedin.com/in/mustafa-suleyman/" TargetMode="External"/><Relationship Id="rId16" Type="http://schemas.openxmlformats.org/officeDocument/2006/relationships/hyperlink" Target="https://www.linkedin.com/in/guthriescott/" TargetMode="External"/><Relationship Id="rId19" Type="http://schemas.openxmlformats.org/officeDocument/2006/relationships/hyperlink" Target="https://www.linkedin.com/in/pallaviwalia/?originalSubdomain=in" TargetMode="External"/><Relationship Id="rId18" Type="http://schemas.openxmlformats.org/officeDocument/2006/relationships/hyperlink" Target="https://www.linkedin.com/in/christina-rogers84/" TargetMode="External"/><Relationship Id="rId84" Type="http://schemas.openxmlformats.org/officeDocument/2006/relationships/hyperlink" Target="https://www.linkedin.com/in/leigh-farris-6bba456/" TargetMode="External"/><Relationship Id="rId83" Type="http://schemas.openxmlformats.org/officeDocument/2006/relationships/hyperlink" Target="https://www.linkedin.com/in/prashant-sehgal-884b68/" TargetMode="External"/><Relationship Id="rId86" Type="http://schemas.openxmlformats.org/officeDocument/2006/relationships/hyperlink" Target="https://www.linkedin.com/in/sachin-bavishi/" TargetMode="External"/><Relationship Id="rId85" Type="http://schemas.openxmlformats.org/officeDocument/2006/relationships/hyperlink" Target="https://www.linkedin.com/in/christine-anderson-33aa99123/" TargetMode="External"/><Relationship Id="rId88" Type="http://schemas.openxmlformats.org/officeDocument/2006/relationships/hyperlink" Target="https://www.linkedin.com/in/rameshkamath/?originalSubdomain=in" TargetMode="External"/><Relationship Id="rId87" Type="http://schemas.openxmlformats.org/officeDocument/2006/relationships/hyperlink" Target="https://www.linkedin.com/in/david-m-solomon/" TargetMode="External"/><Relationship Id="rId89" Type="http://schemas.openxmlformats.org/officeDocument/2006/relationships/hyperlink" Target="https://www.linkedin.com/in/jai-sahani-2a40a5b/" TargetMode="External"/><Relationship Id="rId80" Type="http://schemas.openxmlformats.org/officeDocument/2006/relationships/hyperlink" Target="https://www.linkedin.com/in/laurencefink/" TargetMode="External"/><Relationship Id="rId82" Type="http://schemas.openxmlformats.org/officeDocument/2006/relationships/hyperlink" Target="https://www.linkedin.com/in/pravin-goel-2452a54/?originalSubdomain=in" TargetMode="External"/><Relationship Id="rId81" Type="http://schemas.openxmlformats.org/officeDocument/2006/relationships/hyperlink" Target="https://www.linkedin.com/in/vanessa-walker-4a25b851/" TargetMode="External"/><Relationship Id="rId73" Type="http://schemas.openxmlformats.org/officeDocument/2006/relationships/hyperlink" Target="https://www.linkedin.com/in/virat-bhatia-19304a97/?originalSubdomain=in" TargetMode="External"/><Relationship Id="rId72" Type="http://schemas.openxmlformats.org/officeDocument/2006/relationships/hyperlink" Target="https://www.linkedin.com/in/cooktim/?originalSubdomain=uk" TargetMode="External"/><Relationship Id="rId75" Type="http://schemas.openxmlformats.org/officeDocument/2006/relationships/hyperlink" Target="https://www.linkedin.com/in/katiejurowbarkett/" TargetMode="External"/><Relationship Id="rId74" Type="http://schemas.openxmlformats.org/officeDocument/2006/relationships/hyperlink" Target="https://www.linkedin.com/in/groverpankaj/" TargetMode="External"/><Relationship Id="rId77" Type="http://schemas.openxmlformats.org/officeDocument/2006/relationships/hyperlink" Target="https://www.linkedin.com/in/adamjhhunt/?originalSubdomain=ae" TargetMode="External"/><Relationship Id="rId76" Type="http://schemas.openxmlformats.org/officeDocument/2006/relationships/hyperlink" Target="https://www.linkedin.com/in/shweta-mahajan-27b577122/?originalSubdomain=in" TargetMode="External"/><Relationship Id="rId79" Type="http://schemas.openxmlformats.org/officeDocument/2006/relationships/hyperlink" Target="https://www.linkedin.com/in/kristin-huguet-quayle-a362b21/" TargetMode="External"/><Relationship Id="rId78" Type="http://schemas.openxmlformats.org/officeDocument/2006/relationships/hyperlink" Target="https://www.linkedin.com/in/nickleahy/" TargetMode="External"/><Relationship Id="rId71" Type="http://schemas.openxmlformats.org/officeDocument/2006/relationships/hyperlink" Target="https://www.linkedin.com/in/anil-sardana-30771721/" TargetMode="External"/><Relationship Id="rId70" Type="http://schemas.openxmlformats.org/officeDocument/2006/relationships/hyperlink" Target="https://www.linkedin.com/in/ramanathan-s-m-64235320/" TargetMode="External"/><Relationship Id="rId62" Type="http://schemas.openxmlformats.org/officeDocument/2006/relationships/hyperlink" Target="https://www.linkedin.com/in/saurabhchhajer/" TargetMode="External"/><Relationship Id="rId61" Type="http://schemas.openxmlformats.org/officeDocument/2006/relationships/hyperlink" Target="https://www.linkedin.com/in/umangvohra/?originalSubdomain=in" TargetMode="External"/><Relationship Id="rId64" Type="http://schemas.openxmlformats.org/officeDocument/2006/relationships/hyperlink" Target="https://www.linkedin.com/in/dhruv-sethi-ab675118/" TargetMode="External"/><Relationship Id="rId63" Type="http://schemas.openxmlformats.org/officeDocument/2006/relationships/hyperlink" Target="https://www.linkedin.com/in/varun-gaba-3a7432164/" TargetMode="External"/><Relationship Id="rId66" Type="http://schemas.openxmlformats.org/officeDocument/2006/relationships/hyperlink" Target="https://www.linkedin.com/in/bhumika-gupta/?originalSubdomain=in" TargetMode="External"/><Relationship Id="rId65" Type="http://schemas.openxmlformats.org/officeDocument/2006/relationships/hyperlink" Target="https://www.linkedin.com/in/varunboppana/" TargetMode="External"/><Relationship Id="rId68" Type="http://schemas.openxmlformats.org/officeDocument/2006/relationships/hyperlink" Target="https://www.linkedin.com/in/shenu-agarwal/" TargetMode="External"/><Relationship Id="rId67" Type="http://schemas.openxmlformats.org/officeDocument/2006/relationships/hyperlink" Target="https://www.linkedin.com/in/hazel-menezes/" TargetMode="External"/><Relationship Id="rId60" Type="http://schemas.openxmlformats.org/officeDocument/2006/relationships/hyperlink" Target="https://www.linkedin.com/in/yusuf-hamied-9bb8b610b/?originalSubdomain=mu" TargetMode="External"/><Relationship Id="rId69" Type="http://schemas.openxmlformats.org/officeDocument/2006/relationships/hyperlink" Target="https://www.linkedin.com/in/sadashiv-murthy-koppu-512216242/" TargetMode="External"/><Relationship Id="rId51" Type="http://schemas.openxmlformats.org/officeDocument/2006/relationships/hyperlink" Target="https://www.linkedin.com/in/shankar-raman-2193808/?originalSubdomain=in" TargetMode="External"/><Relationship Id="rId50" Type="http://schemas.openxmlformats.org/officeDocument/2006/relationships/hyperlink" Target="https://www.linkedin.com/in/s-r-subramanian-475207b/?originalSubdomain=in" TargetMode="External"/><Relationship Id="rId53" Type="http://schemas.openxmlformats.org/officeDocument/2006/relationships/hyperlink" Target="https://www.linkedin.com/in/rahul-bhatia-55a4b61/?originalSubdomain=in" TargetMode="External"/><Relationship Id="rId52" Type="http://schemas.openxmlformats.org/officeDocument/2006/relationships/hyperlink" Target="https://www.linkedin.com/in/sreedhar-rajendran-5a1a96248/?originalSubdomain=in" TargetMode="External"/><Relationship Id="rId55" Type="http://schemas.openxmlformats.org/officeDocument/2006/relationships/hyperlink" Target="https://www.linkedin.com/in/anuradha-mukherjee-chaudhuri-2b1b5538/" TargetMode="External"/><Relationship Id="rId54" Type="http://schemas.openxmlformats.org/officeDocument/2006/relationships/hyperlink" Target="https://www.linkedin.com/in/rashmi-soni-scpm%C2%AE-227ba51/" TargetMode="External"/><Relationship Id="rId57" Type="http://schemas.openxmlformats.org/officeDocument/2006/relationships/hyperlink" Target="https://www.linkedin.com/in/dilipgaur/?originalSubdomain=in" TargetMode="External"/><Relationship Id="rId56" Type="http://schemas.openxmlformats.org/officeDocument/2006/relationships/hyperlink" Target="https://www.linkedin.com/in/kumar-manglam-a95a316b/?originalSubdomain=in" TargetMode="External"/><Relationship Id="rId59" Type="http://schemas.openxmlformats.org/officeDocument/2006/relationships/hyperlink" Target="http://linkedin.com/in/erez-israeli-50a35585?originalSubdomain=il" TargetMode="External"/><Relationship Id="rId58" Type="http://schemas.openxmlformats.org/officeDocument/2006/relationships/hyperlink" Target="https://www.linkedin.com/in/gvprasadster/?originalSubdomain=in" TargetMode="External"/><Relationship Id="rId95" Type="http://schemas.openxmlformats.org/officeDocument/2006/relationships/hyperlink" Target="https://www.linkedin.com/in/shivaprasannahebbar/?originalSubdomain=in" TargetMode="External"/><Relationship Id="rId94" Type="http://schemas.openxmlformats.org/officeDocument/2006/relationships/hyperlink" Target="https://www.linkedin.com/in/kvaidyan/" TargetMode="External"/><Relationship Id="rId97" Type="http://schemas.openxmlformats.org/officeDocument/2006/relationships/hyperlink" Target="https://www.linkedin.com/in/jared-cohen-13b071a/" TargetMode="External"/><Relationship Id="rId96" Type="http://schemas.openxmlformats.org/officeDocument/2006/relationships/hyperlink" Target="https://www.linkedin.com/in/jennifer-zuccarelli-8945994a/" TargetMode="External"/><Relationship Id="rId99" Type="http://schemas.openxmlformats.org/officeDocument/2006/relationships/hyperlink" Target="https://www.linkedin.com/in/ajay-deshmukh-5984a015/" TargetMode="External"/><Relationship Id="rId98" Type="http://schemas.openxmlformats.org/officeDocument/2006/relationships/hyperlink" Target="https://www.linkedin.com/in/jamiedimon/" TargetMode="External"/><Relationship Id="rId91" Type="http://schemas.openxmlformats.org/officeDocument/2006/relationships/hyperlink" Target="https://www.linkedin.com/in/tabish-khan-0b850923/" TargetMode="External"/><Relationship Id="rId90" Type="http://schemas.openxmlformats.org/officeDocument/2006/relationships/hyperlink" Target="https://www.linkedin.com/in/harneet-kaur-3429863/" TargetMode="External"/><Relationship Id="rId93" Type="http://schemas.openxmlformats.org/officeDocument/2006/relationships/hyperlink" Target="https://www.linkedin.com/in/chaitra-purushotham-22259917/" TargetMode="External"/><Relationship Id="rId92" Type="http://schemas.openxmlformats.org/officeDocument/2006/relationships/hyperlink" Target="https://www.linkedin.com/in/ankit-chowdhari-a9846148/" TargetMode="External"/><Relationship Id="rId217" Type="http://schemas.openxmlformats.org/officeDocument/2006/relationships/hyperlink" Target="https://www.linkedin.com/in/n-r-narayana-murthy-b2553410a/" TargetMode="External"/><Relationship Id="rId216" Type="http://schemas.openxmlformats.org/officeDocument/2006/relationships/hyperlink" Target="https://www.linkedin.com/in/salilparekh/" TargetMode="External"/><Relationship Id="rId215" Type="http://schemas.openxmlformats.org/officeDocument/2006/relationships/hyperlink" Target="https://www.linkedin.com/in/k-krithivasan-84659325/" TargetMode="External"/><Relationship Id="rId214" Type="http://schemas.openxmlformats.org/officeDocument/2006/relationships/hyperlink" Target="https://www.linkedin.com/in/sanjiv-puri/" TargetMode="External"/><Relationship Id="rId219" Type="http://schemas.openxmlformats.org/officeDocument/2006/relationships/drawing" Target="../drawings/drawing5.xml"/><Relationship Id="rId218" Type="http://schemas.openxmlformats.org/officeDocument/2006/relationships/hyperlink" Target="https://www.linkedin.com/in/kris-gopalakrishnan-10b49950/" TargetMode="External"/><Relationship Id="rId213" Type="http://schemas.openxmlformats.org/officeDocument/2006/relationships/hyperlink" Target="https://www.linkedin.com/in/harsha-vardhan-agarwal-46676a55/?originalSubdomain=in" TargetMode="External"/><Relationship Id="rId212" Type="http://schemas.openxmlformats.org/officeDocument/2006/relationships/hyperlink" Target="https://www.linkedin.com/in/abhijit-roy-67a26410/?originalSubdomain=in" TargetMode="External"/><Relationship Id="rId211" Type="http://schemas.openxmlformats.org/officeDocument/2006/relationships/hyperlink" Target="https://www.linkedin.com/in/melanieperkins/?originalSubdomain=au" TargetMode="External"/><Relationship Id="rId210" Type="http://schemas.openxmlformats.org/officeDocument/2006/relationships/hyperlink" Target="https://www.linkedin.com/in/gymshark/?originalSubdomain=uk" TargetMode="External"/><Relationship Id="rId206" Type="http://schemas.openxmlformats.org/officeDocument/2006/relationships/hyperlink" Target="https://www.linkedin.com/in/aarthir?utm_source=share&amp;utm_campaign=share_via&amp;utm_content=profile&amp;utm_medium=android_app" TargetMode="External"/><Relationship Id="rId205" Type="http://schemas.openxmlformats.org/officeDocument/2006/relationships/hyperlink" Target="https://www.linkedin.com/in/harshilmathur?utm_source=share&amp;utm_campaign=share_via&amp;utm_content=profile&amp;utm_medium=android_app" TargetMode="External"/><Relationship Id="rId204" Type="http://schemas.openxmlformats.org/officeDocument/2006/relationships/hyperlink" Target="https://www.linkedin.com/in/harshj22?utm_source=share&amp;utm_campaign=share_via&amp;utm_content=profile&amp;utm_medium=android_app" TargetMode="External"/><Relationship Id="rId203" Type="http://schemas.openxmlformats.org/officeDocument/2006/relationships/hyperlink" Target="https://www.linkedin.com/in/byju-raveendran-4397b3350?utm_source=share&amp;utm_campaign=share_via&amp;utm_content=profile&amp;utm_medium=android_app" TargetMode="External"/><Relationship Id="rId209" Type="http://schemas.openxmlformats.org/officeDocument/2006/relationships/hyperlink" Target="https://www.linkedin.com/in/divya-gokulnath/?originalSubdomain=in" TargetMode="External"/><Relationship Id="rId208" Type="http://schemas.openxmlformats.org/officeDocument/2006/relationships/hyperlink" Target="https://www.linkedin.com/in/lucy-guo-a7804955?utm_source=share&amp;utm_campaign=share_via&amp;utm_content=profile&amp;utm_medium=android_app" TargetMode="External"/><Relationship Id="rId207" Type="http://schemas.openxmlformats.org/officeDocument/2006/relationships/hyperlink" Target="https://www.linkedin.com/in/alexisohanian?utm_source=share&amp;utm_campaign=share_via&amp;utm_content=profile&amp;utm_medium=android_app" TargetMode="External"/><Relationship Id="rId202" Type="http://schemas.openxmlformats.org/officeDocument/2006/relationships/hyperlink" Target="https://www.linkedin.com/in/bhavishaggarwal?utm_source=share&amp;utm_campaign=share_via&amp;utm_content=profile&amp;utm_medium=android_app" TargetMode="External"/><Relationship Id="rId201" Type="http://schemas.openxmlformats.org/officeDocument/2006/relationships/hyperlink" Target="https://www.linkedin.com/in/deepigoyal?utm_source=share&amp;utm_campaign=share_via&amp;utm_content=profile&amp;utm_medium=android_app" TargetMode="External"/><Relationship Id="rId200" Type="http://schemas.openxmlformats.org/officeDocument/2006/relationships/hyperlink" Target="https://www.linkedin.com/in/riteshagar?utm_source=share&amp;utm_campaign=share_via&amp;utm_content=profile&amp;utm_medium=android_app" TargetMode="External"/><Relationship Id="rId190" Type="http://schemas.openxmlformats.org/officeDocument/2006/relationships/hyperlink" Target="https://www.linkedin.com/in/supriyagoswami/" TargetMode="External"/><Relationship Id="rId194" Type="http://schemas.openxmlformats.org/officeDocument/2006/relationships/hyperlink" Target="https://www.linkedin.com/in/aman-gupta-7217a515?utm_source=share&amp;utm_campaign=share_via&amp;utm_content=profile&amp;utm_medium=android_app" TargetMode="External"/><Relationship Id="rId193" Type="http://schemas.openxmlformats.org/officeDocument/2006/relationships/hyperlink" Target="https://www.linkedin.com/in/-yashdeepsingh/?originalSubdomain=in" TargetMode="External"/><Relationship Id="rId192" Type="http://schemas.openxmlformats.org/officeDocument/2006/relationships/hyperlink" Target="https://www.linkedin.com/in/ism555/?originalSubdomain=in" TargetMode="External"/><Relationship Id="rId191" Type="http://schemas.openxmlformats.org/officeDocument/2006/relationships/hyperlink" Target="https://www.linkedin.com/in/uditagarwal/?originalSubdomain=in" TargetMode="External"/><Relationship Id="rId187" Type="http://schemas.openxmlformats.org/officeDocument/2006/relationships/hyperlink" Target="https://www.linkedin.com/in/savijeetsingh/?originalSubdomain=in" TargetMode="External"/><Relationship Id="rId186" Type="http://schemas.openxmlformats.org/officeDocument/2006/relationships/hyperlink" Target="https://www.linkedin.com/in/saunakghosh/?originalSubdomain=in" TargetMode="External"/><Relationship Id="rId185" Type="http://schemas.openxmlformats.org/officeDocument/2006/relationships/hyperlink" Target="https://www.linkedin.com/in/roopalikagalwala/?originalSubdomain=in" TargetMode="External"/><Relationship Id="rId184" Type="http://schemas.openxmlformats.org/officeDocument/2006/relationships/hyperlink" Target="https://www.linkedin.com/in/resha-jain-4864007/?originalSubdomain=in" TargetMode="External"/><Relationship Id="rId189" Type="http://schemas.openxmlformats.org/officeDocument/2006/relationships/hyperlink" Target="https://www.linkedin.com/in/smitha-rao-461621138/?originalSubdomain=in" TargetMode="External"/><Relationship Id="rId188" Type="http://schemas.openxmlformats.org/officeDocument/2006/relationships/hyperlink" Target="https://www.linkedin.com/in/shwetha811/?originalSubdomain=in" TargetMode="External"/><Relationship Id="rId183" Type="http://schemas.openxmlformats.org/officeDocument/2006/relationships/hyperlink" Target="https://www.linkedin.com/in/ram-deshpande-ramd316/?originalSubdomain=in" TargetMode="External"/><Relationship Id="rId182" Type="http://schemas.openxmlformats.org/officeDocument/2006/relationships/hyperlink" Target="https://www.linkedin.com/in/prasanth-naidu-9b05a638/?originalSubdomain=in" TargetMode="External"/><Relationship Id="rId181" Type="http://schemas.openxmlformats.org/officeDocument/2006/relationships/hyperlink" Target="https://www.linkedin.com/in/pranavkumar88/?originalSubdomain=in" TargetMode="External"/><Relationship Id="rId180" Type="http://schemas.openxmlformats.org/officeDocument/2006/relationships/hyperlink" Target="https://www.linkedin.com/in/prajeesh-vijayan-b68a5015/?originalSubdomain=in" TargetMode="External"/><Relationship Id="rId176" Type="http://schemas.openxmlformats.org/officeDocument/2006/relationships/hyperlink" Target="https://www.linkedin.com/in/muditsingh5000/?originalSubdomain=in" TargetMode="External"/><Relationship Id="rId175" Type="http://schemas.openxmlformats.org/officeDocument/2006/relationships/hyperlink" Target="https://www.linkedin.com/in/monikamishra/?originalSubdomain=in" TargetMode="External"/><Relationship Id="rId174" Type="http://schemas.openxmlformats.org/officeDocument/2006/relationships/hyperlink" Target="https://www.linkedin.com/in/mayankdrolia/?originalSubdomain=in" TargetMode="External"/><Relationship Id="rId173" Type="http://schemas.openxmlformats.org/officeDocument/2006/relationships/hyperlink" Target="https://www.linkedin.com/in/ishanbose31/?originalSubdomain=in" TargetMode="External"/><Relationship Id="rId179" Type="http://schemas.openxmlformats.org/officeDocument/2006/relationships/hyperlink" Target="https://www.linkedin.com/in/praful-ranjan-83784313/?originalSubdomain=in" TargetMode="External"/><Relationship Id="rId178" Type="http://schemas.openxmlformats.org/officeDocument/2006/relationships/hyperlink" Target="https://www.linkedin.com/in/nimisha-bhagwat-8465704/?originalSubdomain=in" TargetMode="External"/><Relationship Id="rId177" Type="http://schemas.openxmlformats.org/officeDocument/2006/relationships/hyperlink" Target="https://www.linkedin.com/in/neerajkumar10/?originalSubdomain=in" TargetMode="External"/><Relationship Id="rId198" Type="http://schemas.openxmlformats.org/officeDocument/2006/relationships/hyperlink" Target="https://www.linkedin.com/in/kunalbahl?utm_source=share&amp;utm_campaign=share_via&amp;utm_content=profile&amp;utm_medium=android_app" TargetMode="External"/><Relationship Id="rId197" Type="http://schemas.openxmlformats.org/officeDocument/2006/relationships/hyperlink" Target="https://www.linkedin.com/in/peyushbansal/?originalSubdomain=in" TargetMode="External"/><Relationship Id="rId196" Type="http://schemas.openxmlformats.org/officeDocument/2006/relationships/hyperlink" Target="https://www.linkedin.com/in/ashneer/?originalSubdomain=in" TargetMode="External"/><Relationship Id="rId195" Type="http://schemas.openxmlformats.org/officeDocument/2006/relationships/hyperlink" Target="https://www.linkedin.com/in/vineetasingh?utm_source=share&amp;utm_campaign=share_via&amp;utm_content=profile&amp;utm_medium=android_app" TargetMode="External"/><Relationship Id="rId199" Type="http://schemas.openxmlformats.org/officeDocument/2006/relationships/hyperlink" Target="https://www.linkedin.com/in/mubansal?utm_source=share&amp;utm_campaign=share_via&amp;utm_content=profile&amp;utm_medium=android_app" TargetMode="External"/><Relationship Id="rId150" Type="http://schemas.openxmlformats.org/officeDocument/2006/relationships/hyperlink" Target="https://www.linkedin.com/in/kennethnorton" TargetMode="External"/><Relationship Id="rId149" Type="http://schemas.openxmlformats.org/officeDocument/2006/relationships/hyperlink" Target="https://www.linkedin.com/in/kaushikthacker/" TargetMode="External"/><Relationship Id="rId148" Type="http://schemas.openxmlformats.org/officeDocument/2006/relationships/hyperlink" Target="https://www.linkedin.com/in/ganesh-hande-77a08821/" TargetMode="External"/><Relationship Id="rId143" Type="http://schemas.openxmlformats.org/officeDocument/2006/relationships/hyperlink" Target="https://www.linkedin.com/in/shivbsingh/" TargetMode="External"/><Relationship Id="rId142" Type="http://schemas.openxmlformats.org/officeDocument/2006/relationships/hyperlink" Target="https://www.linkedin.com/in/p-r-rajagopal-5981223a/" TargetMode="External"/><Relationship Id="rId141" Type="http://schemas.openxmlformats.org/officeDocument/2006/relationships/hyperlink" Target="https://www.linkedin.com/in/rajneeshkarnatak/" TargetMode="External"/><Relationship Id="rId140" Type="http://schemas.openxmlformats.org/officeDocument/2006/relationships/hyperlink" Target="https://www.linkedin.com/in/ashok-chandra-5261955b/" TargetMode="External"/><Relationship Id="rId147" Type="http://schemas.openxmlformats.org/officeDocument/2006/relationships/hyperlink" Target="https://www.linkedin.com/in/bkpandya/" TargetMode="External"/><Relationship Id="rId146" Type="http://schemas.openxmlformats.org/officeDocument/2006/relationships/hyperlink" Target="https://www.linkedin.com/in/internetecommerce/" TargetMode="External"/><Relationship Id="rId145" Type="http://schemas.openxmlformats.org/officeDocument/2006/relationships/hyperlink" Target="https://www.linkedin.com/in/vikrantmudaliar/" TargetMode="External"/><Relationship Id="rId144" Type="http://schemas.openxmlformats.org/officeDocument/2006/relationships/hyperlink" Target="https://www.linkedin.com/in/kamathsudhir/" TargetMode="External"/><Relationship Id="rId139" Type="http://schemas.openxmlformats.org/officeDocument/2006/relationships/hyperlink" Target="https://www.linkedin.com/in/amarendu-prakash-470a0/" TargetMode="External"/><Relationship Id="rId138" Type="http://schemas.openxmlformats.org/officeDocument/2006/relationships/hyperlink" Target="https://www.linkedin.com/in/vinita-gupta-547409239/" TargetMode="External"/><Relationship Id="rId137" Type="http://schemas.openxmlformats.org/officeDocument/2006/relationships/hyperlink" Target="https://www.linkedin.com/in/mukundan-menon-82b8447/" TargetMode="External"/><Relationship Id="rId132" Type="http://schemas.openxmlformats.org/officeDocument/2006/relationships/hyperlink" Target="https://www.linkedin.com/in/anilagarwal-ved/" TargetMode="External"/><Relationship Id="rId131" Type="http://schemas.openxmlformats.org/officeDocument/2006/relationships/hyperlink" Target="https://www.linkedin.com/in/dr-ranjit-rath-4a577814/" TargetMode="External"/><Relationship Id="rId130" Type="http://schemas.openxmlformats.org/officeDocument/2006/relationships/hyperlink" Target="https://www.linkedin.com/in/sanjiv-r-bajaj/" TargetMode="External"/><Relationship Id="rId136" Type="http://schemas.openxmlformats.org/officeDocument/2006/relationships/hyperlink" Target="https://www.linkedin.com/in/subodh-bhargava-404ab95/" TargetMode="External"/><Relationship Id="rId135" Type="http://schemas.openxmlformats.org/officeDocument/2006/relationships/hyperlink" Target="https://www.linkedin.com/in/anuj-poddar-1244412b/" TargetMode="External"/><Relationship Id="rId134" Type="http://schemas.openxmlformats.org/officeDocument/2006/relationships/hyperlink" Target="https://www.linkedin.com/in/manoj-raghavan-a200a05/" TargetMode="External"/><Relationship Id="rId133" Type="http://schemas.openxmlformats.org/officeDocument/2006/relationships/hyperlink" Target="https://www.linkedin.com/in/anishdshah/" TargetMode="External"/><Relationship Id="rId172" Type="http://schemas.openxmlformats.org/officeDocument/2006/relationships/hyperlink" Target="https://www.linkedin.com/in/harita-desai-jani-0272716/?originalSubdomain=in" TargetMode="External"/><Relationship Id="rId171" Type="http://schemas.openxmlformats.org/officeDocument/2006/relationships/hyperlink" Target="https://www.linkedin.com/in/ashwinsl/?originalSubdomain=in" TargetMode="External"/><Relationship Id="rId170" Type="http://schemas.openxmlformats.org/officeDocument/2006/relationships/hyperlink" Target="https://www.linkedin.com/in/ashishbits/?originalSubdomain=in" TargetMode="External"/><Relationship Id="rId165" Type="http://schemas.openxmlformats.org/officeDocument/2006/relationships/hyperlink" Target="https://www.linkedin.com/in/olemann/?originalSubdomain=in" TargetMode="External"/><Relationship Id="rId164" Type="http://schemas.openxmlformats.org/officeDocument/2006/relationships/hyperlink" Target="https://www.linkedin.com/in/adarsh-srivastava-902008b1/?originalSubdomain=in" TargetMode="External"/><Relationship Id="rId163" Type="http://schemas.openxmlformats.org/officeDocument/2006/relationships/hyperlink" Target="http://bookmyshow.com" TargetMode="External"/><Relationship Id="rId162" Type="http://schemas.openxmlformats.org/officeDocument/2006/relationships/hyperlink" Target="https://www.linkedin.com/in/annewojcicki" TargetMode="External"/><Relationship Id="rId169" Type="http://schemas.openxmlformats.org/officeDocument/2006/relationships/hyperlink" Target="https://www.linkedin.com/in/arati-parashar/?originalSubdomain=in" TargetMode="External"/><Relationship Id="rId168" Type="http://schemas.openxmlformats.org/officeDocument/2006/relationships/hyperlink" Target="https://www.linkedin.com/in/apurv-narang-43585856/?originalSubdomain=in" TargetMode="External"/><Relationship Id="rId167" Type="http://schemas.openxmlformats.org/officeDocument/2006/relationships/hyperlink" Target="https://www.linkedin.com/in/aparnamahesh/?originalSubdomain=in" TargetMode="External"/><Relationship Id="rId166" Type="http://schemas.openxmlformats.org/officeDocument/2006/relationships/hyperlink" Target="https://www.linkedin.com/in/amit-kumar-marketing/?original_referer=https%3A%2F%2Fwww%2Egoogle%2Ecom%2F&amp;originalSubdomain=in" TargetMode="External"/><Relationship Id="rId161" Type="http://schemas.openxmlformats.org/officeDocument/2006/relationships/hyperlink" Target="https://www.linkedin.com/in/silbermann" TargetMode="External"/><Relationship Id="rId160" Type="http://schemas.openxmlformats.org/officeDocument/2006/relationships/hyperlink" Target="https://www.linkedin.com/in/sarablakely27" TargetMode="External"/><Relationship Id="rId159" Type="http://schemas.openxmlformats.org/officeDocument/2006/relationships/hyperlink" Target="https://www.linkedin.com/in/reidhoffman" TargetMode="External"/><Relationship Id="rId154" Type="http://schemas.openxmlformats.org/officeDocument/2006/relationships/hyperlink" Target="https://www.linkedin.com/in/jayeshnema/?originalSubdomain=in" TargetMode="External"/><Relationship Id="rId153" Type="http://schemas.openxmlformats.org/officeDocument/2006/relationships/hyperlink" Target="https://www.linkedin.com/in/kensandy/?utm_source=chatgpt.com" TargetMode="External"/><Relationship Id="rId152" Type="http://schemas.openxmlformats.org/officeDocument/2006/relationships/hyperlink" Target="https://www.linkedin.com/in/shreyasdoshi/?utm_source=chatgpt.com" TargetMode="External"/><Relationship Id="rId151" Type="http://schemas.openxmlformats.org/officeDocument/2006/relationships/hyperlink" Target="https://www.linkedin.com/in/gibsonbiddle" TargetMode="External"/><Relationship Id="rId158" Type="http://schemas.openxmlformats.org/officeDocument/2006/relationships/hyperlink" Target="https://www.linkedin.com/in/drewhouston" TargetMode="External"/><Relationship Id="rId157" Type="http://schemas.openxmlformats.org/officeDocument/2006/relationships/hyperlink" Target="https://www.linkedin.com/in/aadit-palicha/?originalSubdomain=in" TargetMode="External"/><Relationship Id="rId156" Type="http://schemas.openxmlformats.org/officeDocument/2006/relationships/hyperlink" Target="https://www.linkedin.com/in/khasnis/?originalSubdomain=in" TargetMode="External"/><Relationship Id="rId155" Type="http://schemas.openxmlformats.org/officeDocument/2006/relationships/hyperlink" Target="https://www.linkedin.com/in/maxlevchin" TargetMode="External"/><Relationship Id="rId107" Type="http://schemas.openxmlformats.org/officeDocument/2006/relationships/hyperlink" Target="https://www.linkedin.com/in/patrick-burton-82a533/" TargetMode="External"/><Relationship Id="rId106" Type="http://schemas.openxmlformats.org/officeDocument/2006/relationships/hyperlink" Target="https://www.linkedin.com/in/brianmarchiony/" TargetMode="External"/><Relationship Id="rId105" Type="http://schemas.openxmlformats.org/officeDocument/2006/relationships/hyperlink" Target="https://www.linkedin.com/in/avanimahendra/" TargetMode="External"/><Relationship Id="rId104" Type="http://schemas.openxmlformats.org/officeDocument/2006/relationships/hyperlink" Target="https://www.linkedin.com/in/vishesh-kumar-82605a2a/" TargetMode="External"/><Relationship Id="rId109" Type="http://schemas.openxmlformats.org/officeDocument/2006/relationships/hyperlink" Target="https://www.linkedin.com/in/rajiv-anand-2730946/" TargetMode="External"/><Relationship Id="rId108" Type="http://schemas.openxmlformats.org/officeDocument/2006/relationships/hyperlink" Target="https://www.linkedin.com/in/andy-jassy-8b1615/" TargetMode="External"/><Relationship Id="rId103" Type="http://schemas.openxmlformats.org/officeDocument/2006/relationships/hyperlink" Target="https://www.linkedin.com/in/krishnakulkarni1975/" TargetMode="External"/><Relationship Id="rId102" Type="http://schemas.openxmlformats.org/officeDocument/2006/relationships/hyperlink" Target="https://www.linkedin.com/in/subbaperepa/" TargetMode="External"/><Relationship Id="rId101" Type="http://schemas.openxmlformats.org/officeDocument/2006/relationships/hyperlink" Target="https://www.linkedin.com/in/vidhya-duthaluru-1b0bb734/" TargetMode="External"/><Relationship Id="rId100" Type="http://schemas.openxmlformats.org/officeDocument/2006/relationships/hyperlink" Target="https://www.linkedin.com/in/kavita-gopal-8772036a/" TargetMode="External"/><Relationship Id="rId129" Type="http://schemas.openxmlformats.org/officeDocument/2006/relationships/hyperlink" Target="https://www.linkedin.com/in/sunil-d-souza-6622065/" TargetMode="External"/><Relationship Id="rId128" Type="http://schemas.openxmlformats.org/officeDocument/2006/relationships/hyperlink" Target="https://www.linkedin.com/in/rinkesh-roy-69191a68/" TargetMode="External"/><Relationship Id="rId127" Type="http://schemas.openxmlformats.org/officeDocument/2006/relationships/hyperlink" Target="https://www.linkedin.com/in/sharad-mahendra-478436b6/" TargetMode="External"/><Relationship Id="rId126" Type="http://schemas.openxmlformats.org/officeDocument/2006/relationships/hyperlink" Target="https://www.linkedin.com/in/jayant-acharya-32b415121/" TargetMode="External"/><Relationship Id="rId121" Type="http://schemas.openxmlformats.org/officeDocument/2006/relationships/hyperlink" Target="https://www.linkedin.com/in/tiwarymanish/" TargetMode="External"/><Relationship Id="rId120" Type="http://schemas.openxmlformats.org/officeDocument/2006/relationships/hyperlink" Target="https://www.linkedin.com/in/pramesh1/" TargetMode="External"/><Relationship Id="rId125" Type="http://schemas.openxmlformats.org/officeDocument/2006/relationships/hyperlink" Target="https://www.linkedin.com/in/vneet-s-jaain-24959015/" TargetMode="External"/><Relationship Id="rId124" Type="http://schemas.openxmlformats.org/officeDocument/2006/relationships/hyperlink" Target="https://www.linkedin.com/in/nadir-godrej-ba60663/" TargetMode="External"/><Relationship Id="rId123" Type="http://schemas.openxmlformats.org/officeDocument/2006/relationships/hyperlink" Target="https://www.linkedin.com/in/pirojsha-godrej/" TargetMode="External"/><Relationship Id="rId122" Type="http://schemas.openxmlformats.org/officeDocument/2006/relationships/hyperlink" Target="https://www.linkedin.com/in/anil-g-verma-a3096220/" TargetMode="External"/><Relationship Id="rId118" Type="http://schemas.openxmlformats.org/officeDocument/2006/relationships/hyperlink" Target="https://www.linkedin.com/in/p-d-narang-48739649/" TargetMode="External"/><Relationship Id="rId117" Type="http://schemas.openxmlformats.org/officeDocument/2006/relationships/hyperlink" Target="https://www.linkedin.com/in/mukundan-ramakrishnan-10a652/" TargetMode="External"/><Relationship Id="rId116" Type="http://schemas.openxmlformats.org/officeDocument/2006/relationships/hyperlink" Target="https://www.linkedin.com/in/rahul-mammen-49434bb8/" TargetMode="External"/><Relationship Id="rId115" Type="http://schemas.openxmlformats.org/officeDocument/2006/relationships/hyperlink" Target="https://www.linkedin.com/in/sudarshan-venu-529434310/" TargetMode="External"/><Relationship Id="rId119" Type="http://schemas.openxmlformats.org/officeDocument/2006/relationships/hyperlink" Target="https://www.linkedin.com/in/mohit-malhotra-1a8776168/" TargetMode="External"/><Relationship Id="rId110" Type="http://schemas.openxmlformats.org/officeDocument/2006/relationships/hyperlink" Target="https://www.linkedin.com/in/sunil-mehta-29a98298/" TargetMode="External"/><Relationship Id="rId114" Type="http://schemas.openxmlformats.org/officeDocument/2006/relationships/hyperlink" Target="https://www.linkedin.com/in/neeraj-kanwar-apollo/" TargetMode="External"/><Relationship Id="rId113" Type="http://schemas.openxmlformats.org/officeDocument/2006/relationships/hyperlink" Target="https://www.linkedin.com/in/onkar-kanwar-a162a5286/" TargetMode="External"/><Relationship Id="rId112" Type="http://schemas.openxmlformats.org/officeDocument/2006/relationships/hyperlink" Target="https://www.linkedin.com/in/ramesh-natarajan-5533942/" TargetMode="External"/><Relationship Id="rId111" Type="http://schemas.openxmlformats.org/officeDocument/2006/relationships/hyperlink" Target="https://www.linkedin.com/in/himanshu-kapania/" TargetMode="External"/></Relationships>
</file>

<file path=xl/worksheets/_rels/sheet6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google.com/url?sa=i&amp;source=web&amp;rct=j&amp;url=https://in.linkedin.com/in/swastikmishraxlri&amp;ved=2ahUKEwjy1ufPl6mRAxUhzDgGHZuCE2kQy_kOegQIARAC&amp;opi=89978449&amp;cd&amp;psig=AOvVaw1Lq-hT2QkCYA34pRZJBToF&amp;ust=1765118141615000" TargetMode="External"/><Relationship Id="rId391" Type="http://schemas.openxmlformats.org/officeDocument/2006/relationships/hyperlink" Target="https://www.linkedin.com/in/mayur/" TargetMode="External"/><Relationship Id="rId390" Type="http://schemas.openxmlformats.org/officeDocument/2006/relationships/hyperlink" Target="https://www.linkedin.com/in/guptaamar/" TargetMode="External"/><Relationship Id="rId1" Type="http://schemas.openxmlformats.org/officeDocument/2006/relationships/hyperlink" Target="https://www.linkedin.com/in/prafulpoddar/" TargetMode="External"/><Relationship Id="rId2" Type="http://schemas.openxmlformats.org/officeDocument/2006/relationships/hyperlink" Target="https://www.linkedin.com/in/nikhil-menon-8a025816/" TargetMode="External"/><Relationship Id="rId3" Type="http://schemas.openxmlformats.org/officeDocument/2006/relationships/hyperlink" Target="https://www.linkedin.com/in/deepak-malik-7744031ab/" TargetMode="External"/><Relationship Id="rId4" Type="http://schemas.openxmlformats.org/officeDocument/2006/relationships/hyperlink" Target="https://www.linkedin.com/in/manish-kumar-781614104/" TargetMode="External"/><Relationship Id="rId9" Type="http://schemas.openxmlformats.org/officeDocument/2006/relationships/hyperlink" Target="https://www.linkedin.com/in/mohitrajani/" TargetMode="External"/><Relationship Id="rId385" Type="http://schemas.openxmlformats.org/officeDocument/2006/relationships/hyperlink" Target="https://www.google.com/search?q=Ashraf+Alkarmi&amp;client=opera-gx&amp;hs=Apv&amp;sca_esv=80e9b144d433a71a&amp;sxsrf=AE3TifOqjr0kwPhGAVgEBNM3eB5CNsoGLw%3A1765022247035&amp;ei=Jxo0aeXnAbS74-EPy8fPyQs&amp;ved=2ahUKEwjAjMzG9KiRAxWdyzgGHQXfNpIQgK4QegQIARAC&amp;uact=5&amp;oq=Dropbox+head+of+product&amp;gs_lp=Egxnd3Mtd2l6LXNlcnAiF0Ryb3Bib3ggaGVhZCBvZiBwcm9kdWN0MgYQABgHGB4yCxAAGIAEGIYDGIoFMggQABiABBiiBDIIEAAYogQYiQUyBRAAGO8FMggQABiABBiiBEjFCVDcBFirCHACeAGQAQCYAcgCoAHIAqoBAzMtMbgBA8gBAPgBAvgBAZgCA6AC0QLCAgoQABiwAxjWBBhHmAMAiAYBkAYCkgcFMi4zLTGgB9kEsgcDMy0xuAfLAsIHAzAuM8gHBIAIAA&amp;sclient=gws-wiz-serp&amp;mstk=AUtExfBkxsLdW8bPDi0hMUid5gy1CLQWhmdZfsg8ov7qeEv0bPHgAd1JA0jVJO4hzha1keYQ2x8xkaKWwkZ6fArsAu5QAGbrri-8EvMYq_vvpu197cuI10fA2uV7BK9WppGWig8QXF8kV1VS7eRbopXvyAZFumZtf1n7gKp8Ahn-YTUzpu-xGNUgze8oH0umsHqL8ZynRXEgDylvIrB2q_VnW5fJOllSzKzCv-UO4tFnxQSbde9Lb3PTdi-s4QmzIqqbhrW1ISDSetrcp0vfGPIgd0LH&amp;csui=3" TargetMode="External"/><Relationship Id="rId384" Type="http://schemas.openxmlformats.org/officeDocument/2006/relationships/hyperlink" Target="https://www.linkedin.com/in/amitkrdubey/" TargetMode="External"/><Relationship Id="rId383" Type="http://schemas.openxmlformats.org/officeDocument/2006/relationships/hyperlink" Target="https://www.linkedin.com/in/prem-rupareliya-337b0b20/" TargetMode="External"/><Relationship Id="rId382" Type="http://schemas.openxmlformats.org/officeDocument/2006/relationships/hyperlink" Target="https://www.google.com/search?q=Prem+Rupareliya&amp;client=opera-gx&amp;hs=7OG&amp;sca_esv=80e9b144d433a71a&amp;sxsrf=AE3TifMSkkZJVR4qy8pPhpHvcQ5rKm3sfg%3A1765021910278&amp;ei=1hg0aYfcEJyb4-EPw7j34AM&amp;ved=2ahUKEwjy1OnB86iRAxVlumMGHYFPAuwQgK4QegQIARAE&amp;uact=5&amp;oq=Shipsy+head+of+product&amp;gs_lp=Egxnd3Mtd2l6LXNlcnAiFlNoaXBzeSBoZWFkIG9mIHByb2R1Y3QyCBAhGKABGMMEMggQIRigARjDBEjpDlCQAljGC3ABeACQAQCYAdYDoAGsCaoBBzItMS4wLjK4AQPIAQD4AQL4AQGYAgOgAoMGwgIOEAAYgAQYsAMYhgMYigXCAgsQABiABBiwAxiiBMICCBAAGLADGO8FmAMAiAYBkAYGkgcJMS4wLjEuMC4xoAeBCbIHBzItMS4wLjG4B_4FwgcFMC4yLjHIBweACAA&amp;sclient=gws-wiz-serp&amp;mstk=AUtExfDdMlFUBBa5hOLD-VLq5YK86A3MouYZ_IaPDIRV8eppm0XE3dgJp433z5AxHQKnTPwBFIvUy4mPiRWhS-NVVxJanSq3f8Wv1V8adnjAohQ135gCMzGyVvkqH-ZY0_g8JKVn928vVkSjU92CCrodi-b4g5sEHHtWQEPm7z_gbB9Ecoi35v6oefoeweARO_ZLZNa2cfv1h0k87enMtPqpHOjhmeCXVbEbzGNca4C3PASA-m3UWpMrqxVRjsAcNWYNu6AQf1Gmt84K9Bvr1jsQ0tpc&amp;csui=3" TargetMode="External"/><Relationship Id="rId5" Type="http://schemas.openxmlformats.org/officeDocument/2006/relationships/hyperlink" Target="https://www.linkedin.com/in/yugankasharan/" TargetMode="External"/><Relationship Id="rId389" Type="http://schemas.openxmlformats.org/officeDocument/2006/relationships/hyperlink" Target="https://www.linkedin.com/in/robkawalsky/" TargetMode="External"/><Relationship Id="rId6" Type="http://schemas.openxmlformats.org/officeDocument/2006/relationships/hyperlink" Target="https://www.linkedin.com/in/shashikant-singh-545972b2/" TargetMode="External"/><Relationship Id="rId388" Type="http://schemas.openxmlformats.org/officeDocument/2006/relationships/hyperlink" Target="https://www.linkedin.com/in/yuhki/" TargetMode="External"/><Relationship Id="rId7" Type="http://schemas.openxmlformats.org/officeDocument/2006/relationships/hyperlink" Target="https://www.linkedin.com/in/prasanna-arunachalam-a344a314/" TargetMode="External"/><Relationship Id="rId387" Type="http://schemas.openxmlformats.org/officeDocument/2006/relationships/hyperlink" Target="https://www.linkedin.com/in/yuhki/overlay/about-this-profile/" TargetMode="External"/><Relationship Id="rId8" Type="http://schemas.openxmlformats.org/officeDocument/2006/relationships/hyperlink" Target="https://www.linkedin.com/in/mohitrajani/overlay/about-this-profile/" TargetMode="External"/><Relationship Id="rId386" Type="http://schemas.openxmlformats.org/officeDocument/2006/relationships/hyperlink" Target="https://www.linkedin.com/in/alkarmi/" TargetMode="External"/><Relationship Id="rId381" Type="http://schemas.openxmlformats.org/officeDocument/2006/relationships/hyperlink" Target="https://www.linkedin.com/in/pradyumna-chowdhary-39249b110/" TargetMode="External"/><Relationship Id="rId380" Type="http://schemas.openxmlformats.org/officeDocument/2006/relationships/hyperlink" Target="https://www.linkedin.com/in/nikhilvij/" TargetMode="External"/><Relationship Id="rId379" Type="http://schemas.openxmlformats.org/officeDocument/2006/relationships/hyperlink" Target="https://www.linkedin.com/in/smritisri/" TargetMode="External"/><Relationship Id="rId374" Type="http://schemas.openxmlformats.org/officeDocument/2006/relationships/hyperlink" Target="https://www.linkedin.com/in/damovasudevan/" TargetMode="External"/><Relationship Id="rId373" Type="http://schemas.openxmlformats.org/officeDocument/2006/relationships/hyperlink" Target="https://www.linkedin.com/in/damovasudevan/overlay/about-this-profile/" TargetMode="External"/><Relationship Id="rId372" Type="http://schemas.openxmlformats.org/officeDocument/2006/relationships/hyperlink" Target="http://superops.ai" TargetMode="External"/><Relationship Id="rId371" Type="http://schemas.openxmlformats.org/officeDocument/2006/relationships/hyperlink" Target="https://www.linkedin.com/in/ankitabhosle/" TargetMode="External"/><Relationship Id="rId378" Type="http://schemas.openxmlformats.org/officeDocument/2006/relationships/hyperlink" Target="https://www.google.com/search?q=Smriti+Srivastava&amp;client=opera-gx&amp;sca_esv=4b839159f38cb91b&amp;sxsrf=AE3TifOnKOyARbIO4XC-NS0GxSeWAo860w%3A1764875272137&amp;ei=CNwxaZaQCJiy4-EPhNLM8Qo&amp;ved=2ahUKEwjg0b3A0aSRAxVyWXADHTlDEigQgK4QegQIARAC&amp;uact=5&amp;oq=Nykaa+Tech+india+head+of+product&amp;gs_lp=Egxnd3Mtd2l6LXNlcnAiIE55a2FhIFRlY2ggaW5kaWEgaGVhZCBvZiBwcm9kdWN0MgoQIRigARjDBBgKMgoQIRigARjDBBgKSPAMUJMFWO0KcAJ4AJABAJgBkQKgAZECqgEDMi0xuAEDyAEA-AEC-AEBmAIDoAKcAsICDhAAGIAEGLADGIYDGIoFwgILEAAYgAQYsAMYogTCAggQABiwAxjvBZgDAIgGAZAGBpIHBTIuMC4xoAeLBLIHAzItMbgHlQLCBwMwLjPIBwU&amp;sclient=gws-wiz-serp&amp;mstk=AUtExfAfbh3ZaU7RmB0wWEedMYlq3QD8XChEcBNg6uR45yvLrC-3BFpqgXShn_yt_NcXgoiTE60l1E1hwiDHDbt0N-qZIHGDI6ZlepD6av8D976ce7uCHZyOxh1Mfgfb-mEf292Ge_0z8L4EGXUC1nG9Cyat1r0ywN3_87px-Nr-lxXDqpKVY3HXxKjMxS7PQgbu9MZiVsxAQprinbeXZKoL5LaSw5PMSi1t6DaR7RdxC3hhYhrbVSKj8Odj8eXXi71Qx0MROSRP_nGywreComPYs1kS&amp;csui=3" TargetMode="External"/><Relationship Id="rId377" Type="http://schemas.openxmlformats.org/officeDocument/2006/relationships/hyperlink" Target="https://www.linkedin.com/in/purugovind/" TargetMode="External"/><Relationship Id="rId376" Type="http://schemas.openxmlformats.org/officeDocument/2006/relationships/hyperlink" Target="https://www.linkedin.com/in/abhinavsinghgangal/" TargetMode="External"/><Relationship Id="rId375" Type="http://schemas.openxmlformats.org/officeDocument/2006/relationships/hyperlink" Target="https://www.linkedin.com/in/akshaygolechha/" TargetMode="External"/><Relationship Id="rId396" Type="http://schemas.openxmlformats.org/officeDocument/2006/relationships/hyperlink" Target="https://www.linkedin.com/in/bharatibalakrishnan/" TargetMode="External"/><Relationship Id="rId395" Type="http://schemas.openxmlformats.org/officeDocument/2006/relationships/hyperlink" Target="https://www.linkedin.com/in/abosesf/" TargetMode="External"/><Relationship Id="rId394" Type="http://schemas.openxmlformats.org/officeDocument/2006/relationships/hyperlink" Target="https://www.google.com/search?q=Arnab+Bose&amp;client=opera-gx&amp;sca_esv=80e9b144d433a71a&amp;sxsrf=AE3TifPsxPlvoHJgFfXXY58iw6FRtJRW6g%3A1765031741322&amp;ei=PT80aY-2E_uWg8UPoLjDsQE&amp;ved=2ahUKEwjMovL5l6mRAxVne2wGHafDMqMQgK4QegQIARAC&amp;uact=5&amp;oq=Asana+india+head+of+product&amp;gs_lp=Egxnd3Mtd2l6LXNlcnAiG0FzYW5hIGluZGlhIGhlYWQgb2YgcHJvZHVjdDIIEAAYgAQYogQyCBAAGIAEGKIEMgUQABjvBTIFEAAY7wVI2QxQhQVYuQdwAngAkAEAmAHXAaABrQOqAQMyLTK4AQPIAQD4AQL4AQGYAgSgArcDwgILEAAYgAQYsAMYogTCAgsQABiwAxiiBBiJBcICCBAAGLADGO8FwgIKECEYoAEYwwQYCpgDAIgGAZAGBZIHBTIuMC4yoAeJBbIHAzItMrgHsgPCBwMxLjPIBwaACAA&amp;sclient=gws-wiz-serp&amp;mstk=AUtExfA-oqYwgUdiolvIpVz5f9cZCya8yI05GIltNyAflucAvVX08nB-5gJggsSPueOQOrqiQ1_qLCRnvM0Z6v7_e9-WD8J7XPM1SSCybf1sJwvM2aucXurF7bukxpeM63qRWbEPkAAC98SVqhr5eZfj7s5wxWj6Hp1eirul7Y4Ix-CrL3FKxAhe5ws0gmKch-woUfpkAj5ovnOboLS9mQftkJ2VVLe-uxVTChMux09g3W5jFRIinwSykuB6oq9uzp8M0O_hgq8XWRNr9aoOmymVZ4Pz&amp;csui=3" TargetMode="External"/><Relationship Id="rId393" Type="http://schemas.openxmlformats.org/officeDocument/2006/relationships/hyperlink" Target="https://www.linkedin.com/in/swastikmishraxlri/" TargetMode="External"/><Relationship Id="rId399" Type="http://schemas.openxmlformats.org/officeDocument/2006/relationships/hyperlink" Target="https://www.linkedin.com/in/akansha-kumari-32771543/" TargetMode="External"/><Relationship Id="rId398" Type="http://schemas.openxmlformats.org/officeDocument/2006/relationships/hyperlink" Target="https://www.linkedin.com/in/nabarupabanerjee/" TargetMode="External"/><Relationship Id="rId397" Type="http://schemas.openxmlformats.org/officeDocument/2006/relationships/hyperlink" Target="https://www.linkedin.com/in/mamta-naik-6b170013b/" TargetMode="External"/><Relationship Id="rId40" Type="http://schemas.openxmlformats.org/officeDocument/2006/relationships/hyperlink" Target="https://www.linkedin.com/in/swati-vishnoi-aa00664b/" TargetMode="External"/><Relationship Id="rId42" Type="http://schemas.openxmlformats.org/officeDocument/2006/relationships/hyperlink" Target="https://www.linkedin.com/in/rahulmirchandani/" TargetMode="External"/><Relationship Id="rId41" Type="http://schemas.openxmlformats.org/officeDocument/2006/relationships/hyperlink" Target="https://www.linkedin.com/in/rahulmirchandani/overlay/about-this-profile/" TargetMode="External"/><Relationship Id="rId44" Type="http://schemas.openxmlformats.org/officeDocument/2006/relationships/hyperlink" Target="https://www.linkedin.com/in/praneethbakki/overlay/about-this-profile/" TargetMode="External"/><Relationship Id="rId43" Type="http://schemas.openxmlformats.org/officeDocument/2006/relationships/hyperlink" Target="https://www.linkedin.com/in/dhruv-khaitan-14673712b/" TargetMode="External"/><Relationship Id="rId46" Type="http://schemas.openxmlformats.org/officeDocument/2006/relationships/hyperlink" Target="https://www.linkedin.com/company/10449749/?lipi=urn%3Ali%3Apage%3Ad_flagship3_profile_view_base%3B7USW%2FyxkTb6W1UPA1O%2Fl9A%3D%3D" TargetMode="External"/><Relationship Id="rId45" Type="http://schemas.openxmlformats.org/officeDocument/2006/relationships/hyperlink" Target="https://www.linkedin.com/in/praneethbakki/" TargetMode="External"/><Relationship Id="rId48" Type="http://schemas.openxmlformats.org/officeDocument/2006/relationships/hyperlink" Target="https://www.linkedin.com/in/vaibhav98/" TargetMode="External"/><Relationship Id="rId47" Type="http://schemas.openxmlformats.org/officeDocument/2006/relationships/hyperlink" Target="https://www.linkedin.com/in/kaushik-joshi/" TargetMode="External"/><Relationship Id="rId49" Type="http://schemas.openxmlformats.org/officeDocument/2006/relationships/hyperlink" Target="https://www.linkedin.com/in/abhaybprasad/" TargetMode="External"/><Relationship Id="rId31" Type="http://schemas.openxmlformats.org/officeDocument/2006/relationships/hyperlink" Target="https://www.linkedin.com/in/prakash-gorjilla-15081123/overlay/about-this-profile/" TargetMode="External"/><Relationship Id="rId30" Type="http://schemas.openxmlformats.org/officeDocument/2006/relationships/hyperlink" Target="https://www.linkedin.com/in/arora-sneha/" TargetMode="External"/><Relationship Id="rId33" Type="http://schemas.openxmlformats.org/officeDocument/2006/relationships/hyperlink" Target="https://www.linkedin.com/in/saakshi-agarwal/" TargetMode="External"/><Relationship Id="rId32" Type="http://schemas.openxmlformats.org/officeDocument/2006/relationships/hyperlink" Target="https://www.linkedin.com/in/prakash-gorjilla-15081123/" TargetMode="External"/><Relationship Id="rId35" Type="http://schemas.openxmlformats.org/officeDocument/2006/relationships/hyperlink" Target="https://www.linkedin.com/in/yunus-feroze-a5b84392/" TargetMode="External"/><Relationship Id="rId34" Type="http://schemas.openxmlformats.org/officeDocument/2006/relationships/hyperlink" Target="https://www.linkedin.com/in/malav42/" TargetMode="External"/><Relationship Id="rId37" Type="http://schemas.openxmlformats.org/officeDocument/2006/relationships/hyperlink" Target="https://www.linkedin.com/in/ashwin-sekar-5bb3186/" TargetMode="External"/><Relationship Id="rId36" Type="http://schemas.openxmlformats.org/officeDocument/2006/relationships/hyperlink" Target="https://www.linkedin.com/in/ashwin-sekar-5bb3186/overlay/about-this-profile/" TargetMode="External"/><Relationship Id="rId39" Type="http://schemas.openxmlformats.org/officeDocument/2006/relationships/hyperlink" Target="https://www.linkedin.com/in/swati-vishnoi-aa00664b/overlay/about-this-profile/" TargetMode="External"/><Relationship Id="rId38" Type="http://schemas.openxmlformats.org/officeDocument/2006/relationships/hyperlink" Target="https://www.linkedin.com/in/nikita-devrukhakar-8a053b204/" TargetMode="External"/><Relationship Id="rId20" Type="http://schemas.openxmlformats.org/officeDocument/2006/relationships/hyperlink" Target="https://www.linkedin.com/in/vikas-s-774245130/" TargetMode="External"/><Relationship Id="rId22" Type="http://schemas.openxmlformats.org/officeDocument/2006/relationships/hyperlink" Target="https://www.linkedin.com/in/rekha-singh-46743910b/" TargetMode="External"/><Relationship Id="rId21" Type="http://schemas.openxmlformats.org/officeDocument/2006/relationships/hyperlink" Target="https://www.linkedin.com/in/mdideepak/" TargetMode="External"/><Relationship Id="rId24" Type="http://schemas.openxmlformats.org/officeDocument/2006/relationships/hyperlink" Target="https://www.linkedin.com/in/karan-kumar-68084211/" TargetMode="External"/><Relationship Id="rId23" Type="http://schemas.openxmlformats.org/officeDocument/2006/relationships/hyperlink" Target="https://www.linkedin.com/in/karan-kumar-68084211/overlay/about-this-profile/" TargetMode="External"/><Relationship Id="rId26" Type="http://schemas.openxmlformats.org/officeDocument/2006/relationships/hyperlink" Target="https://www.linkedin.com/in/ajitnarayanan/overlay/about-this-profile/" TargetMode="External"/><Relationship Id="rId25" Type="http://schemas.openxmlformats.org/officeDocument/2006/relationships/hyperlink" Target="https://www.linkedin.com/in/shweta-singh-a204aa1/" TargetMode="External"/><Relationship Id="rId28" Type="http://schemas.openxmlformats.org/officeDocument/2006/relationships/hyperlink" Target="https://www.linkedin.com/in/ankitagarwal703/overlay/about-this-profile/" TargetMode="External"/><Relationship Id="rId27" Type="http://schemas.openxmlformats.org/officeDocument/2006/relationships/hyperlink" Target="https://www.linkedin.com/in/ajitnarayanan/" TargetMode="External"/><Relationship Id="rId29" Type="http://schemas.openxmlformats.org/officeDocument/2006/relationships/hyperlink" Target="https://www.linkedin.com/in/ankitagarwal703/" TargetMode="External"/><Relationship Id="rId11" Type="http://schemas.openxmlformats.org/officeDocument/2006/relationships/hyperlink" Target="https://www.linkedin.com/in/madangaurav/" TargetMode="External"/><Relationship Id="rId10" Type="http://schemas.openxmlformats.org/officeDocument/2006/relationships/hyperlink" Target="https://www.linkedin.com/in/utkarshgarg/" TargetMode="External"/><Relationship Id="rId13" Type="http://schemas.openxmlformats.org/officeDocument/2006/relationships/hyperlink" Target="https://www.linkedin.com/in/kaustubhagnihotri/" TargetMode="External"/><Relationship Id="rId12" Type="http://schemas.openxmlformats.org/officeDocument/2006/relationships/hyperlink" Target="https://www.linkedin.com/in/varunkejriwal/" TargetMode="External"/><Relationship Id="rId15" Type="http://schemas.openxmlformats.org/officeDocument/2006/relationships/hyperlink" Target="https://www.linkedin.com/in/aditiagr/" TargetMode="External"/><Relationship Id="rId14" Type="http://schemas.openxmlformats.org/officeDocument/2006/relationships/hyperlink" Target="https://www.linkedin.com/in/kavita-k-8a84411b/" TargetMode="External"/><Relationship Id="rId17" Type="http://schemas.openxmlformats.org/officeDocument/2006/relationships/hyperlink" Target="https://www.linkedin.com/in/rahil-ashah/" TargetMode="External"/><Relationship Id="rId16" Type="http://schemas.openxmlformats.org/officeDocument/2006/relationships/hyperlink" Target="https://www.linkedin.com/in/deepeshdhakad/" TargetMode="External"/><Relationship Id="rId19" Type="http://schemas.openxmlformats.org/officeDocument/2006/relationships/hyperlink" Target="https://www.linkedin.com/in/priyanka-arora-a532711a2/" TargetMode="External"/><Relationship Id="rId18" Type="http://schemas.openxmlformats.org/officeDocument/2006/relationships/hyperlink" Target="https://www.linkedin.com/in/rohankhara/" TargetMode="External"/><Relationship Id="rId84" Type="http://schemas.openxmlformats.org/officeDocument/2006/relationships/hyperlink" Target="https://www.linkedin.com/in/dipen-ruparelia-ca-cfa-58a5724b/overlay/about-this-profile/" TargetMode="External"/><Relationship Id="rId83" Type="http://schemas.openxmlformats.org/officeDocument/2006/relationships/hyperlink" Target="http://linkedin.com/in/prathamesh-r/" TargetMode="External"/><Relationship Id="rId86" Type="http://schemas.openxmlformats.org/officeDocument/2006/relationships/hyperlink" Target="https://www.linkedin.com/in/rahulshetty/overlay/about-this-profile/" TargetMode="External"/><Relationship Id="rId85" Type="http://schemas.openxmlformats.org/officeDocument/2006/relationships/hyperlink" Target="https://www.linkedin.com/in/dipen-ruparelia-ca-cfa-58a5724b/" TargetMode="External"/><Relationship Id="rId88" Type="http://schemas.openxmlformats.org/officeDocument/2006/relationships/hyperlink" Target="https://www.linkedin.com/in/amitabhgautam/overlay/about-this-profile/" TargetMode="External"/><Relationship Id="rId87" Type="http://schemas.openxmlformats.org/officeDocument/2006/relationships/hyperlink" Target="https://www.linkedin.com/in/rahulshetty/" TargetMode="External"/><Relationship Id="rId89" Type="http://schemas.openxmlformats.org/officeDocument/2006/relationships/hyperlink" Target="https://www.linkedin.com/in/amitabhgautam/" TargetMode="External"/><Relationship Id="rId80" Type="http://schemas.openxmlformats.org/officeDocument/2006/relationships/hyperlink" Target="https://www.linkedin.com/in/ashir-madaan-b271a213/overlay/about-this-profile/" TargetMode="External"/><Relationship Id="rId82" Type="http://schemas.openxmlformats.org/officeDocument/2006/relationships/hyperlink" Target="https://www.linkedin.com/in/prathamesh-r/overlay/about-this-profile/" TargetMode="External"/><Relationship Id="rId81" Type="http://schemas.openxmlformats.org/officeDocument/2006/relationships/hyperlink" Target="https://www.linkedin.com/in/ashir-madaan-b271a213/" TargetMode="External"/><Relationship Id="rId73" Type="http://schemas.openxmlformats.org/officeDocument/2006/relationships/hyperlink" Target="https://www.linkedin.com/in/kisanpatro/" TargetMode="External"/><Relationship Id="rId72" Type="http://schemas.openxmlformats.org/officeDocument/2006/relationships/hyperlink" Target="https://www.linkedin.com/in/kisanpatro/overlay/about-this-profile/" TargetMode="External"/><Relationship Id="rId75" Type="http://schemas.openxmlformats.org/officeDocument/2006/relationships/hyperlink" Target="https://www.linkedin.com/in/himanshunautiyal/" TargetMode="External"/><Relationship Id="rId74" Type="http://schemas.openxmlformats.org/officeDocument/2006/relationships/hyperlink" Target="https://www.linkedin.com/in/himanshunautiyal/overlay/about-this-profile/" TargetMode="External"/><Relationship Id="rId77" Type="http://schemas.openxmlformats.org/officeDocument/2006/relationships/hyperlink" Target="https://www.linkedin.com/in/radhika-binani/" TargetMode="External"/><Relationship Id="rId76" Type="http://schemas.openxmlformats.org/officeDocument/2006/relationships/hyperlink" Target="https://www.linkedin.com/in/radhika-binani/overlay/about-this-profile/" TargetMode="External"/><Relationship Id="rId79" Type="http://schemas.openxmlformats.org/officeDocument/2006/relationships/hyperlink" Target="https://www.linkedin.com/in/gauravgill/" TargetMode="External"/><Relationship Id="rId78" Type="http://schemas.openxmlformats.org/officeDocument/2006/relationships/hyperlink" Target="https://www.linkedin.com/in/gauravgill/overlay/about-this-profile/" TargetMode="External"/><Relationship Id="rId71" Type="http://schemas.openxmlformats.org/officeDocument/2006/relationships/hyperlink" Target="https://www.linkedin.com/in/roniljain/" TargetMode="External"/><Relationship Id="rId70" Type="http://schemas.openxmlformats.org/officeDocument/2006/relationships/hyperlink" Target="https://www.linkedin.com/in/prashaaant/" TargetMode="External"/><Relationship Id="rId62" Type="http://schemas.openxmlformats.org/officeDocument/2006/relationships/hyperlink" Target="https://www.linkedin.com/in/krishnendum/" TargetMode="External"/><Relationship Id="rId61" Type="http://schemas.openxmlformats.org/officeDocument/2006/relationships/hyperlink" Target="https://www.linkedin.com/in/ankit-grover-754b4b32/" TargetMode="External"/><Relationship Id="rId64" Type="http://schemas.openxmlformats.org/officeDocument/2006/relationships/hyperlink" Target="https://www.linkedin.com/in/anirudhabasak/" TargetMode="External"/><Relationship Id="rId63" Type="http://schemas.openxmlformats.org/officeDocument/2006/relationships/hyperlink" Target="https://www.linkedin.com/in/abhishek77/" TargetMode="External"/><Relationship Id="rId66" Type="http://schemas.openxmlformats.org/officeDocument/2006/relationships/hyperlink" Target="https://www.linkedin.com/in/vishaldalal/overlay/about-this-profile/" TargetMode="External"/><Relationship Id="rId65" Type="http://schemas.openxmlformats.org/officeDocument/2006/relationships/hyperlink" Target="https://www.linkedin.com/in/kathleen-anderl/" TargetMode="External"/><Relationship Id="rId68" Type="http://schemas.openxmlformats.org/officeDocument/2006/relationships/hyperlink" Target="https://www.linkedin.com/in/shefalirai/" TargetMode="External"/><Relationship Id="rId67" Type="http://schemas.openxmlformats.org/officeDocument/2006/relationships/hyperlink" Target="https://www.linkedin.com/in/vishaldalal/" TargetMode="External"/><Relationship Id="rId60" Type="http://schemas.openxmlformats.org/officeDocument/2006/relationships/hyperlink" Target="https://www.linkedin.com/in/vattikuti/" TargetMode="External"/><Relationship Id="rId69" Type="http://schemas.openxmlformats.org/officeDocument/2006/relationships/hyperlink" Target="https://www.linkedin.com/in/prashaaant/overlay/about-this-profile/" TargetMode="External"/><Relationship Id="rId51" Type="http://schemas.openxmlformats.org/officeDocument/2006/relationships/hyperlink" Target="https://www.linkedin.com/in/paragb555a578914/" TargetMode="External"/><Relationship Id="rId50" Type="http://schemas.openxmlformats.org/officeDocument/2006/relationships/hyperlink" Target="https://www.linkedin.com/in/rakshay-jain-19a7a32/" TargetMode="External"/><Relationship Id="rId53" Type="http://schemas.openxmlformats.org/officeDocument/2006/relationships/hyperlink" Target="https://www.linkedin.com/in/puneet-maheshwari-41201925/" TargetMode="External"/><Relationship Id="rId52" Type="http://schemas.openxmlformats.org/officeDocument/2006/relationships/hyperlink" Target="https://www.linkedin.com/in/puneet-maheshwari-41201925/overlay/about-this-profile/" TargetMode="External"/><Relationship Id="rId55" Type="http://schemas.openxmlformats.org/officeDocument/2006/relationships/hyperlink" Target="https://www.linkedin.com/in/rahulharkisanka/overlay/about-this-profile/" TargetMode="External"/><Relationship Id="rId54" Type="http://schemas.openxmlformats.org/officeDocument/2006/relationships/hyperlink" Target="https://www.linkedin.com/in/akeroyd/" TargetMode="External"/><Relationship Id="rId57" Type="http://schemas.openxmlformats.org/officeDocument/2006/relationships/hyperlink" Target="https://www.linkedin.com/in/andyaru/" TargetMode="External"/><Relationship Id="rId56" Type="http://schemas.openxmlformats.org/officeDocument/2006/relationships/hyperlink" Target="https://www.linkedin.com/in/rahulharkisanka/" TargetMode="External"/><Relationship Id="rId59" Type="http://schemas.openxmlformats.org/officeDocument/2006/relationships/hyperlink" Target="https://www.linkedin.com/in/vattikuti/overlay/about-this-profile/" TargetMode="External"/><Relationship Id="rId58" Type="http://schemas.openxmlformats.org/officeDocument/2006/relationships/hyperlink" Target="https://www.linkedin.com/in/sushantp/" TargetMode="External"/><Relationship Id="rId349" Type="http://schemas.openxmlformats.org/officeDocument/2006/relationships/hyperlink" Target="https://www.linkedin.com/in/nabendudas/?originalSubdomain=in" TargetMode="External"/><Relationship Id="rId348" Type="http://schemas.openxmlformats.org/officeDocument/2006/relationships/hyperlink" Target="https://www.linkedin.com/in/kishorekonakanchi/" TargetMode="External"/><Relationship Id="rId347" Type="http://schemas.openxmlformats.org/officeDocument/2006/relationships/hyperlink" Target="https://www.linkedin.com/in/arthur-silveira-71a34052/?originalSubdomain=br" TargetMode="External"/><Relationship Id="rId346" Type="http://schemas.openxmlformats.org/officeDocument/2006/relationships/hyperlink" Target="https://www.linkedin.com/in/singhalashu/?originalSubdomain=de" TargetMode="External"/><Relationship Id="rId341" Type="http://schemas.openxmlformats.org/officeDocument/2006/relationships/hyperlink" Target="https://www.linkedin.com/in/nidhigupta02/?originalSubdomain=in" TargetMode="External"/><Relationship Id="rId340" Type="http://schemas.openxmlformats.org/officeDocument/2006/relationships/hyperlink" Target="https://www.linkedin.com/in/vijeth-pandit-71544516/?originalSubdomain=in" TargetMode="External"/><Relationship Id="rId345" Type="http://schemas.openxmlformats.org/officeDocument/2006/relationships/hyperlink" Target="https://www.linkedin.com/in/piyushthakker/?originalSubdomain=in" TargetMode="External"/><Relationship Id="rId344" Type="http://schemas.openxmlformats.org/officeDocument/2006/relationships/hyperlink" Target="https://www.linkedin.com/in/gauravshahlot/?originalSubdomain=in" TargetMode="External"/><Relationship Id="rId343" Type="http://schemas.openxmlformats.org/officeDocument/2006/relationships/hyperlink" Target="https://www.linkedin.com/in/suyash-peshkar-95517519/?originalSubdomain=in" TargetMode="External"/><Relationship Id="rId342" Type="http://schemas.openxmlformats.org/officeDocument/2006/relationships/hyperlink" Target="https://www.linkedin.com/in/deepak-phadke-85401830/?originalSubdomain=in" TargetMode="External"/><Relationship Id="rId338" Type="http://schemas.openxmlformats.org/officeDocument/2006/relationships/hyperlink" Target="https://www.linkedin.com/in/rohil-ahmed/?originalSubdomain=in" TargetMode="External"/><Relationship Id="rId337" Type="http://schemas.openxmlformats.org/officeDocument/2006/relationships/hyperlink" Target="https://www.linkedin.com/in/ankitgoyalnitie/?originalSubdomain=in" TargetMode="External"/><Relationship Id="rId336" Type="http://schemas.openxmlformats.org/officeDocument/2006/relationships/hyperlink" Target="https://www.linkedin.com/in/vaibhavrustogi/?originalSubdomain=in" TargetMode="External"/><Relationship Id="rId335" Type="http://schemas.openxmlformats.org/officeDocument/2006/relationships/hyperlink" Target="https://www.linkedin.com/in/mangla/?originalSubdomain=in" TargetMode="External"/><Relationship Id="rId339" Type="http://schemas.openxmlformats.org/officeDocument/2006/relationships/hyperlink" Target="https://www.linkedin.com/in/gunjan-kumar-56936450/?originalSubdomain=in" TargetMode="External"/><Relationship Id="rId330" Type="http://schemas.openxmlformats.org/officeDocument/2006/relationships/hyperlink" Target="https://www.linkedin.com/in/sachinkansal/" TargetMode="External"/><Relationship Id="rId334" Type="http://schemas.openxmlformats.org/officeDocument/2006/relationships/hyperlink" Target="https://www.linkedin.com/in/sudhirsmani/?originalSubdomain=in" TargetMode="External"/><Relationship Id="rId333" Type="http://schemas.openxmlformats.org/officeDocument/2006/relationships/hyperlink" Target="https://www.linkedin.com/in/saurabh514/?originalSubdomain=in" TargetMode="External"/><Relationship Id="rId332" Type="http://schemas.openxmlformats.org/officeDocument/2006/relationships/hyperlink" Target="https://www.linkedin.com/in/amitzavery/" TargetMode="External"/><Relationship Id="rId331" Type="http://schemas.openxmlformats.org/officeDocument/2006/relationships/hyperlink" Target="https://www.linkedin.com/in/sindhugangadharan/?originalSubdomain=in" TargetMode="External"/><Relationship Id="rId370" Type="http://schemas.openxmlformats.org/officeDocument/2006/relationships/hyperlink" Target="https://www.linkedin.com/in/tabishgilani/" TargetMode="External"/><Relationship Id="rId369" Type="http://schemas.openxmlformats.org/officeDocument/2006/relationships/hyperlink" Target="https://www.linkedin.com/in/ryanpellis/" TargetMode="External"/><Relationship Id="rId368" Type="http://schemas.openxmlformats.org/officeDocument/2006/relationships/hyperlink" Target="https://www.linkedin.com/in/mickgupta/" TargetMode="External"/><Relationship Id="rId363" Type="http://schemas.openxmlformats.org/officeDocument/2006/relationships/hyperlink" Target="https://www.linkedin.com/in/kevin-graebel/overlay/about-this-profile/" TargetMode="External"/><Relationship Id="rId362" Type="http://schemas.openxmlformats.org/officeDocument/2006/relationships/hyperlink" Target="https://www.linkedin.com/in/drabhishekkothari/" TargetMode="External"/><Relationship Id="rId361" Type="http://schemas.openxmlformats.org/officeDocument/2006/relationships/hyperlink" Target="https://www.linkedin.com/in/kevingdsouza/" TargetMode="External"/><Relationship Id="rId360" Type="http://schemas.openxmlformats.org/officeDocument/2006/relationships/hyperlink" Target="https://www.google.com/search?q=Kevin+D%27souza&amp;client=opera-gx&amp;sca_esv=4b839159f38cb91b&amp;sxsrf=AE3TifOV7VcraFEsSKDugCVm7Ff80z4W6w%3A1764868737705&amp;ei=gcIxaaHiKs_G4-EP3M_OkQU&amp;ved=2ahUKEwim2dHZuKSRAxVrzjgGHUBRFXYQgK4QegQIAhAC&amp;uact=5&amp;oq=GE+Healthcare+india+head+of+product&amp;gs_lp=Egxnd3Mtd2l6LXNlcnAiI0dFIEhlYWx0aGNhcmUgaW5kaWEgaGVhZCBvZiBwcm9kdWN0MggQIRigARjDBEiGD1B1WNMIcAF4AZABAJgBzAOgAZcLqgEJMC40LjEuMC4xuAEDyAEA-AEBmAIDoALvAsICChAAGLADGNYEGEfCAgoQIRigARjDBBgKmAMAiAYBkAYIkgcDMS4yoAeNFrIHAzAuMrgH6wLCBwMwLjPIBwU&amp;sclient=gws-wiz-serp&amp;mstk=AUtExfDLwY_PXayWxbkpZXq3OcWocT59QNzNe4AuA2dACDhLSk7lZ3xTcM6IPUNBEckg1EjR0UJf-UwT4C3-ea2vOlOr61IjKcGOKb2G9gJdpcEfId7ixHLFw73h3zMemI3voJFXM5IksbuEcqbNgACqLyk4k-RIFIEV9s_TRdpswsTc6UcGvX8MhWu1RuBkmOMy5_ixZts6wxNGVpWIV4gq1IK9_0O0Jq0Hxy7iSqXebswA244RF_wkDHMJjzhOzpDICbk0gO1SWBLaFFI2Ur8yb6YC&amp;csui=3" TargetMode="External"/><Relationship Id="rId367" Type="http://schemas.openxmlformats.org/officeDocument/2006/relationships/hyperlink" Target="https://www.linkedin.com/in/jeffboudier/" TargetMode="External"/><Relationship Id="rId366" Type="http://schemas.openxmlformats.org/officeDocument/2006/relationships/hyperlink" Target="https://www.linkedin.com/in/abhishek-bapna-529908/" TargetMode="External"/><Relationship Id="rId365" Type="http://schemas.openxmlformats.org/officeDocument/2006/relationships/hyperlink" Target="https://www.linkedin.com/in/kevinweil/" TargetMode="External"/><Relationship Id="rId364" Type="http://schemas.openxmlformats.org/officeDocument/2006/relationships/hyperlink" Target="https://www.linkedin.com/in/kevin-graebel/" TargetMode="External"/><Relationship Id="rId95" Type="http://schemas.openxmlformats.org/officeDocument/2006/relationships/hyperlink" Target="https://www.linkedin.com/in/pallak-bareja-628a551b3/" TargetMode="External"/><Relationship Id="rId94" Type="http://schemas.openxmlformats.org/officeDocument/2006/relationships/hyperlink" Target="https://www.linkedin.com/in/pallak-bareja-628a551b3/overlay/about-this-profile/" TargetMode="External"/><Relationship Id="rId97" Type="http://schemas.openxmlformats.org/officeDocument/2006/relationships/hyperlink" Target="https://www.linkedin.com/in/alanfraneo/" TargetMode="External"/><Relationship Id="rId96" Type="http://schemas.openxmlformats.org/officeDocument/2006/relationships/hyperlink" Target="https://www.linkedin.com/in/alanfraneo/overlay/about-this-profile/" TargetMode="External"/><Relationship Id="rId99" Type="http://schemas.openxmlformats.org/officeDocument/2006/relationships/hyperlink" Target="https://www.linkedin.com/in/bhanu-prakash-44649521/" TargetMode="External"/><Relationship Id="rId98" Type="http://schemas.openxmlformats.org/officeDocument/2006/relationships/hyperlink" Target="https://www.linkedin.com/in/bhanu-prakash-44649521/overlay/about-this-profile/" TargetMode="External"/><Relationship Id="rId91" Type="http://schemas.openxmlformats.org/officeDocument/2006/relationships/hyperlink" Target="https://www.linkedin.com/in/tanmaydesai89/" TargetMode="External"/><Relationship Id="rId90" Type="http://schemas.openxmlformats.org/officeDocument/2006/relationships/hyperlink" Target="https://www.linkedin.com/in/tanmaydesai89/overlay/about-this-profile/" TargetMode="External"/><Relationship Id="rId93" Type="http://schemas.openxmlformats.org/officeDocument/2006/relationships/hyperlink" Target="https://www.linkedin.com/in/sangeeth-aloysius-484916a/" TargetMode="External"/><Relationship Id="rId92" Type="http://schemas.openxmlformats.org/officeDocument/2006/relationships/hyperlink" Target="https://www.linkedin.com/in/sangeeth-aloysius-484916a/overlay/about-this-profile/" TargetMode="External"/><Relationship Id="rId359" Type="http://schemas.openxmlformats.org/officeDocument/2006/relationships/hyperlink" Target="https://www.linkedin.com/in/julienpicaud/" TargetMode="External"/><Relationship Id="rId358" Type="http://schemas.openxmlformats.org/officeDocument/2006/relationships/hyperlink" Target="https://www.linkedin.com/in/ashok-dayalan-06a1087/" TargetMode="External"/><Relationship Id="rId357" Type="http://schemas.openxmlformats.org/officeDocument/2006/relationships/hyperlink" Target="https://www.linkedin.com/in/rakesh-s-anig" TargetMode="External"/><Relationship Id="rId352" Type="http://schemas.openxmlformats.org/officeDocument/2006/relationships/hyperlink" Target="https://www.linkedin.com/in/ashwani-jain/?originalSubdomain=ca" TargetMode="External"/><Relationship Id="rId351" Type="http://schemas.openxmlformats.org/officeDocument/2006/relationships/hyperlink" Target="https://www.linkedin.com/in/prasanna-boni-b4abb09/?originalSubdomain=in" TargetMode="External"/><Relationship Id="rId350" Type="http://schemas.openxmlformats.org/officeDocument/2006/relationships/hyperlink" Target="https://www.linkedin.com/in/eisar/" TargetMode="External"/><Relationship Id="rId356" Type="http://schemas.openxmlformats.org/officeDocument/2006/relationships/hyperlink" Target="https://www.linkedin.com/in/muralimohang/" TargetMode="External"/><Relationship Id="rId355" Type="http://schemas.openxmlformats.org/officeDocument/2006/relationships/hyperlink" Target="https://www.linkedin.com/in/juddheape/" TargetMode="External"/><Relationship Id="rId354" Type="http://schemas.openxmlformats.org/officeDocument/2006/relationships/hyperlink" Target="https://www.linkedin.com/in/kanika-jain-2121a373/" TargetMode="External"/><Relationship Id="rId353" Type="http://schemas.openxmlformats.org/officeDocument/2006/relationships/hyperlink" Target="https://www.linkedin.com/in/bhanuvalluri/" TargetMode="External"/><Relationship Id="rId305" Type="http://schemas.openxmlformats.org/officeDocument/2006/relationships/hyperlink" Target="https://www.linkedin.com/in/yuvalrefua/" TargetMode="External"/><Relationship Id="rId304" Type="http://schemas.openxmlformats.org/officeDocument/2006/relationships/hyperlink" Target="https://www.linkedin.com/in/bharatbharat/" TargetMode="External"/><Relationship Id="rId303" Type="http://schemas.openxmlformats.org/officeDocument/2006/relationships/hyperlink" Target="https://www.linkedin.com/in/garth-fort-5b0250/" TargetMode="External"/><Relationship Id="rId302" Type="http://schemas.openxmlformats.org/officeDocument/2006/relationships/hyperlink" Target="https://www.linkedin.com/in/kalyankumar/" TargetMode="External"/><Relationship Id="rId309" Type="http://schemas.openxmlformats.org/officeDocument/2006/relationships/hyperlink" Target="https://www.google.com/search?q=Somnath+Meher&amp;client=opera-gx&amp;sca_esv=ce3b3adafee57907&amp;sxsrf=AE3TifPZPlAtRsG-Fx39J5Fo8WSbynzwXw%3A1764685917454&amp;ei=Xfguac-6G9TPqfkP6aaIeQ&amp;ved=2ahUKEwjH3oe3j5-RAxWLU2wGHXhXLVMQgK4QegQIAhAC&amp;uact=5&amp;oq=Zynga+India+product+head&amp;gs_lp=Egxnd3Mtd2l6LXNlcnAiGFp5bmdhIEluZGlhIHByb2R1Y3QgaGVhZDIKEAAYsAMY1gQYRzIKEAAYsAMY1gQYRzIKEAAYsAMY1gQYRzIKEAAYsAMY1gQYRzIKEAAYsAMY1gQYRzIKEAAYsAMY1gQYRzIKEAAYsAMY1gQYRzIKEAAYsAMY1gQYR0iiElCjCFi9EHABeAGQAQCYAewDoAGvDqoBBTMtNC4xuAEDyAEA-AEBmAIBoAICmAMAiAYBkAYIkgcBMaAHmBayBwC4BwDCBwMwLjHIBwI&amp;sclient=gws-wiz-serp&amp;mstk=AUtExfCQ6ZnfWJu8CM_97hM8mQj2Wprn4-sbshA3b4mXMLpLhLa-N2mWcdowv9twO54aGjWKainH6HeeZrMR2axOBDkhvq-0-eKBGhHqaFGsYrJttp9awi-Jw1vCPeaflcK_foCuIbZfa1kDYSVTs05zNoTGGcC0GDhGfvpX_MSwxdWVrwuvLj-Kk8rg8nm01_x-h4neMmt8XHIoOhpPuntLyBZjfdbfj2j3-bkqvAUTJDV6WLZqTvMB5IzTxaEoulf8_BA7YZBrJUa-pkhtdaj_GQdn&amp;csui=3" TargetMode="External"/><Relationship Id="rId308" Type="http://schemas.openxmlformats.org/officeDocument/2006/relationships/hyperlink" Target="https://www.linkedin.com/in/scott-koenigsberg-717812/" TargetMode="External"/><Relationship Id="rId307" Type="http://schemas.openxmlformats.org/officeDocument/2006/relationships/hyperlink" Target="https://www.linkedin.com/in/sharmashreya/" TargetMode="External"/><Relationship Id="rId306" Type="http://schemas.openxmlformats.org/officeDocument/2006/relationships/hyperlink" Target="https://www.linkedin.com/in/thiagarajan-rajagopalan/" TargetMode="External"/><Relationship Id="rId301" Type="http://schemas.openxmlformats.org/officeDocument/2006/relationships/hyperlink" Target="https://www.linkedin.com/in/roshan-khatri-185b7375/" TargetMode="External"/><Relationship Id="rId300" Type="http://schemas.openxmlformats.org/officeDocument/2006/relationships/hyperlink" Target="https://www.linkedin.com/in/amneetsingh-acn/" TargetMode="External"/><Relationship Id="rId327" Type="http://schemas.openxmlformats.org/officeDocument/2006/relationships/hyperlink" Target="https://www.linkedin.com/in/vishalnshah/" TargetMode="External"/><Relationship Id="rId326" Type="http://schemas.openxmlformats.org/officeDocument/2006/relationships/hyperlink" Target="https://www.linkedin.com/in/vikram-deshpande-ab564310/" TargetMode="External"/><Relationship Id="rId325" Type="http://schemas.openxmlformats.org/officeDocument/2006/relationships/hyperlink" Target="https://www.linkedin.com/in/mitesh-kumar-3bbb5030/" TargetMode="External"/><Relationship Id="rId324" Type="http://schemas.openxmlformats.org/officeDocument/2006/relationships/hyperlink" Target="https://www.linkedin.com/in/nikhilparuchuri/" TargetMode="External"/><Relationship Id="rId329" Type="http://schemas.openxmlformats.org/officeDocument/2006/relationships/hyperlink" Target="https://www.google.com/url?sa=i&amp;source=web&amp;rct=j&amp;url=https://www.youtube.com/watch?v%3D3MgeY6W5E8Y&amp;ved=2ahUKEwjO6bi3r6KRAxWfTGwGHYsdIacQy_kOegQIAhAC&amp;opi=89978449&amp;cd&amp;psig=AOvVaw2ucnoSwcAkGxs5PnrsWgGU&amp;ust=1764884014798000" TargetMode="External"/><Relationship Id="rId328" Type="http://schemas.openxmlformats.org/officeDocument/2006/relationships/hyperlink" Target="https://www.linkedin.com/in/pulkitmathur0104/" TargetMode="External"/><Relationship Id="rId323" Type="http://schemas.openxmlformats.org/officeDocument/2006/relationships/hyperlink" Target="https://www.linkedin.com/in/vijayrvr/" TargetMode="External"/><Relationship Id="rId322" Type="http://schemas.openxmlformats.org/officeDocument/2006/relationships/hyperlink" Target="https://www.linkedin.com/in/hemabudaraju/" TargetMode="External"/><Relationship Id="rId321" Type="http://schemas.openxmlformats.org/officeDocument/2006/relationships/hyperlink" Target="https://www.google.com/search?client=opera-gx&amp;q=Hema+Budaraju&amp;sourceid=opera&amp;ie=UTF-8&amp;oe=UTF-8&amp;mstk=AUtExfABiGlEHgR9Q_Hl-2rixRT_Vn4VadM85wBGvQUwLgpsOth-hBvxLPbHS-Af1Dm7nyPpyRohPAU1DY4v2PSB_nMRZW-LZQossA184akXspEwRyq1XFTE1qGJlytR_OLU9sQgkcctS-hnYzf75AQDsxo66d45xYenUILd49xpKsOBkFo&amp;csui=3&amp;ved=2ahUKEwj1qZih5KGRAxW52TgGHT3-DxsQgK4QegQIAxAJ" TargetMode="External"/><Relationship Id="rId320" Type="http://schemas.openxmlformats.org/officeDocument/2006/relationships/hyperlink" Target="https://www.linkedin.com/in/chitra-sood-973a834/" TargetMode="External"/><Relationship Id="rId316" Type="http://schemas.openxmlformats.org/officeDocument/2006/relationships/hyperlink" Target="https://www.linkedin.com/in/emacosky/" TargetMode="External"/><Relationship Id="rId315" Type="http://schemas.openxmlformats.org/officeDocument/2006/relationships/hyperlink" Target="https://www.linkedin.com/in/nitin-arora-nitin/" TargetMode="External"/><Relationship Id="rId314" Type="http://schemas.openxmlformats.org/officeDocument/2006/relationships/hyperlink" Target="https://www.linkedin.com/in/gosinha/" TargetMode="External"/><Relationship Id="rId313" Type="http://schemas.openxmlformats.org/officeDocument/2006/relationships/hyperlink" Target="https://www.linkedin.com/in/rajamani/" TargetMode="External"/><Relationship Id="rId319" Type="http://schemas.openxmlformats.org/officeDocument/2006/relationships/hyperlink" Target="https://www.linkedin.com/in/karthik-narain/" TargetMode="External"/><Relationship Id="rId318" Type="http://schemas.openxmlformats.org/officeDocument/2006/relationships/hyperlink" Target="https://www.linkedin.com/in/kirensekar/" TargetMode="External"/><Relationship Id="rId317" Type="http://schemas.openxmlformats.org/officeDocument/2006/relationships/hyperlink" Target="https://www.google.com/search?q=Kiren+Sekar&amp;client=opera-gx&amp;sca_esv=ce3b3adafee57907&amp;sxsrf=AE3TifNmWecnmK12DN5hrF4FU9uT2-oZTA%3A1764702390899&amp;ei=tjgvae_QNraYseMPuP6UsA8&amp;ved=2ahUKEwiP7ub6zJ-RAxXUV2wGHeZvD9sQgK4QegQIAhAE&amp;uact=5&amp;oq=Samsara+product+head&amp;gs_lp=Egxnd3Mtd2l6LXNlcnAiFFNhbXNhcmEgcHJvZHVjdCBoZWFkMgYQABgIGB4yBRAAGO8FMggQABiABBiiBDIIEAAYgAQYogQyBRAAGO8FSJobUJwCWKIZcAF4AJABAJgBrQOgAZQFqgEHMi0xLjAuMbgBA8gBAPgBAvgBAZgCA6ACnwXCAg4QABiABBiwAxiGAxiKBcICCxAAGIAEGLADGKIEwgILEAAYsAMYogQYiQXCAggQABgHGAgYHpgDAIgGAZAGBZIHCTEuMC4xLjAuMaAH9QayBwcyLTEuMC4xuAebBcIHAzAuM8gHBw&amp;sclient=gws-wiz-serp&amp;mstk=AUtExfCDY_4f2n4XspPWaTvYgl7xQMQbzX06Jrc-ivHvGQYDc_gdFScwfWwAmjpVgTLCFcF2isYceKiJ-_W6bDHEjn6Waf1T-WWL0Ip7nWzHhiNXopO6puaFpA6pNQzcGUgPiEPjEXqWfRDzXSeVpFO3d_8THZfJHwK_jpUs319AGQeHPHj39n5Sx730LV5VQwuR9z3SLpdFDIzJ_seMr3J0stBq2zOvxtB2-18-SdttAuOz2wjTFKOdEbdazso83ickEiDSq77l0tGjDGBX8Meisptx&amp;csui=3" TargetMode="External"/><Relationship Id="rId312" Type="http://schemas.openxmlformats.org/officeDocument/2006/relationships/hyperlink" Target="https://www.linkedin.com/in/ankursi/" TargetMode="External"/><Relationship Id="rId311" Type="http://schemas.openxmlformats.org/officeDocument/2006/relationships/hyperlink" Target="https://www.linkedin.com/in/gauravsingh241/" TargetMode="External"/><Relationship Id="rId310" Type="http://schemas.openxmlformats.org/officeDocument/2006/relationships/hyperlink" Target="https://www.linkedin.com/in/somnathmeher/" TargetMode="External"/><Relationship Id="rId297" Type="http://schemas.openxmlformats.org/officeDocument/2006/relationships/hyperlink" Target="https://www.google.com/search?q=Chandra+Gnanasambandam&amp;client=opera-gx&amp;hs=7Pp&amp;sca_esv=ce3b3adafee57907&amp;sxsrf=AE3TifPtJlGXeA8pwhwbJQpKzZsq6MLvjQ%3A1764679871813&amp;ei=v-AuaYebMb6QnesP_fbisQE&amp;ved=2ahUKEwjro9yW-Z6RAxX5S2wGHaJrPSIQgK4QegQIARAB&amp;uact=5&amp;oq=SailPoint+india+product+head&amp;gs_lp=Egxnd3Mtd2l6LXNlcnAiHFNhaWxQb2ludCBpbmRpYSBwcm9kdWN0IGhlYWQyCBAhGKABGMMEMggQIRigARjDBEioClCNBViDB3ACeACQAQCYAfwBoAGgA6oBBTAuMS4xuAEDyAEA-AEC-AEBmAIDoAKvAcICDhAAGIAEGLADGIYDGIoFwgIIEAAYsAMY7wXCAgsQABiABBiwAxiiBJgDAIgGAZAGBJIHAzIuMaAHmQiyBwMwLjG4B6cBwgcDMC4zyAcH&amp;sclient=gws-wiz-serp&amp;mstk=AUtExfBmDu76tdwZlksFh3jDkhBpO_rQ61wuyl09Iqv_KTEjuAxq8iW2Zw0khB0LuPmWUx37GlcA1A4I63gnXt-PhYOquzuCnUZg8XJkBtCnZKZX1-e8jEVLJDNmeKSyvcCSf37K1rkNo0k1iAIxpY3sycrW-WFEWgZ9_71OvE_YC2idUiCOe3swvMZX0hZ36sqHjB-QUoPCfOw-j1eI7CD5j1gStFmQ9_H3Ym_Ar8ADZMszQD1tux8__NpUOT5vmxW-NikFHahb-bqImdbSVXtkOHQc&amp;csui=3" TargetMode="External"/><Relationship Id="rId296" Type="http://schemas.openxmlformats.org/officeDocument/2006/relationships/hyperlink" Target="https://www.linkedin.com/in/ankanbanerjee/" TargetMode="External"/><Relationship Id="rId295" Type="http://schemas.openxmlformats.org/officeDocument/2006/relationships/hyperlink" Target="https://www.linkedin.com/in/imalokagrawal/" TargetMode="External"/><Relationship Id="rId294" Type="http://schemas.openxmlformats.org/officeDocument/2006/relationships/hyperlink" Target="https://www.linkedin.com/in/mikekrieger/" TargetMode="External"/><Relationship Id="rId299" Type="http://schemas.openxmlformats.org/officeDocument/2006/relationships/hyperlink" Target="https://www.linkedin.com/in/reachsenthilnathan/" TargetMode="External"/><Relationship Id="rId298" Type="http://schemas.openxmlformats.org/officeDocument/2006/relationships/hyperlink" Target="https://www.linkedin.com/in/chandra-gnanasambandam/" TargetMode="External"/><Relationship Id="rId271" Type="http://schemas.openxmlformats.org/officeDocument/2006/relationships/hyperlink" Target="https://www.linkedin.com/in/mvs12/" TargetMode="External"/><Relationship Id="rId270" Type="http://schemas.openxmlformats.org/officeDocument/2006/relationships/hyperlink" Target="https://www.google.com/search?q=Manu+Vikram+Singh&amp;client=opera-gx&amp;sca_esv=e0aabfe7adf79f39&amp;biw=1494&amp;bih=802&amp;sxsrf=AE3TifPLCdkUURbJhSVSVF6zJp5raXZX3A%3A1764655778565&amp;ei=ooIuaaCWIoKzwcsP94KwgQI&amp;ved=2ahUKEwjgvMGWn56RAxWiT2wGHRRcNsAQgK4QegQIARAC&amp;uact=5&amp;oq=Infibeam+Avenues+product+head&amp;gs_lp=Egxnd3Mtd2l6LXNlcnAiHUluZmliZWFtIEF2ZW51ZXMgcHJvZHVjdCBoZWFkMggQABiABBiiBDIIEAAYgAQYogQyCBAAGIAEGKIEMggQABiiBBiJBTIIEAAYgAQYogRI3BZQgAJYjRVwAXgAkAEAmAHoAaABpwOqAQUwLjEuMbgBA8gBAPgBAvgBAZgCA6ACtQPCAgsQABiABBiwAxiiBMICCBAAGLADGO8FwgILEAAYsAMYogQYiQXCAgoQIRigARjDBBgKmAMAiAYBkAYFkgcFMS4xLjGgB6wGsgcFMC4xLjG4B7IDwgcFMC4yLjHIBwg&amp;sclient=gws-wiz-serp&amp;mstk=AUtExfBU-oZ3XNJppuXqj_bsKTu65Xf2o9JeobufGXLGTTJKg__udFoT5y6cR2cArYFVhXfo1IZkG6ZJDd3-x2g4n7IE-NzR0hzIF5zOwFlxgJHzn9jg01uwFlK7DPAy8ts9FU0IdyKyjbasAMnm73ghCrLud2Ebe5-qWKCrc2A8cO1c3mN8bNELz7sT5Xd-lWQUFqBOND_RoE2qCVqINCe05oMWFMrLag7jpWhT2svs2jOhx8zAqBE5SXu5zXNudHDPQYHwEWOkFRoxgguPi6gBREkX&amp;csui=3" TargetMode="External"/><Relationship Id="rId269" Type="http://schemas.openxmlformats.org/officeDocument/2006/relationships/hyperlink" Target="https://www.linkedin.com/in/ezhilan/" TargetMode="External"/><Relationship Id="rId264" Type="http://schemas.openxmlformats.org/officeDocument/2006/relationships/hyperlink" Target="https://www.linkedin.com/in/ankurmshra/" TargetMode="External"/><Relationship Id="rId263" Type="http://schemas.openxmlformats.org/officeDocument/2006/relationships/hyperlink" Target="https://www.google.com/search?q=Ankur+Mishra&amp;client=opera-gx&amp;sca_esv=e0aabfe7adf79f39&amp;biw=1494&amp;bih=802&amp;sxsrf=AE3TifOJFbHQ2FoPZVtYC5ZtxAoAr5HFxQ%3A1764654407561&amp;ei=R30uaY76IYTf4-EPkoadwQo&amp;ved=2ahUKEwiUiMqlmp6RAxXjS2wGHWoyGyIQgK4QegQIAhAC&amp;uact=5&amp;oq=GreyOrange+product+head&amp;gs_lp=Egxnd3Mtd2l6LXNlcnAiF0dyZXlPcmFuZ2UgcHJvZHVjdCBoZWFkMggQIRigARjDBDIIECEYoAEYwwRIwQJQAFgAcAB4AZABAJgBiQKgAYkCqgEDMi0xuAEDyAEA-AEC-AEBmAIBoAKNApgDAJIHAzItMaAH7AKyBwMyLTG4B40CwgcDMC4xyAcC&amp;sclient=gws-wiz-serp&amp;mstk=AUtExfCuK84myNv09Np_BLLAIG5fX9mVMBUFc67fm4FacNRkzDBFq-n2bD5aBr0XYmPKmpnXGWred1RaASxIbT6AsDvc-9sEh9K1z7K9C30a4RON-_GgXHdLsVLsgaGbGXXpZYkWGAU0R0x0t3iTy9mdkhjNEsiRDqyT9BYHJPzU4LxuODQaJptdUZGftA3srlS-a7w9PyRO7953oe-tH68dWQdeuLjgAN-Baj_YjHV7dX0gbokd0dIdKReZY0MvKFAlhtEKp15367bGf4F9e8YzBT7Y&amp;csui=3" TargetMode="External"/><Relationship Id="rId262" Type="http://schemas.openxmlformats.org/officeDocument/2006/relationships/hyperlink" Target="https://www.linkedin.com/in/balakrishnan-narayanan-271879150/" TargetMode="External"/><Relationship Id="rId261" Type="http://schemas.openxmlformats.org/officeDocument/2006/relationships/hyperlink" Target="https://www.linkedin.com/in/darrellstone3/" TargetMode="External"/><Relationship Id="rId268" Type="http://schemas.openxmlformats.org/officeDocument/2006/relationships/hyperlink" Target="https://www.linkedin.com/in/abhishekguptas/" TargetMode="External"/><Relationship Id="rId267" Type="http://schemas.openxmlformats.org/officeDocument/2006/relationships/hyperlink" Target="https://www.linkedin.com/company/3720649/?lipi=urn%3Ali%3Apage%3Ad_flagship3_profile_view_base%3BkZ9fBn6pR4a7tShjIcecew%3D%3D" TargetMode="External"/><Relationship Id="rId266" Type="http://schemas.openxmlformats.org/officeDocument/2006/relationships/hyperlink" Target="https://www.linkedin.com/in/goyalmanish/" TargetMode="External"/><Relationship Id="rId265" Type="http://schemas.openxmlformats.org/officeDocument/2006/relationships/hyperlink" Target="https://www.linkedin.com/in/darshan-suresh-99a60642/" TargetMode="External"/><Relationship Id="rId260" Type="http://schemas.openxmlformats.org/officeDocument/2006/relationships/hyperlink" Target="https://www.linkedin.com/in/gaurav-srivastava-9a67ba1b/" TargetMode="External"/><Relationship Id="rId259" Type="http://schemas.openxmlformats.org/officeDocument/2006/relationships/hyperlink" Target="https://www.linkedin.com/in/purugovind/" TargetMode="External"/><Relationship Id="rId258" Type="http://schemas.openxmlformats.org/officeDocument/2006/relationships/hyperlink" Target="https://www.linkedin.com/in/rahulnath18/" TargetMode="External"/><Relationship Id="rId253" Type="http://schemas.openxmlformats.org/officeDocument/2006/relationships/hyperlink" Target="https://www.linkedin.com/in/abhineet-kumar-6444b455/" TargetMode="External"/><Relationship Id="rId252" Type="http://schemas.openxmlformats.org/officeDocument/2006/relationships/hyperlink" Target="https://www.linkedin.com/in/souradeeppaul/" TargetMode="External"/><Relationship Id="rId251" Type="http://schemas.openxmlformats.org/officeDocument/2006/relationships/hyperlink" Target="https://www.linkedin.com/in/debopambasu/" TargetMode="External"/><Relationship Id="rId250" Type="http://schemas.openxmlformats.org/officeDocument/2006/relationships/hyperlink" Target="https://www.linkedin.com/company/3076895/" TargetMode="External"/><Relationship Id="rId257" Type="http://schemas.openxmlformats.org/officeDocument/2006/relationships/hyperlink" Target="https://www.linkedin.com/in/vaibhavsawhney/" TargetMode="External"/><Relationship Id="rId256" Type="http://schemas.openxmlformats.org/officeDocument/2006/relationships/hyperlink" Target="https://www.linkedin.com/in/ashishhooda/" TargetMode="External"/><Relationship Id="rId255" Type="http://schemas.openxmlformats.org/officeDocument/2006/relationships/hyperlink" Target="http://cashify.in" TargetMode="External"/><Relationship Id="rId254" Type="http://schemas.openxmlformats.org/officeDocument/2006/relationships/hyperlink" Target="https://www.linkedin.com/in/nitinpulyani/" TargetMode="External"/><Relationship Id="rId293" Type="http://schemas.openxmlformats.org/officeDocument/2006/relationships/hyperlink" Target="https://www.linkedin.com/in/sathish-mohan-257b2a3/" TargetMode="External"/><Relationship Id="rId292" Type="http://schemas.openxmlformats.org/officeDocument/2006/relationships/hyperlink" Target="https://www.linkedin.com/in/anubhavit/" TargetMode="External"/><Relationship Id="rId291" Type="http://schemas.openxmlformats.org/officeDocument/2006/relationships/hyperlink" Target="https://www.linkedin.com/in/anikk/" TargetMode="External"/><Relationship Id="rId290" Type="http://schemas.openxmlformats.org/officeDocument/2006/relationships/hyperlink" Target="https://www.linkedin.com/in/kunalchopra1995/" TargetMode="External"/><Relationship Id="rId286" Type="http://schemas.openxmlformats.org/officeDocument/2006/relationships/hyperlink" Target="https://www.linkedin.com/in/milindpathak/" TargetMode="External"/><Relationship Id="rId285" Type="http://schemas.openxmlformats.org/officeDocument/2006/relationships/hyperlink" Target="https://www.linkedin.com/in/thobithabraham/" TargetMode="External"/><Relationship Id="rId284" Type="http://schemas.openxmlformats.org/officeDocument/2006/relationships/hyperlink" Target="http://iksa.ai/" TargetMode="External"/><Relationship Id="rId283" Type="http://schemas.openxmlformats.org/officeDocument/2006/relationships/hyperlink" Target="https://www.linkedin.com/in/harishkurudi/" TargetMode="External"/><Relationship Id="rId289" Type="http://schemas.openxmlformats.org/officeDocument/2006/relationships/hyperlink" Target="https://www.linkedin.com/in/pankaj-sable-a12734122/" TargetMode="External"/><Relationship Id="rId288" Type="http://schemas.openxmlformats.org/officeDocument/2006/relationships/hyperlink" Target="https://www.linkedin.com/in/japan-doshi-a432171/" TargetMode="External"/><Relationship Id="rId287" Type="http://schemas.openxmlformats.org/officeDocument/2006/relationships/hyperlink" Target="https://www.google.com/search?q=Japan+Doshi&amp;client=opera-gx&amp;sca_esv=e0aabfe7adf79f39&amp;biw=1494&amp;bih=802&amp;sxsrf=AE3TifMIjb4SgIx_g3nDMGOijRFAKAKPWQ%3A1764659496980&amp;ei=KJEuadW5O8W9seMPntXy4Ac&amp;ved=2ahUKEwjn4uffrZ6RAxVr1jgGHcgKFOgQgK4QegQIARAC&amp;uact=5&amp;oq=Rupeek+product+head&amp;gs_lp=Egxnd3Mtd2l6LXNlcnAiE1J1cGVlayBwcm9kdWN0IGhlYWQyCBAAGIAEGKIEMgUQABjvBTIIEAAYgAQYogQyBRAAGO8FMggQABiABBiiBEijDFDnBViuCXACeAGQAQCYAe4BoAGlA6oBBTAuMS4xuAEDyAEA-AEC-AEBmAIEoAKwA8ICChAAGLADGNYEGEfCAgoQIRigARjDBBgKmAMAiAYBkAYIkgcFMi4xLjGgB5QFsgcFMC4xLjG4B6oDwgcDMC40yAcG&amp;sclient=gws-wiz-serp&amp;mstk=AUtExfAuGDA4Zzm5ZJNgn84cwy9e3NRo8wGI65rx_rJA_6Ai5YQ36nADA9aPQWldMxnIFS3uG8MG7MymNr1L5w5_5BeYjfZrmFV-S6PFUwYNhqaqaQuhTUMqR1OhwUrZcNrin5baoYcgsktfiMd4nAf_rjnHWIUGH_Vv7PvrjSwGgsLndt4sn4Wjwao37ih3OJy8CmP8FiE25GnOyJ-E4D2hFHg9npu8Babx9G0GGWdcsrbxlWS9wnJHap54RI3l-5Pog_YDssvpipyVKZ51U1_dRUeg&amp;csui=3" TargetMode="External"/><Relationship Id="rId282" Type="http://schemas.openxmlformats.org/officeDocument/2006/relationships/hyperlink" Target="https://www.google.com/search?q=Harish+Kurudi&amp;client=opera-gx&amp;sca_esv=e0aabfe7adf79f39&amp;biw=1494&amp;bih=802&amp;sxsrf=AE3TifMlxuQXoW9fy3fayU7mOsV9rzqMzQ%3A1764659235784&amp;ei=I5AuaaC-L4WRseMP2aXEsAY&amp;ved=2ahUKEwiT7f2drJ6RAxUFSWwGHS_QH3gQgK4QegQIARAC&amp;uact=5&amp;oq=RenewBuy+product+head&amp;gs_lp=Egxnd3Mtd2l6LXNlcnAiFVJlbmV3QnV5IHByb2R1Y3QgaGVhZDIIEAAYgAQYogQyBRAAGO8FMggQABiABBiiBDIIEAAYogQYiQUyCBAAGIAEGKIESIoUULcJWN4OcAJ4AZABAJgBrgKgAZ4EqgEFMi0xLjG4AQPIAQD4AQL4AQGYAgSgAq0EwgIKEAAYsAMY1gQYR8ICChAhGKABGMMEGAqYAwCIBgGQBgiSBwcyLjAuMS4xoAeTBbIHBTItMS4xuAemBMIHBTEuMS4yyAcJ&amp;sclient=gws-wiz-serp&amp;mstk=AUtExfBIF5yhb0UjRlt2vQD9QFZqw3i6tSNIJr4OSS8SpI-4WrByR3ApXzWZtFAq2ZgP_aCxseQQ5K3Lm5fT0qNxZqPJ3gZF-pWKE4nzCPG0_n9ZiYKP9E6jRWeGhz0_yyRZ9Q7RWNOJwaK90mcDX5fHhClt6gGN9t9ej1vJp4lkXBK9GLTitla4IrbxaznxVPxOAZ_94ieUnTPiXTTsOdABm1z17cfC0FPAsIQ12yAfPLQPw2WHFUteqUBbVXX1KNRvt3eobGm9zTch86D4HJcWw6Cz&amp;csui=3" TargetMode="External"/><Relationship Id="rId281" Type="http://schemas.openxmlformats.org/officeDocument/2006/relationships/hyperlink" Target="https://www.linkedin.com/in/ishanvyas/" TargetMode="External"/><Relationship Id="rId280" Type="http://schemas.openxmlformats.org/officeDocument/2006/relationships/hyperlink" Target="https://www.linkedin.com/in/deepunk/" TargetMode="External"/><Relationship Id="rId275" Type="http://schemas.openxmlformats.org/officeDocument/2006/relationships/hyperlink" Target="http://neuron7.ai" TargetMode="External"/><Relationship Id="rId274" Type="http://schemas.openxmlformats.org/officeDocument/2006/relationships/hyperlink" Target="https://www.linkedin.com/in/7bharats/" TargetMode="External"/><Relationship Id="rId273" Type="http://schemas.openxmlformats.org/officeDocument/2006/relationships/hyperlink" Target="https://www.linkedin.com/in/naveen-k-3b269778/" TargetMode="External"/><Relationship Id="rId272" Type="http://schemas.openxmlformats.org/officeDocument/2006/relationships/hyperlink" Target="https://www.linkedin.com/in/mayankbhola/" TargetMode="External"/><Relationship Id="rId279" Type="http://schemas.openxmlformats.org/officeDocument/2006/relationships/hyperlink" Target="https://www.linkedin.com/in/aashutoshverma/" TargetMode="External"/><Relationship Id="rId278" Type="http://schemas.openxmlformats.org/officeDocument/2006/relationships/hyperlink" Target="https://www.google.com/search?q=Ashutosh+Verma&amp;client=opera-gx&amp;sca_esv=e0aabfe7adf79f39&amp;biw=1494&amp;bih=802&amp;sxsrf=AE3TifP6VcrFeE413_xNEXeIj_rOGoKonQ%3A1764658416034&amp;ei=8IwuafXsAemZseMP6efDwQ4&amp;ved=2ahUKEwjN9r2lqZ6RAxXiR2wGHSfbEOYQgK4QegQIARAC&amp;uact=5&amp;oq=PayMate+product+head&amp;gs_lp=Egxnd3Mtd2l6LXNlcnAiFFBheU1hdGUgcHJvZHVjdCBoZWFkMggQIRigARjDBDIIECEYoAEYwwRIkyhQowNY_SRwAXgAkAEAmAGkAqABjwSqAQMyLTK4AQPIAQD4AQL4AQGYAgOgApkEwgIOEAAYgAQYsAMYhgMYigXCAggQABiwAxjvBcICCxAAGIAEGLADGKIEwgIIEAAYCBgNGB7CAgsQABiABBiGAxiKBcICCBAAGIAEGKIEmAMAiAYBkAYIkgcFMS4wLjKgB4AIsgcDMi0yuAeUBMIHBTAuMi4xyAcG&amp;sclient=gws-wiz-serp&amp;mstk=AUtExfDMepEuE478aAlYsgjD2vxtezc3i4-BNu1VFXtZCrC2L0gTPV1MuaOCg5o4an5JHoeASapWc6GxQjZAijsDzcD4M6fH9HdfLHioof-ZyRGdZm88n-REm0BMN7kvNxglYl-4MY3T_w-B31Kh2klRz7we-xy2qh2zhpr9yg8_4biuPJWuGvGOJmB9OxodhahuMNdBVxxSiYVaGl5hfO3DN1E_eifL7Q5hwp24zb_l1F7MPZxnmMmyDDxVc3_4DbD73it6qaRmzs1OUXSNcywLBPft&amp;csui=3" TargetMode="External"/><Relationship Id="rId277" Type="http://schemas.openxmlformats.org/officeDocument/2006/relationships/hyperlink" Target="https://www.linkedin.com/in/priyankbarthwal/" TargetMode="External"/><Relationship Id="rId276" Type="http://schemas.openxmlformats.org/officeDocument/2006/relationships/hyperlink" Target="https://www.linkedin.com/in/sainivinay/" TargetMode="External"/><Relationship Id="rId228" Type="http://schemas.openxmlformats.org/officeDocument/2006/relationships/hyperlink" Target="https://www.linkedin.com/in/vaibhav-sambre/" TargetMode="External"/><Relationship Id="rId227" Type="http://schemas.openxmlformats.org/officeDocument/2006/relationships/hyperlink" Target="https://www.linkedin.com/in/rohith-salim/" TargetMode="External"/><Relationship Id="rId226" Type="http://schemas.openxmlformats.org/officeDocument/2006/relationships/hyperlink" Target="https://www.linkedin.com/in/vasanthakumars1/" TargetMode="External"/><Relationship Id="rId225" Type="http://schemas.openxmlformats.org/officeDocument/2006/relationships/hyperlink" Target="mailto:bht.vinayak@gmail.com" TargetMode="External"/><Relationship Id="rId229" Type="http://schemas.openxmlformats.org/officeDocument/2006/relationships/hyperlink" Target="http://observe.ai" TargetMode="External"/><Relationship Id="rId220" Type="http://schemas.openxmlformats.org/officeDocument/2006/relationships/hyperlink" Target="https://www.linkedin.com/in/pkumarie11/" TargetMode="External"/><Relationship Id="rId224" Type="http://schemas.openxmlformats.org/officeDocument/2006/relationships/hyperlink" Target="https://www.linkedin.com/in/vinayak-bhat-70a40a24/" TargetMode="External"/><Relationship Id="rId223" Type="http://schemas.openxmlformats.org/officeDocument/2006/relationships/hyperlink" Target="https://www.linkedin.com/in/ishkapoor2000/" TargetMode="External"/><Relationship Id="rId222" Type="http://schemas.openxmlformats.org/officeDocument/2006/relationships/hyperlink" Target="https://www.linkedin.com/in/amitguptaz/" TargetMode="External"/><Relationship Id="rId221" Type="http://schemas.openxmlformats.org/officeDocument/2006/relationships/hyperlink" Target="https://www.linkedin.com/in/nirav-lalan-2152a226/" TargetMode="External"/><Relationship Id="rId217" Type="http://schemas.openxmlformats.org/officeDocument/2006/relationships/hyperlink" Target="https://www.linkedin.com/in/rajesh-sudhakaran-7823a029/" TargetMode="External"/><Relationship Id="rId216" Type="http://schemas.openxmlformats.org/officeDocument/2006/relationships/hyperlink" Target="https://www.linkedin.com/in/kapilajaiswal/" TargetMode="External"/><Relationship Id="rId215" Type="http://schemas.openxmlformats.org/officeDocument/2006/relationships/hyperlink" Target="https://www.linkedin.com/in/pramodpnair/" TargetMode="External"/><Relationship Id="rId214" Type="http://schemas.openxmlformats.org/officeDocument/2006/relationships/hyperlink" Target="https://www.linkedin.com/in/abhishekchoudhari/?trk=pub-pbmap" TargetMode="External"/><Relationship Id="rId219" Type="http://schemas.openxmlformats.org/officeDocument/2006/relationships/hyperlink" Target="https://www.linkedin.com/in/shikharjain10/" TargetMode="External"/><Relationship Id="rId218" Type="http://schemas.openxmlformats.org/officeDocument/2006/relationships/hyperlink" Target="https://www.linkedin.com/in/mithilsrivastav/" TargetMode="External"/><Relationship Id="rId213" Type="http://schemas.openxmlformats.org/officeDocument/2006/relationships/hyperlink" Target="https://www.linkedin.com/in/sankbhatt/" TargetMode="External"/><Relationship Id="rId212" Type="http://schemas.openxmlformats.org/officeDocument/2006/relationships/hyperlink" Target="https://www.linkedin.com/in/shouvikgr/" TargetMode="External"/><Relationship Id="rId211" Type="http://schemas.openxmlformats.org/officeDocument/2006/relationships/hyperlink" Target="https://www.linkedin.com/in/aman-prakash-40b39942/" TargetMode="External"/><Relationship Id="rId210" Type="http://schemas.openxmlformats.org/officeDocument/2006/relationships/hyperlink" Target="https://www.linkedin.com/in/gaurav-gupta-6097564/" TargetMode="External"/><Relationship Id="rId249" Type="http://schemas.openxmlformats.org/officeDocument/2006/relationships/hyperlink" Target="https://www.linkedin.com/in/mikhilraj/" TargetMode="External"/><Relationship Id="rId248" Type="http://schemas.openxmlformats.org/officeDocument/2006/relationships/hyperlink" Target="https://www.linkedin.com/in/sovan-satyaprakash-73040818/" TargetMode="External"/><Relationship Id="rId247" Type="http://schemas.openxmlformats.org/officeDocument/2006/relationships/hyperlink" Target="https://www.linkedin.com/in/rohitmanghnani/?originalSubdomain=in" TargetMode="External"/><Relationship Id="rId242" Type="http://schemas.openxmlformats.org/officeDocument/2006/relationships/hyperlink" Target="https://www.linkedin.com/in/paryushan/" TargetMode="External"/><Relationship Id="rId241" Type="http://schemas.openxmlformats.org/officeDocument/2006/relationships/hyperlink" Target="https://www.linkedin.com/in/satish-kumar-b04491b6/" TargetMode="External"/><Relationship Id="rId240" Type="http://schemas.openxmlformats.org/officeDocument/2006/relationships/hyperlink" Target="https://www.linkedin.com/in/sukhpreetsekhon/" TargetMode="External"/><Relationship Id="rId246" Type="http://schemas.openxmlformats.org/officeDocument/2006/relationships/hyperlink" Target="https://docs.google.com/spreadsheets/d/1K0r-iS3ENApVSoc8czAbupc0wyEwIO2_tmU18WB2mNk/edit?gid=1720762204" TargetMode="External"/><Relationship Id="rId245" Type="http://schemas.openxmlformats.org/officeDocument/2006/relationships/hyperlink" Target="https://www.linkedin.com/in/anupam-goswami-b4552a50/" TargetMode="External"/><Relationship Id="rId244" Type="http://schemas.openxmlformats.org/officeDocument/2006/relationships/hyperlink" Target="http://arya.ag" TargetMode="External"/><Relationship Id="rId243" Type="http://schemas.openxmlformats.org/officeDocument/2006/relationships/hyperlink" Target="https://www.linkedin.com/in/ananda-das-179631222/" TargetMode="External"/><Relationship Id="rId239" Type="http://schemas.openxmlformats.org/officeDocument/2006/relationships/hyperlink" Target="https://www.linkedin.com/in/ravitheja-tetali/?originalSubdomain=in" TargetMode="External"/><Relationship Id="rId238" Type="http://schemas.openxmlformats.org/officeDocument/2006/relationships/hyperlink" Target="https://www.linkedin.com/in/ratirajkumar/" TargetMode="External"/><Relationship Id="rId237" Type="http://schemas.openxmlformats.org/officeDocument/2006/relationships/hyperlink" Target="http://bankbazaar.com" TargetMode="External"/><Relationship Id="rId236" Type="http://schemas.openxmlformats.org/officeDocument/2006/relationships/hyperlink" Target="https://www.linkedin.com/in/darpan-pathar-30bb77a0/" TargetMode="External"/><Relationship Id="rId231" Type="http://schemas.openxmlformats.org/officeDocument/2006/relationships/hyperlink" Target="https://www.linkedin.com/in/onlysid/" TargetMode="External"/><Relationship Id="rId230" Type="http://schemas.openxmlformats.org/officeDocument/2006/relationships/hyperlink" Target="https://www.linkedin.com/in/kolinkoehl/" TargetMode="External"/><Relationship Id="rId235" Type="http://schemas.openxmlformats.org/officeDocument/2006/relationships/hyperlink" Target="https://www.linkedin.com/in/etownsend/" TargetMode="External"/><Relationship Id="rId234" Type="http://schemas.openxmlformats.org/officeDocument/2006/relationships/hyperlink" Target="https://www.linkedin.com/in/saurabhmishra280492/" TargetMode="External"/><Relationship Id="rId233" Type="http://schemas.openxmlformats.org/officeDocument/2006/relationships/hyperlink" Target="https://www.linkedin.com/in/pulkit-jain-9797999/" TargetMode="External"/><Relationship Id="rId232" Type="http://schemas.openxmlformats.org/officeDocument/2006/relationships/hyperlink" Target="https://www.linkedin.com/in/himdoshi/" TargetMode="External"/><Relationship Id="rId206" Type="http://schemas.openxmlformats.org/officeDocument/2006/relationships/hyperlink" Target="https://www.linkedin.com/in/krithikamuthukrishnan/" TargetMode="External"/><Relationship Id="rId205" Type="http://schemas.openxmlformats.org/officeDocument/2006/relationships/hyperlink" Target="https://www.linkedin.com/in/vkg7/" TargetMode="External"/><Relationship Id="rId204" Type="http://schemas.openxmlformats.org/officeDocument/2006/relationships/hyperlink" Target="https://www.linkedin.com/in/kumakrishna/" TargetMode="External"/><Relationship Id="rId203" Type="http://schemas.openxmlformats.org/officeDocument/2006/relationships/hyperlink" Target="https://www.linkedin.com/in/sandilyakonduri/" TargetMode="External"/><Relationship Id="rId209" Type="http://schemas.openxmlformats.org/officeDocument/2006/relationships/hyperlink" Target="https://www.linkedin.com/in/sarang-sharma-91791111/" TargetMode="External"/><Relationship Id="rId208" Type="http://schemas.openxmlformats.org/officeDocument/2006/relationships/hyperlink" Target="https://www.linkedin.com/in/kartikay-aggarwal-3ab035124/" TargetMode="External"/><Relationship Id="rId207" Type="http://schemas.openxmlformats.org/officeDocument/2006/relationships/hyperlink" Target="https://www.linkedin.com/in/ankeetgupta/" TargetMode="External"/><Relationship Id="rId202" Type="http://schemas.openxmlformats.org/officeDocument/2006/relationships/hyperlink" Target="https://www.linkedin.com/in/dbsheth/" TargetMode="External"/><Relationship Id="rId201" Type="http://schemas.openxmlformats.org/officeDocument/2006/relationships/hyperlink" Target="https://www.linkedin.com/in/pratik-vohera/" TargetMode="External"/><Relationship Id="rId200" Type="http://schemas.openxmlformats.org/officeDocument/2006/relationships/hyperlink" Target="https://www.linkedin.com/in/bhasinjatin/" TargetMode="External"/><Relationship Id="rId190" Type="http://schemas.openxmlformats.org/officeDocument/2006/relationships/hyperlink" Target="https://www.signalhire.com/search/people/d2cf3e9311524711bfdc274d7ddda174" TargetMode="External"/><Relationship Id="rId194" Type="http://schemas.openxmlformats.org/officeDocument/2006/relationships/hyperlink" Target="https://www.linkedin.com/in/mantrarajnaik/" TargetMode="External"/><Relationship Id="rId193" Type="http://schemas.openxmlformats.org/officeDocument/2006/relationships/hyperlink" Target="https://www.linkedin.com/in/aruna-dey/" TargetMode="External"/><Relationship Id="rId192" Type="http://schemas.openxmlformats.org/officeDocument/2006/relationships/hyperlink" Target="https://www.signalhire.com/search/people/e20a0efa0a4c4ecc8e3b69c80264de38" TargetMode="External"/><Relationship Id="rId191" Type="http://schemas.openxmlformats.org/officeDocument/2006/relationships/hyperlink" Target="https://www.linkedin.com/in/karty/" TargetMode="External"/><Relationship Id="rId187" Type="http://schemas.openxmlformats.org/officeDocument/2006/relationships/hyperlink" Target="https://www.linkedin.com/in/rpsy/" TargetMode="External"/><Relationship Id="rId186" Type="http://schemas.openxmlformats.org/officeDocument/2006/relationships/hyperlink" Target="https://www.signalhire.com/search/people/5e059d128da74b38b6709b5d26c3900d" TargetMode="External"/><Relationship Id="rId185" Type="http://schemas.openxmlformats.org/officeDocument/2006/relationships/hyperlink" Target="https://www.signalhire.com/search/companies" TargetMode="External"/><Relationship Id="rId184" Type="http://schemas.openxmlformats.org/officeDocument/2006/relationships/hyperlink" Target="https://www.linkedin.com/in/a-niche/" TargetMode="External"/><Relationship Id="rId189" Type="http://schemas.openxmlformats.org/officeDocument/2006/relationships/hyperlink" Target="https://www.linkedin.com/in/prithvi-raj-tejavath-70586b/" TargetMode="External"/><Relationship Id="rId188" Type="http://schemas.openxmlformats.org/officeDocument/2006/relationships/hyperlink" Target="https://www.signalhire.com/search/people/a0953968f16f434a9b05febd2e0be803" TargetMode="External"/><Relationship Id="rId183" Type="http://schemas.openxmlformats.org/officeDocument/2006/relationships/hyperlink" Target="https://www.signalhire.com/search/people/7c40a09618944ab598a24b447fe43ab8" TargetMode="External"/><Relationship Id="rId182" Type="http://schemas.openxmlformats.org/officeDocument/2006/relationships/hyperlink" Target="https://www.linkedin.com/in/akshit-middha-511876225/" TargetMode="External"/><Relationship Id="rId181" Type="http://schemas.openxmlformats.org/officeDocument/2006/relationships/hyperlink" Target="https://www.signalhire.com/search/people/4394887c65994f5fbf5e9a1b8bf296ed" TargetMode="External"/><Relationship Id="rId180" Type="http://schemas.openxmlformats.org/officeDocument/2006/relationships/hyperlink" Target="https://www.signalhire.com/search/companies" TargetMode="External"/><Relationship Id="rId176" Type="http://schemas.openxmlformats.org/officeDocument/2006/relationships/hyperlink" Target="https://www.signalhire.com/search/people/c124797053874440a7b61b5ee46ec757" TargetMode="External"/><Relationship Id="rId175" Type="http://schemas.openxmlformats.org/officeDocument/2006/relationships/hyperlink" Target="https://www.signalhire.com/search/companies" TargetMode="External"/><Relationship Id="rId174" Type="http://schemas.openxmlformats.org/officeDocument/2006/relationships/hyperlink" Target="https://www.linkedin.com/in/garimellapavanteja/" TargetMode="External"/><Relationship Id="rId173" Type="http://schemas.openxmlformats.org/officeDocument/2006/relationships/hyperlink" Target="https://www.signalhire.com/search/companies" TargetMode="External"/><Relationship Id="rId179" Type="http://schemas.openxmlformats.org/officeDocument/2006/relationships/hyperlink" Target="https://www.linkedin.com/in/saxenaalankar/" TargetMode="External"/><Relationship Id="rId178" Type="http://schemas.openxmlformats.org/officeDocument/2006/relationships/hyperlink" Target="https://www.signalhire.com/search/people/64f04325f04d4a7abaec68303d8417b2" TargetMode="External"/><Relationship Id="rId177" Type="http://schemas.openxmlformats.org/officeDocument/2006/relationships/hyperlink" Target="https://www.linkedin.com/in/mbijral/" TargetMode="External"/><Relationship Id="rId198" Type="http://schemas.openxmlformats.org/officeDocument/2006/relationships/hyperlink" Target="https://www.linkedin.com/in/manishsmittal/" TargetMode="External"/><Relationship Id="rId197" Type="http://schemas.openxmlformats.org/officeDocument/2006/relationships/hyperlink" Target="https://www.linkedin.com/in/damien-passavent-a885a971/" TargetMode="External"/><Relationship Id="rId196" Type="http://schemas.openxmlformats.org/officeDocument/2006/relationships/hyperlink" Target="https://www.linkedin.com/in/anjan-umamaheswaran-b-76b871124/" TargetMode="External"/><Relationship Id="rId195" Type="http://schemas.openxmlformats.org/officeDocument/2006/relationships/hyperlink" Target="https://www.linkedin.com/in/jayashree-a-18825148/" TargetMode="External"/><Relationship Id="rId199" Type="http://schemas.openxmlformats.org/officeDocument/2006/relationships/hyperlink" Target="https://www.linkedin.com/in/suchitmajumdar/" TargetMode="External"/><Relationship Id="rId150" Type="http://schemas.openxmlformats.org/officeDocument/2006/relationships/hyperlink" Target="https://www.linkedin.com/in/mohitbhonde/" TargetMode="External"/><Relationship Id="rId149" Type="http://schemas.openxmlformats.org/officeDocument/2006/relationships/hyperlink" Target="https://www.linkedin.com/in/mohitbhonde/overlay/about-this-profile/" TargetMode="External"/><Relationship Id="rId148" Type="http://schemas.openxmlformats.org/officeDocument/2006/relationships/hyperlink" Target="https://www.linkedin.com/in/bkrishnachaitanyafintech/" TargetMode="External"/><Relationship Id="rId143" Type="http://schemas.openxmlformats.org/officeDocument/2006/relationships/hyperlink" Target="https://www.linkedin.com/in/sabareesh-chittuluru/overlay/about-this-profile/" TargetMode="External"/><Relationship Id="rId142" Type="http://schemas.openxmlformats.org/officeDocument/2006/relationships/hyperlink" Target="https://www.linkedin.com/in/shiv-pratap-8a3675158/" TargetMode="External"/><Relationship Id="rId141" Type="http://schemas.openxmlformats.org/officeDocument/2006/relationships/hyperlink" Target="https://www.linkedin.com/in/shiv-pratap-8a3675158/overlay/about-this-profile/" TargetMode="External"/><Relationship Id="rId140" Type="http://schemas.openxmlformats.org/officeDocument/2006/relationships/hyperlink" Target="https://www.linkedin.com/in/harshal-bhoi-2ba0a84b/" TargetMode="External"/><Relationship Id="rId147" Type="http://schemas.openxmlformats.org/officeDocument/2006/relationships/hyperlink" Target="https://www.linkedin.com/in/bkrishnachaitanyafintech/overlay/about-this-profile/" TargetMode="External"/><Relationship Id="rId146" Type="http://schemas.openxmlformats.org/officeDocument/2006/relationships/hyperlink" Target="https://www.linkedin.com/in/shweta-doshi1/" TargetMode="External"/><Relationship Id="rId145" Type="http://schemas.openxmlformats.org/officeDocument/2006/relationships/hyperlink" Target="https://www.linkedin.com/in/shweta-doshi1/overlay/about-this-profile/" TargetMode="External"/><Relationship Id="rId144" Type="http://schemas.openxmlformats.org/officeDocument/2006/relationships/hyperlink" Target="https://www.linkedin.com/in/sabareesh-chittuluru/" TargetMode="External"/><Relationship Id="rId139" Type="http://schemas.openxmlformats.org/officeDocument/2006/relationships/hyperlink" Target="https://www.linkedin.com/in/harshal-bhoi-2ba0a84b/overlay/about-this-profile/" TargetMode="External"/><Relationship Id="rId138" Type="http://schemas.openxmlformats.org/officeDocument/2006/relationships/hyperlink" Target="https://www.linkedin.com/in/ashish-mundra/" TargetMode="External"/><Relationship Id="rId137" Type="http://schemas.openxmlformats.org/officeDocument/2006/relationships/hyperlink" Target="https://www.linkedin.com/in/ashish-mundra/overlay/about-this-profile/" TargetMode="External"/><Relationship Id="rId132" Type="http://schemas.openxmlformats.org/officeDocument/2006/relationships/hyperlink" Target="https://www.linkedin.com/in/pankajjoycaiser/" TargetMode="External"/><Relationship Id="rId131" Type="http://schemas.openxmlformats.org/officeDocument/2006/relationships/hyperlink" Target="https://www.linkedin.com/in/pankajjoycaiser/overlay/about-this-profile/" TargetMode="External"/><Relationship Id="rId130" Type="http://schemas.openxmlformats.org/officeDocument/2006/relationships/hyperlink" Target="https://www.linkedin.com/in/hindole-dutta-57883716/" TargetMode="External"/><Relationship Id="rId136" Type="http://schemas.openxmlformats.org/officeDocument/2006/relationships/hyperlink" Target="https://www.linkedin.com/in/jainkunal/" TargetMode="External"/><Relationship Id="rId135" Type="http://schemas.openxmlformats.org/officeDocument/2006/relationships/hyperlink" Target="https://www.linkedin.com/in/jainkunal/overlay/about-this-profile/" TargetMode="External"/><Relationship Id="rId134" Type="http://schemas.openxmlformats.org/officeDocument/2006/relationships/hyperlink" Target="https://www.linkedin.com/in/shrutiduge/" TargetMode="External"/><Relationship Id="rId133" Type="http://schemas.openxmlformats.org/officeDocument/2006/relationships/hyperlink" Target="https://www.linkedin.com/in/shrutiduge/overlay/about-this-profile/" TargetMode="External"/><Relationship Id="rId172" Type="http://schemas.openxmlformats.org/officeDocument/2006/relationships/hyperlink" Target="https://www.linkedin.com/in/raj-narasimhan-06732719/" TargetMode="External"/><Relationship Id="rId171" Type="http://schemas.openxmlformats.org/officeDocument/2006/relationships/hyperlink" Target="https://www.linkedin.com/in/aahir/" TargetMode="External"/><Relationship Id="rId170" Type="http://schemas.openxmlformats.org/officeDocument/2006/relationships/hyperlink" Target="https://www.linkedin.com/in/anujmgarg/" TargetMode="External"/><Relationship Id="rId165" Type="http://schemas.openxmlformats.org/officeDocument/2006/relationships/hyperlink" Target="https://www.linkedin.com/in/sarthak-patnaik-56bbb424/" TargetMode="External"/><Relationship Id="rId164" Type="http://schemas.openxmlformats.org/officeDocument/2006/relationships/hyperlink" Target="https://www.linkedin.com/in/sarthak-patnaik-56bbb424/overlay/about-this-profile/" TargetMode="External"/><Relationship Id="rId163" Type="http://schemas.openxmlformats.org/officeDocument/2006/relationships/hyperlink" Target="https://www.linkedin.com/in/angadss/" TargetMode="External"/><Relationship Id="rId162" Type="http://schemas.openxmlformats.org/officeDocument/2006/relationships/hyperlink" Target="https://www.linkedin.com/in/angadss/overlay/about-this-profile/" TargetMode="External"/><Relationship Id="rId169" Type="http://schemas.openxmlformats.org/officeDocument/2006/relationships/hyperlink" Target="https://www.linkedin.com/in/john3gan/" TargetMode="External"/><Relationship Id="rId168" Type="http://schemas.openxmlformats.org/officeDocument/2006/relationships/hyperlink" Target="https://www.linkedin.com/in/john3gan/overlay/about-this-profile/" TargetMode="External"/><Relationship Id="rId167" Type="http://schemas.openxmlformats.org/officeDocument/2006/relationships/hyperlink" Target="https://www.linkedin.com/in/jatin-bhatia-45609353/" TargetMode="External"/><Relationship Id="rId166" Type="http://schemas.openxmlformats.org/officeDocument/2006/relationships/hyperlink" Target="https://www.linkedin.com/in/jatin-bhatia-45609353/overlay/about-this-profile/" TargetMode="External"/><Relationship Id="rId161" Type="http://schemas.openxmlformats.org/officeDocument/2006/relationships/hyperlink" Target="https://www.linkedin.com/in/maneeshanegi/" TargetMode="External"/><Relationship Id="rId160" Type="http://schemas.openxmlformats.org/officeDocument/2006/relationships/hyperlink" Target="https://www.linkedin.com/in/maneeshanegi/overlay/about-this-profile/" TargetMode="External"/><Relationship Id="rId159" Type="http://schemas.openxmlformats.org/officeDocument/2006/relationships/hyperlink" Target="https://www.linkedin.com/in/krishna-mohan-gadi/" TargetMode="External"/><Relationship Id="rId154" Type="http://schemas.openxmlformats.org/officeDocument/2006/relationships/hyperlink" Target="https://www.linkedin.com/in/vr-kishore/" TargetMode="External"/><Relationship Id="rId153" Type="http://schemas.openxmlformats.org/officeDocument/2006/relationships/hyperlink" Target="https://www.linkedin.com/in/vr-kishore/overlay/about-this-profile/" TargetMode="External"/><Relationship Id="rId152" Type="http://schemas.openxmlformats.org/officeDocument/2006/relationships/hyperlink" Target="https://www.linkedin.com/in/nishant-agarwal-b9080240/" TargetMode="External"/><Relationship Id="rId151" Type="http://schemas.openxmlformats.org/officeDocument/2006/relationships/hyperlink" Target="https://www.linkedin.com/in/nishant-agarwal-b9080240/overlay/about-this-profile/" TargetMode="External"/><Relationship Id="rId158" Type="http://schemas.openxmlformats.org/officeDocument/2006/relationships/hyperlink" Target="https://www.linkedin.com/in/niteshtripathi/" TargetMode="External"/><Relationship Id="rId157" Type="http://schemas.openxmlformats.org/officeDocument/2006/relationships/hyperlink" Target="https://www.linkedin.com/in/niteshtripathi/overlay/about-this-profile/" TargetMode="External"/><Relationship Id="rId156" Type="http://schemas.openxmlformats.org/officeDocument/2006/relationships/hyperlink" Target="https://www.linkedin.com/in/amitadityakarmakar/" TargetMode="External"/><Relationship Id="rId155" Type="http://schemas.openxmlformats.org/officeDocument/2006/relationships/hyperlink" Target="https://www.linkedin.com/in/amitadityakarmakar/overlay/about-this-profile/" TargetMode="External"/><Relationship Id="rId107" Type="http://schemas.openxmlformats.org/officeDocument/2006/relationships/hyperlink" Target="https://www.linkedin.com/in/rangaraajrajagopalan/overlay/about-this-profile/" TargetMode="External"/><Relationship Id="rId106" Type="http://schemas.openxmlformats.org/officeDocument/2006/relationships/hyperlink" Target="https://www.linkedin.com/in/sachit/" TargetMode="External"/><Relationship Id="rId105" Type="http://schemas.openxmlformats.org/officeDocument/2006/relationships/hyperlink" Target="https://www.linkedin.com/in/sachit/overlay/about-this-profile/" TargetMode="External"/><Relationship Id="rId104" Type="http://schemas.openxmlformats.org/officeDocument/2006/relationships/hyperlink" Target="http://eightfold.ai" TargetMode="External"/><Relationship Id="rId109" Type="http://schemas.openxmlformats.org/officeDocument/2006/relationships/hyperlink" Target="https://www.linkedin.com/in/khilanharia/overlay/about-this-profile/" TargetMode="External"/><Relationship Id="rId108" Type="http://schemas.openxmlformats.org/officeDocument/2006/relationships/hyperlink" Target="https://www.linkedin.com/in/rangaraajrajagopalan/" TargetMode="External"/><Relationship Id="rId103" Type="http://schemas.openxmlformats.org/officeDocument/2006/relationships/hyperlink" Target="https://www.linkedin.com/in/anirbandas5/" TargetMode="External"/><Relationship Id="rId102" Type="http://schemas.openxmlformats.org/officeDocument/2006/relationships/hyperlink" Target="https://www.linkedin.com/in/anirbandas5/overlay/about-this-profile/" TargetMode="External"/><Relationship Id="rId101" Type="http://schemas.openxmlformats.org/officeDocument/2006/relationships/hyperlink" Target="https://www.linkedin.com/in/rajatshikhar/" TargetMode="External"/><Relationship Id="rId100" Type="http://schemas.openxmlformats.org/officeDocument/2006/relationships/hyperlink" Target="https://www.linkedin.com/in/rajatshikhar/overlay/about-this-profile/" TargetMode="External"/><Relationship Id="rId129" Type="http://schemas.openxmlformats.org/officeDocument/2006/relationships/hyperlink" Target="https://www.linkedin.com/in/hindole-dutta-57883716/overlay/about-this-profile/" TargetMode="External"/><Relationship Id="rId128" Type="http://schemas.openxmlformats.org/officeDocument/2006/relationships/hyperlink" Target="https://www.linkedin.com/in/ajaykash/" TargetMode="External"/><Relationship Id="rId127" Type="http://schemas.openxmlformats.org/officeDocument/2006/relationships/hyperlink" Target="https://www.linkedin.com/in/ajaykash/overlay/about-this-profile/" TargetMode="External"/><Relationship Id="rId126" Type="http://schemas.openxmlformats.org/officeDocument/2006/relationships/hyperlink" Target="https://www.linkedin.com/in/ramkishorevegi/" TargetMode="External"/><Relationship Id="rId121" Type="http://schemas.openxmlformats.org/officeDocument/2006/relationships/hyperlink" Target="https://www.linkedin.com/in/ravishagarwal/overlay/about-this-profile/" TargetMode="External"/><Relationship Id="rId120" Type="http://schemas.openxmlformats.org/officeDocument/2006/relationships/hyperlink" Target="https://www.linkedin.com/in/achsh9/" TargetMode="External"/><Relationship Id="rId125" Type="http://schemas.openxmlformats.org/officeDocument/2006/relationships/hyperlink" Target="https://www.linkedin.com/in/ramkishorevegi/overlay/about-this-profile/" TargetMode="External"/><Relationship Id="rId124" Type="http://schemas.openxmlformats.org/officeDocument/2006/relationships/hyperlink" Target="https://www.linkedin.com/in/amitgz/" TargetMode="External"/><Relationship Id="rId123" Type="http://schemas.openxmlformats.org/officeDocument/2006/relationships/hyperlink" Target="https://www.linkedin.com/in/amitgz/overlay/about-this-profile/" TargetMode="External"/><Relationship Id="rId122" Type="http://schemas.openxmlformats.org/officeDocument/2006/relationships/hyperlink" Target="https://www.linkedin.com/in/ravishagarwal/?originalSubdomain=ae" TargetMode="External"/><Relationship Id="rId118" Type="http://schemas.openxmlformats.org/officeDocument/2006/relationships/hyperlink" Target="https://www.linkedin.com/in/ankush-jain-68746014/" TargetMode="External"/><Relationship Id="rId117" Type="http://schemas.openxmlformats.org/officeDocument/2006/relationships/hyperlink" Target="https://www.linkedin.com/in/ankush-jain-68746014/overlay/about-this-profile/" TargetMode="External"/><Relationship Id="rId116" Type="http://schemas.openxmlformats.org/officeDocument/2006/relationships/hyperlink" Target="https://www.linkedin.com/in/santosh-auti-84b982b1/" TargetMode="External"/><Relationship Id="rId115" Type="http://schemas.openxmlformats.org/officeDocument/2006/relationships/hyperlink" Target="https://www.linkedin.com/in/santosh-auti-84b982b1/overlay/about-this-profile/" TargetMode="External"/><Relationship Id="rId119" Type="http://schemas.openxmlformats.org/officeDocument/2006/relationships/hyperlink" Target="https://www.linkedin.com/in/achsh9/overlay/about-this-profile/" TargetMode="External"/><Relationship Id="rId110" Type="http://schemas.openxmlformats.org/officeDocument/2006/relationships/hyperlink" Target="https://www.linkedin.com/in/khilanharia/" TargetMode="External"/><Relationship Id="rId114" Type="http://schemas.openxmlformats.org/officeDocument/2006/relationships/hyperlink" Target="https://www.linkedin.com/in/vineetdas/" TargetMode="External"/><Relationship Id="rId113" Type="http://schemas.openxmlformats.org/officeDocument/2006/relationships/hyperlink" Target="https://www.linkedin.com/in/vineetdas/overlay/about-this-profile/" TargetMode="External"/><Relationship Id="rId112" Type="http://schemas.openxmlformats.org/officeDocument/2006/relationships/hyperlink" Target="https://www.linkedin.com/in/snehalpatel2786/" TargetMode="External"/><Relationship Id="rId111" Type="http://schemas.openxmlformats.org/officeDocument/2006/relationships/hyperlink" Target="https://www.linkedin.com/in/snehalpatel2786/overlay/about-this-profile/" TargetMode="External"/><Relationship Id="rId404" Type="http://schemas.openxmlformats.org/officeDocument/2006/relationships/hyperlink" Target="https://www.linkedin.com/in/gayathri-rajan-81b226" TargetMode="External"/><Relationship Id="rId403" Type="http://schemas.openxmlformats.org/officeDocument/2006/relationships/hyperlink" Target="https://www.linkedin.com/in/arya-k-arya-nair-0234b6110/" TargetMode="External"/><Relationship Id="rId402" Type="http://schemas.openxmlformats.org/officeDocument/2006/relationships/hyperlink" Target="https://www.linkedin.com/in/sakshi-choudhary-68b597128/" TargetMode="External"/><Relationship Id="rId401" Type="http://schemas.openxmlformats.org/officeDocument/2006/relationships/hyperlink" Target="https://www.linkedin.com/in/anugeorgeiimb/?originalSubdomain=in" TargetMode="External"/><Relationship Id="rId408" Type="http://schemas.openxmlformats.org/officeDocument/2006/relationships/drawing" Target="../drawings/drawing6.xml"/><Relationship Id="rId407" Type="http://schemas.openxmlformats.org/officeDocument/2006/relationships/hyperlink" Target="https://www.linkedin.com/in/stephanieneill/" TargetMode="External"/><Relationship Id="rId406" Type="http://schemas.openxmlformats.org/officeDocument/2006/relationships/hyperlink" Target="https://www.linkedin.com/in/tina-martinez-6767a94/" TargetMode="External"/><Relationship Id="rId405" Type="http://schemas.openxmlformats.org/officeDocument/2006/relationships/hyperlink" Target="https://www.linkedin.com/in/gayathri-rajan-81b226/" TargetMode="External"/><Relationship Id="rId400" Type="http://schemas.openxmlformats.org/officeDocument/2006/relationships/hyperlink" Target="https://www.linkedin.com/in/richatrivedi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linkedin.com/in/abhishek-ranjan-engg" TargetMode="External"/><Relationship Id="rId2" Type="http://schemas.openxmlformats.org/officeDocument/2006/relationships/hyperlink" Target="http://linkedin.com/in/baggagaurav" TargetMode="External"/><Relationship Id="rId3" Type="http://schemas.openxmlformats.org/officeDocument/2006/relationships/hyperlink" Target="http://linkedin.com/in/rahulkc" TargetMode="External"/><Relationship Id="rId4" Type="http://schemas.openxmlformats.org/officeDocument/2006/relationships/hyperlink" Target="http://linkedin.com/in/vinayakbaranwal" TargetMode="External"/><Relationship Id="rId9" Type="http://schemas.openxmlformats.org/officeDocument/2006/relationships/hyperlink" Target="http://linkedin.com/in/srinath-ramakkrushnan-a658629" TargetMode="External"/><Relationship Id="rId5" Type="http://schemas.openxmlformats.org/officeDocument/2006/relationships/hyperlink" Target="http://linkedin.com/in/saurabh-kishore-1046a42" TargetMode="External"/><Relationship Id="rId6" Type="http://schemas.openxmlformats.org/officeDocument/2006/relationships/hyperlink" Target="http://linkedin.com/in/shitiz-bansal-3216057" TargetMode="External"/><Relationship Id="rId7" Type="http://schemas.openxmlformats.org/officeDocument/2006/relationships/hyperlink" Target="http://linkedin.com/in/srividhya-srinivasan-60806b1" TargetMode="External"/><Relationship Id="rId8" Type="http://schemas.openxmlformats.org/officeDocument/2006/relationships/hyperlink" Target="http://linkedin.com/in/rishabh-sood-8b784a14" TargetMode="External"/><Relationship Id="rId40" Type="http://schemas.openxmlformats.org/officeDocument/2006/relationships/hyperlink" Target="https://www.linkedin.com/in/devesh-mishra-2aa711105" TargetMode="External"/><Relationship Id="rId42" Type="http://schemas.openxmlformats.org/officeDocument/2006/relationships/hyperlink" Target="https://www.linkedin.com/in/ankit-mah" TargetMode="External"/><Relationship Id="rId41" Type="http://schemas.openxmlformats.org/officeDocument/2006/relationships/hyperlink" Target="https://www.linkedin.com/in/rajatbansal77" TargetMode="External"/><Relationship Id="rId44" Type="http://schemas.openxmlformats.org/officeDocument/2006/relationships/hyperlink" Target="https://www.linkedin.com/in/ravimayuram" TargetMode="External"/><Relationship Id="rId43" Type="http://schemas.openxmlformats.org/officeDocument/2006/relationships/hyperlink" Target="https://www.linkedin.com/in/sandipdevarkonda" TargetMode="External"/><Relationship Id="rId46" Type="http://schemas.openxmlformats.org/officeDocument/2006/relationships/hyperlink" Target="http://linkedin.com/in/sanjay-aggarwal-iitd" TargetMode="External"/><Relationship Id="rId45" Type="http://schemas.openxmlformats.org/officeDocument/2006/relationships/hyperlink" Target="http://linkedin.com/in/anil-sinha-82261a1" TargetMode="External"/><Relationship Id="rId48" Type="http://schemas.openxmlformats.org/officeDocument/2006/relationships/hyperlink" Target="http://linkedin.com/in/vishaldhupar" TargetMode="External"/><Relationship Id="rId47" Type="http://schemas.openxmlformats.org/officeDocument/2006/relationships/hyperlink" Target="http://linkedin.com/in/arun-srinivas-6064721" TargetMode="External"/><Relationship Id="rId49" Type="http://schemas.openxmlformats.org/officeDocument/2006/relationships/hyperlink" Target="http://linkedin.com/in/santhoshviswanathan" TargetMode="External"/><Relationship Id="rId31" Type="http://schemas.openxmlformats.org/officeDocument/2006/relationships/hyperlink" Target="https://www.linkedin.com/in/vivsridh" TargetMode="External"/><Relationship Id="rId30" Type="http://schemas.openxmlformats.org/officeDocument/2006/relationships/hyperlink" Target="https://www.linkedin.com/in/kuppukrish" TargetMode="External"/><Relationship Id="rId33" Type="http://schemas.openxmlformats.org/officeDocument/2006/relationships/hyperlink" Target="https://www.linkedin.com/in/anupsable" TargetMode="External"/><Relationship Id="rId32" Type="http://schemas.openxmlformats.org/officeDocument/2006/relationships/hyperlink" Target="https://www.linkedin.com/in/pandurang" TargetMode="External"/><Relationship Id="rId35" Type="http://schemas.openxmlformats.org/officeDocument/2006/relationships/hyperlink" Target="https://www.linkedin.com/in/piyush-kumar-71425315" TargetMode="External"/><Relationship Id="rId34" Type="http://schemas.openxmlformats.org/officeDocument/2006/relationships/hyperlink" Target="https://www.linkedin.com/in/snjymhn" TargetMode="External"/><Relationship Id="rId37" Type="http://schemas.openxmlformats.org/officeDocument/2006/relationships/hyperlink" Target="http://linkedin.com/in/sajal-gupta-4b966742" TargetMode="External"/><Relationship Id="rId36" Type="http://schemas.openxmlformats.org/officeDocument/2006/relationships/hyperlink" Target="https://www.linkedin.com/in/deepeshdhakad" TargetMode="External"/><Relationship Id="rId39" Type="http://schemas.openxmlformats.org/officeDocument/2006/relationships/hyperlink" Target="https://www.linkedin.com/in/bapukota" TargetMode="External"/><Relationship Id="rId38" Type="http://schemas.openxmlformats.org/officeDocument/2006/relationships/hyperlink" Target="https://www.linkedin.com/in/bhushanheda" TargetMode="External"/><Relationship Id="rId20" Type="http://schemas.openxmlformats.org/officeDocument/2006/relationships/hyperlink" Target="https://www.linkedin.com/in/vishwanath-ram-8826722" TargetMode="External"/><Relationship Id="rId22" Type="http://schemas.openxmlformats.org/officeDocument/2006/relationships/hyperlink" Target="https://www.linkedin.com/in/rafeetarafdar" TargetMode="External"/><Relationship Id="rId21" Type="http://schemas.openxmlformats.org/officeDocument/2006/relationships/hyperlink" Target="https://www.linkedin.com/in/harrickvin" TargetMode="External"/><Relationship Id="rId24" Type="http://schemas.openxmlformats.org/officeDocument/2006/relationships/hyperlink" Target="https://www.linkedin.com/in/vijay-guntur" TargetMode="External"/><Relationship Id="rId23" Type="http://schemas.openxmlformats.org/officeDocument/2006/relationships/hyperlink" Target="https://www.linkedin.com/in/sandhyararun" TargetMode="External"/><Relationship Id="rId26" Type="http://schemas.openxmlformats.org/officeDocument/2006/relationships/hyperlink" Target="https://www.linkedin.com/in/arun-lakshmanan-274b9050" TargetMode="External"/><Relationship Id="rId25" Type="http://schemas.openxmlformats.org/officeDocument/2006/relationships/hyperlink" Target="https://www.linkedin.com/in/shamarora" TargetMode="External"/><Relationship Id="rId28" Type="http://schemas.openxmlformats.org/officeDocument/2006/relationships/hyperlink" Target="http://linkedin.com/in/senthilsan" TargetMode="External"/><Relationship Id="rId27" Type="http://schemas.openxmlformats.org/officeDocument/2006/relationships/hyperlink" Target="http://linkedin.com/in/ashish-khushu-b844101" TargetMode="External"/><Relationship Id="rId29" Type="http://schemas.openxmlformats.org/officeDocument/2006/relationships/hyperlink" Target="https://www.linkedin.com/in/rpautomation" TargetMode="External"/><Relationship Id="rId11" Type="http://schemas.openxmlformats.org/officeDocument/2006/relationships/hyperlink" Target="https://www.linkedin.com/in/pankajkgoel" TargetMode="External"/><Relationship Id="rId10" Type="http://schemas.openxmlformats.org/officeDocument/2006/relationships/hyperlink" Target="https://www.linkedin.com/in/shashidhar-ramakrishnaiah-7027335" TargetMode="External"/><Relationship Id="rId13" Type="http://schemas.openxmlformats.org/officeDocument/2006/relationships/hyperlink" Target="https://www.linkedin.com/in/santhoshkumarj/?originalSubdomain=in" TargetMode="External"/><Relationship Id="rId12" Type="http://schemas.openxmlformats.org/officeDocument/2006/relationships/hyperlink" Target="http://linkedin.com/in/khandelwalkshitij" TargetMode="External"/><Relationship Id="rId15" Type="http://schemas.openxmlformats.org/officeDocument/2006/relationships/hyperlink" Target="https://www.linkedin.com/in/aman-gupta-7217a515" TargetMode="External"/><Relationship Id="rId14" Type="http://schemas.openxmlformats.org/officeDocument/2006/relationships/hyperlink" Target="https://www.linkedin.com/in/khasnis" TargetMode="External"/><Relationship Id="rId17" Type="http://schemas.openxmlformats.org/officeDocument/2006/relationships/hyperlink" Target="https://www.linkedin.com/in/ashishgupta97065" TargetMode="External"/><Relationship Id="rId16" Type="http://schemas.openxmlformats.org/officeDocument/2006/relationships/hyperlink" Target="https://www.linkedin.com/in/ish-babbar-920429205" TargetMode="External"/><Relationship Id="rId19" Type="http://schemas.openxmlformats.org/officeDocument/2006/relationships/hyperlink" Target="https://www.linkedin.com/in/yakumar" TargetMode="External"/><Relationship Id="rId18" Type="http://schemas.openxmlformats.org/officeDocument/2006/relationships/hyperlink" Target="https://www.linkedin.com/in/nirav-sampat-a533ab113" TargetMode="External"/><Relationship Id="rId84" Type="http://schemas.openxmlformats.org/officeDocument/2006/relationships/hyperlink" Target="http://linkedin.com/in/anandguptags" TargetMode="External"/><Relationship Id="rId83" Type="http://schemas.openxmlformats.org/officeDocument/2006/relationships/hyperlink" Target="http://linkedin.com/in/ravi-pasupuleti-2b91a16" TargetMode="External"/><Relationship Id="rId86" Type="http://schemas.openxmlformats.org/officeDocument/2006/relationships/hyperlink" Target="http://linkedin.com/in/mvenugopal" TargetMode="External"/><Relationship Id="rId85" Type="http://schemas.openxmlformats.org/officeDocument/2006/relationships/hyperlink" Target="http://linkedin.com/in/aparna-rm" TargetMode="External"/><Relationship Id="rId88" Type="http://schemas.openxmlformats.org/officeDocument/2006/relationships/hyperlink" Target="http://linkedin.com/in/sunil-nayyar-a769831" TargetMode="External"/><Relationship Id="rId87" Type="http://schemas.openxmlformats.org/officeDocument/2006/relationships/hyperlink" Target="http://linkedin.com/in/kyroo" TargetMode="External"/><Relationship Id="rId89" Type="http://schemas.openxmlformats.org/officeDocument/2006/relationships/hyperlink" Target="http://linkedin.com/in/manishsharmapanasonic" TargetMode="External"/><Relationship Id="rId80" Type="http://schemas.openxmlformats.org/officeDocument/2006/relationships/hyperlink" Target="http://linkedin.com/in/ashish-modi-27504a2" TargetMode="External"/><Relationship Id="rId82" Type="http://schemas.openxmlformats.org/officeDocument/2006/relationships/hyperlink" Target="http://linkedin.com/in/tarun-chhabra-7296373" TargetMode="External"/><Relationship Id="rId81" Type="http://schemas.openxmlformats.org/officeDocument/2006/relationships/hyperlink" Target="http://linkedin.com/in/nitinbansal70" TargetMode="External"/><Relationship Id="rId73" Type="http://schemas.openxmlformats.org/officeDocument/2006/relationships/hyperlink" Target="http://linkedin.com/in/rohan-bhindwale" TargetMode="External"/><Relationship Id="rId72" Type="http://schemas.openxmlformats.org/officeDocument/2006/relationships/hyperlink" Target="http://linkedin.com/in/radhakrishnan-g-7111515" TargetMode="External"/><Relationship Id="rId75" Type="http://schemas.openxmlformats.org/officeDocument/2006/relationships/hyperlink" Target="http://linkedin.com/in/guru-mallikarjuna-8054b82" TargetMode="External"/><Relationship Id="rId74" Type="http://schemas.openxmlformats.org/officeDocument/2006/relationships/hyperlink" Target="http://linkedin.com/in/sunil-mathur" TargetMode="External"/><Relationship Id="rId77" Type="http://schemas.openxmlformats.org/officeDocument/2006/relationships/hyperlink" Target="http://linkedin.com/in/deepak-sharma-41b0079" TargetMode="External"/><Relationship Id="rId76" Type="http://schemas.openxmlformats.org/officeDocument/2006/relationships/hyperlink" Target="http://linkedin.com/in/sanjeev-sharma-5b47a010" TargetMode="External"/><Relationship Id="rId79" Type="http://schemas.openxmlformats.org/officeDocument/2006/relationships/hyperlink" Target="https://www.linkedin.com/in/siddharth-mahanot-a887253/" TargetMode="External"/><Relationship Id="rId78" Type="http://schemas.openxmlformats.org/officeDocument/2006/relationships/hyperlink" Target="http://linkedin.com/in/adilrehan" TargetMode="External"/><Relationship Id="rId71" Type="http://schemas.openxmlformats.org/officeDocument/2006/relationships/hyperlink" Target="http://linkedin.com/in/vikasvarma" TargetMode="External"/><Relationship Id="rId70" Type="http://schemas.openxmlformats.org/officeDocument/2006/relationships/hyperlink" Target="http://linkedin.com/in/vaibhav-taranekar-a50b5916" TargetMode="External"/><Relationship Id="rId62" Type="http://schemas.openxmlformats.org/officeDocument/2006/relationships/hyperlink" Target="http://linkedin.com/in/vinod-gupta-everest" TargetMode="External"/><Relationship Id="rId61" Type="http://schemas.openxmlformats.org/officeDocument/2006/relationships/hyperlink" Target="http://linkedin.com/in/manishgupta05" TargetMode="External"/><Relationship Id="rId64" Type="http://schemas.openxmlformats.org/officeDocument/2006/relationships/hyperlink" Target="http://linkedin.com/in/vivek-srivastava-cybersecurity" TargetMode="External"/><Relationship Id="rId63" Type="http://schemas.openxmlformats.org/officeDocument/2006/relationships/hyperlink" Target="http://linkedin.com/in/ipsita-dasgupta-66244" TargetMode="External"/><Relationship Id="rId66" Type="http://schemas.openxmlformats.org/officeDocument/2006/relationships/hyperlink" Target="http://linkedin.com/in/vijayant-rai-226203a" TargetMode="External"/><Relationship Id="rId65" Type="http://schemas.openxmlformats.org/officeDocument/2006/relationships/hyperlink" Target="http://linkedin.com/in/anil-z-chakravarthy-54481016" TargetMode="External"/><Relationship Id="rId68" Type="http://schemas.openxmlformats.org/officeDocument/2006/relationships/hyperlink" Target="http://linkedin.com/in/rajeev-rajan" TargetMode="External"/><Relationship Id="rId67" Type="http://schemas.openxmlformats.org/officeDocument/2006/relationships/hyperlink" Target="http://linkedin.com/in/ranjitmavinkurve" TargetMode="External"/><Relationship Id="rId60" Type="http://schemas.openxmlformats.org/officeDocument/2006/relationships/hyperlink" Target="http://linkedin.com/in/aparna-khurjekar" TargetMode="External"/><Relationship Id="rId69" Type="http://schemas.openxmlformats.org/officeDocument/2006/relationships/hyperlink" Target="http://linkedin.com/in/sagnik-nandy" TargetMode="External"/><Relationship Id="rId51" Type="http://schemas.openxmlformats.org/officeDocument/2006/relationships/hyperlink" Target="http://linkedin.com/in/vinay-sinha-33092389" TargetMode="External"/><Relationship Id="rId50" Type="http://schemas.openxmlformats.org/officeDocument/2006/relationships/hyperlink" Target="http://linkedin.com/in/savi-soin-050a17" TargetMode="External"/><Relationship Id="rId53" Type="http://schemas.openxmlformats.org/officeDocument/2006/relationships/hyperlink" Target="http://linkedin.com/in/rajeev9778" TargetMode="External"/><Relationship Id="rId52" Type="http://schemas.openxmlformats.org/officeDocument/2006/relationships/hyperlink" Target="http://linkedin.com/in/sandeep-bhatia-8957045" TargetMode="External"/><Relationship Id="rId55" Type="http://schemas.openxmlformats.org/officeDocument/2006/relationships/hyperlink" Target="http://linkedin.com/in/srini-venkatesan" TargetMode="External"/><Relationship Id="rId54" Type="http://schemas.openxmlformats.org/officeDocument/2006/relationships/hyperlink" Target="http://linkedin.com/in/arundhati-bhattacharya-salesforce" TargetMode="External"/><Relationship Id="rId57" Type="http://schemas.openxmlformats.org/officeDocument/2006/relationships/hyperlink" Target="http://linkedin.com/in/prabhjeetsingh1" TargetMode="External"/><Relationship Id="rId56" Type="http://schemas.openxmlformats.org/officeDocument/2006/relationships/hyperlink" Target="http://linkedin.com/in/asethi" TargetMode="External"/><Relationship Id="rId59" Type="http://schemas.openxmlformats.org/officeDocument/2006/relationships/hyperlink" Target="http://linkedin.com/in/monika-shergill-8a616b2b" TargetMode="External"/><Relationship Id="rId58" Type="http://schemas.openxmlformats.org/officeDocument/2006/relationships/hyperlink" Target="http://linkedin.com/in/amitkrdubey" TargetMode="External"/><Relationship Id="rId95" Type="http://schemas.openxmlformats.org/officeDocument/2006/relationships/hyperlink" Target="http://linkedin.com/in/santhosh-kumar-ba34877" TargetMode="External"/><Relationship Id="rId94" Type="http://schemas.openxmlformats.org/officeDocument/2006/relationships/hyperlink" Target="http://linkedin.com/in/sanjay-mehrotra" TargetMode="External"/><Relationship Id="rId97" Type="http://schemas.openxmlformats.org/officeDocument/2006/relationships/hyperlink" Target="http://linkedin.com/in/sesha-varadarajan-742b011" TargetMode="External"/><Relationship Id="rId96" Type="http://schemas.openxmlformats.org/officeDocument/2006/relationships/hyperlink" Target="http://linkedin.com/in/ashok-jain-1a1b676" TargetMode="External"/><Relationship Id="rId99" Type="http://schemas.openxmlformats.org/officeDocument/2006/relationships/hyperlink" Target="http://linkedin.com/in/pramach2" TargetMode="External"/><Relationship Id="rId98" Type="http://schemas.openxmlformats.org/officeDocument/2006/relationships/hyperlink" Target="http://linkedin.com/in/pankaj-saxena-9882347" TargetMode="External"/><Relationship Id="rId91" Type="http://schemas.openxmlformats.org/officeDocument/2006/relationships/hyperlink" Target="http://linkedin.com/in/alok-srivastava-95ab424" TargetMode="External"/><Relationship Id="rId90" Type="http://schemas.openxmlformats.org/officeDocument/2006/relationships/hyperlink" Target="http://linkedin.com/in/n-venu-hitachi-energy" TargetMode="External"/><Relationship Id="rId93" Type="http://schemas.openxmlformats.org/officeDocument/2006/relationships/hyperlink" Target="http://linkedin.com/in/c-s-chua" TargetMode="External"/><Relationship Id="rId92" Type="http://schemas.openxmlformats.org/officeDocument/2006/relationships/hyperlink" Target="http://linkedin.com/in/parmod-arora-mitsubishi" TargetMode="External"/><Relationship Id="rId217" Type="http://schemas.openxmlformats.org/officeDocument/2006/relationships/drawing" Target="../drawings/drawing8.xml"/><Relationship Id="rId216" Type="http://schemas.openxmlformats.org/officeDocument/2006/relationships/hyperlink" Target="http://linkedin.com/in/pooja-jain-08b86547" TargetMode="External"/><Relationship Id="rId215" Type="http://schemas.openxmlformats.org/officeDocument/2006/relationships/hyperlink" Target="http://linkedin.com/in/anuradha-bhatia" TargetMode="External"/><Relationship Id="rId214" Type="http://schemas.openxmlformats.org/officeDocument/2006/relationships/hyperlink" Target="http://linkedin.com/in/zuzar-tinwalla-a4b9a423" TargetMode="External"/><Relationship Id="rId213" Type="http://schemas.openxmlformats.org/officeDocument/2006/relationships/hyperlink" Target="http://linkedin.com/in/mohan-rao-8262a75" TargetMode="External"/><Relationship Id="rId212" Type="http://schemas.openxmlformats.org/officeDocument/2006/relationships/hyperlink" Target="http://linkedin.com/in/medha-sharma-7096b7a3" TargetMode="External"/><Relationship Id="rId211" Type="http://schemas.openxmlformats.org/officeDocument/2006/relationships/hyperlink" Target="http://linkedin.com/in/ganesh-chodisetti-3765947" TargetMode="External"/><Relationship Id="rId210" Type="http://schemas.openxmlformats.org/officeDocument/2006/relationships/hyperlink" Target="http://linkedin.com/in/amitabhmisra" TargetMode="External"/><Relationship Id="rId206" Type="http://schemas.openxmlformats.org/officeDocument/2006/relationships/hyperlink" Target="http://linkedin.com/in/amarbura" TargetMode="External"/><Relationship Id="rId205" Type="http://schemas.openxmlformats.org/officeDocument/2006/relationships/hyperlink" Target="http://linkedin.com/in/sandeepbagarwal" TargetMode="External"/><Relationship Id="rId204" Type="http://schemas.openxmlformats.org/officeDocument/2006/relationships/hyperlink" Target="http://linkedin.com/in/kshivang" TargetMode="External"/><Relationship Id="rId203" Type="http://schemas.openxmlformats.org/officeDocument/2006/relationships/hyperlink" Target="http://linkedin.com/in/dibyendu-ghosh-97978213" TargetMode="External"/><Relationship Id="rId209" Type="http://schemas.openxmlformats.org/officeDocument/2006/relationships/hyperlink" Target="http://linkedin.com/in/amit-yadav" TargetMode="External"/><Relationship Id="rId208" Type="http://schemas.openxmlformats.org/officeDocument/2006/relationships/hyperlink" Target="http://linkedin.com/in/lalit-aggarwal-5b08b615" TargetMode="External"/><Relationship Id="rId207" Type="http://schemas.openxmlformats.org/officeDocument/2006/relationships/hyperlink" Target="http://linkedin.com/in/nairsantosh" TargetMode="External"/><Relationship Id="rId202" Type="http://schemas.openxmlformats.org/officeDocument/2006/relationships/hyperlink" Target="http://linkedin.com/in/vikas-agarwal-b5528a2" TargetMode="External"/><Relationship Id="rId201" Type="http://schemas.openxmlformats.org/officeDocument/2006/relationships/hyperlink" Target="http://linkedin.com/in/stmittal" TargetMode="External"/><Relationship Id="rId200" Type="http://schemas.openxmlformats.org/officeDocument/2006/relationships/hyperlink" Target="http://linkedin.com/in/anujain" TargetMode="External"/><Relationship Id="rId190" Type="http://schemas.openxmlformats.org/officeDocument/2006/relationships/hyperlink" Target="http://linkedin.com/in/vivek-mahajan-17b345b1" TargetMode="External"/><Relationship Id="rId194" Type="http://schemas.openxmlformats.org/officeDocument/2006/relationships/hyperlink" Target="http://linkedin.com/in/ankit-gupta-0557355" TargetMode="External"/><Relationship Id="rId193" Type="http://schemas.openxmlformats.org/officeDocument/2006/relationships/hyperlink" Target="http://linkedin.com/in/jain-arvind" TargetMode="External"/><Relationship Id="rId192" Type="http://schemas.openxmlformats.org/officeDocument/2006/relationships/hyperlink" Target="http://linkedin.com/in/varunvummadi" TargetMode="External"/><Relationship Id="rId191" Type="http://schemas.openxmlformats.org/officeDocument/2006/relationships/hyperlink" Target="http://linkedin.com/in/alok-nanda-b425566" TargetMode="External"/><Relationship Id="rId187" Type="http://schemas.openxmlformats.org/officeDocument/2006/relationships/hyperlink" Target="http://linkedin.com/in/vikas-bhalla-26017b15" TargetMode="External"/><Relationship Id="rId186" Type="http://schemas.openxmlformats.org/officeDocument/2006/relationships/hyperlink" Target="http://linkedin.com/in/baljinder-singh-6a334239" TargetMode="External"/><Relationship Id="rId185" Type="http://schemas.openxmlformats.org/officeDocument/2006/relationships/hyperlink" Target="http://linkedin.com/in/vipulethos" TargetMode="External"/><Relationship Id="rId184" Type="http://schemas.openxmlformats.org/officeDocument/2006/relationships/hyperlink" Target="http://linkedin.com/in/lalitsverma" TargetMode="External"/><Relationship Id="rId189" Type="http://schemas.openxmlformats.org/officeDocument/2006/relationships/hyperlink" Target="http://linkedin.com/in/shashidhar-ramakrishnaiah-7027335" TargetMode="External"/><Relationship Id="rId188" Type="http://schemas.openxmlformats.org/officeDocument/2006/relationships/hyperlink" Target="http://linkedin.com/in/suchismitasanyal" TargetMode="External"/><Relationship Id="rId183" Type="http://schemas.openxmlformats.org/officeDocument/2006/relationships/hyperlink" Target="http://linkedin.com/in/vijaykumar1" TargetMode="External"/><Relationship Id="rId182" Type="http://schemas.openxmlformats.org/officeDocument/2006/relationships/hyperlink" Target="http://linkedin.com/in/phaneesh-gururaj-70437b1" TargetMode="External"/><Relationship Id="rId181" Type="http://schemas.openxmlformats.org/officeDocument/2006/relationships/hyperlink" Target="http://linkedin.com/in/amitjain-in" TargetMode="External"/><Relationship Id="rId180" Type="http://schemas.openxmlformats.org/officeDocument/2006/relationships/hyperlink" Target="http://linkedin.com/in/mazenrawashdeh" TargetMode="External"/><Relationship Id="rId176" Type="http://schemas.openxmlformats.org/officeDocument/2006/relationships/hyperlink" Target="http://linkedin.com/in/amit-murarka-1770629" TargetMode="External"/><Relationship Id="rId175" Type="http://schemas.openxmlformats.org/officeDocument/2006/relationships/hyperlink" Target="http://linkedin.com/in/kamalkanth" TargetMode="External"/><Relationship Id="rId174" Type="http://schemas.openxmlformats.org/officeDocument/2006/relationships/hyperlink" Target="http://linkedin.com/in/guptaga" TargetMode="External"/><Relationship Id="rId173" Type="http://schemas.openxmlformats.org/officeDocument/2006/relationships/hyperlink" Target="http://linkedin.com/in/shajuthomas" TargetMode="External"/><Relationship Id="rId179" Type="http://schemas.openxmlformats.org/officeDocument/2006/relationships/hyperlink" Target="http://linkedin.com/in/abhishek-chakraborty-2194b1a" TargetMode="External"/><Relationship Id="rId178" Type="http://schemas.openxmlformats.org/officeDocument/2006/relationships/hyperlink" Target="http://linkedin.com/in/sandeepjethwani" TargetMode="External"/><Relationship Id="rId177" Type="http://schemas.openxmlformats.org/officeDocument/2006/relationships/hyperlink" Target="http://linkedin.com/in/praveen-ojha-30b0019" TargetMode="External"/><Relationship Id="rId198" Type="http://schemas.openxmlformats.org/officeDocument/2006/relationships/hyperlink" Target="http://linkedin.com/in/shreyassen" TargetMode="External"/><Relationship Id="rId197" Type="http://schemas.openxmlformats.org/officeDocument/2006/relationships/hyperlink" Target="http://linkedin.com/in/sivakumars1" TargetMode="External"/><Relationship Id="rId196" Type="http://schemas.openxmlformats.org/officeDocument/2006/relationships/hyperlink" Target="http://linkedin.com/in/arvind-heda-3514684" TargetMode="External"/><Relationship Id="rId195" Type="http://schemas.openxmlformats.org/officeDocument/2006/relationships/hyperlink" Target="http://linkedin.com/in/rishi-singh-harness" TargetMode="External"/><Relationship Id="rId199" Type="http://schemas.openxmlformats.org/officeDocument/2006/relationships/hyperlink" Target="http://linkedin.com/in/sanjugopi" TargetMode="External"/><Relationship Id="rId150" Type="http://schemas.openxmlformats.org/officeDocument/2006/relationships/hyperlink" Target="http://linkedin.com/in/nish-lathia" TargetMode="External"/><Relationship Id="rId149" Type="http://schemas.openxmlformats.org/officeDocument/2006/relationships/hyperlink" Target="http://linkedin.com/in/vijaykumar-ramakrishna-8414b7b" TargetMode="External"/><Relationship Id="rId148" Type="http://schemas.openxmlformats.org/officeDocument/2006/relationships/hyperlink" Target="http://linkedin.com/in/sanjay-narkar-1497271bb" TargetMode="External"/><Relationship Id="rId143" Type="http://schemas.openxmlformats.org/officeDocument/2006/relationships/hyperlink" Target="http://linkedin.com/in/sathish-prabu-b6a1425" TargetMode="External"/><Relationship Id="rId142" Type="http://schemas.openxmlformats.org/officeDocument/2006/relationships/hyperlink" Target="http://linkedin.com/in/anilkuril" TargetMode="External"/><Relationship Id="rId141" Type="http://schemas.openxmlformats.org/officeDocument/2006/relationships/hyperlink" Target="http://linkedin.com/in/deepesh-gosavi-3438027" TargetMode="External"/><Relationship Id="rId140" Type="http://schemas.openxmlformats.org/officeDocument/2006/relationships/hyperlink" Target="http://linkedin.com/in/ajayakumar-k-r-76682817" TargetMode="External"/><Relationship Id="rId147" Type="http://schemas.openxmlformats.org/officeDocument/2006/relationships/hyperlink" Target="http://linkedin.com/in/sumoth-c-6a8b5a9" TargetMode="External"/><Relationship Id="rId146" Type="http://schemas.openxmlformats.org/officeDocument/2006/relationships/hyperlink" Target="http://linkedin.com/in/pavan-agrawal-a9a8a04" TargetMode="External"/><Relationship Id="rId145" Type="http://schemas.openxmlformats.org/officeDocument/2006/relationships/hyperlink" Target="http://linkedin.com/in/upendrachaturvedi" TargetMode="External"/><Relationship Id="rId144" Type="http://schemas.openxmlformats.org/officeDocument/2006/relationships/hyperlink" Target="http://linkedin.com/in/mohit-nanda-6874299" TargetMode="External"/><Relationship Id="rId139" Type="http://schemas.openxmlformats.org/officeDocument/2006/relationships/hyperlink" Target="http://linkedin.com/in/balaji-rajagopalan-6a1ab423" TargetMode="External"/><Relationship Id="rId138" Type="http://schemas.openxmlformats.org/officeDocument/2006/relationships/hyperlink" Target="http://linkedin.com/in/sushant-sachan-82284a4" TargetMode="External"/><Relationship Id="rId137" Type="http://schemas.openxmlformats.org/officeDocument/2006/relationships/hyperlink" Target="http://linkedin.com/in/maheshcalavai" TargetMode="External"/><Relationship Id="rId132" Type="http://schemas.openxmlformats.org/officeDocument/2006/relationships/hyperlink" Target="http://linkedin.com/in/vigyansinghal" TargetMode="External"/><Relationship Id="rId131" Type="http://schemas.openxmlformats.org/officeDocument/2006/relationships/hyperlink" Target="http://linkedin.com/in/amitgarg78" TargetMode="External"/><Relationship Id="rId130" Type="http://schemas.openxmlformats.org/officeDocument/2006/relationships/hyperlink" Target="http://linkedin.com/in/robin-liu-3b6100233" TargetMode="External"/><Relationship Id="rId136" Type="http://schemas.openxmlformats.org/officeDocument/2006/relationships/hyperlink" Target="http://linkedin.com/in/soujanya-aluri-8406b266" TargetMode="External"/><Relationship Id="rId135" Type="http://schemas.openxmlformats.org/officeDocument/2006/relationships/hyperlink" Target="http://linkedin.com/in/dr-jitendra-mohan-bhardwaj-9b2410" TargetMode="External"/><Relationship Id="rId134" Type="http://schemas.openxmlformats.org/officeDocument/2006/relationships/hyperlink" Target="http://linkedin.com/in/pankajprateek" TargetMode="External"/><Relationship Id="rId133" Type="http://schemas.openxmlformats.org/officeDocument/2006/relationships/hyperlink" Target="http://linkedin.com/in/rakeshravuri" TargetMode="External"/><Relationship Id="rId172" Type="http://schemas.openxmlformats.org/officeDocument/2006/relationships/hyperlink" Target="http://linkedin.com/in/srray" TargetMode="External"/><Relationship Id="rId171" Type="http://schemas.openxmlformats.org/officeDocument/2006/relationships/hyperlink" Target="http://linkedin.com/in/akash-jain-7421837" TargetMode="External"/><Relationship Id="rId170" Type="http://schemas.openxmlformats.org/officeDocument/2006/relationships/hyperlink" Target="http://linkedin.com/in/aravilli" TargetMode="External"/><Relationship Id="rId165" Type="http://schemas.openxmlformats.org/officeDocument/2006/relationships/hyperlink" Target="http://linkedin.com/in/paragsatpute" TargetMode="External"/><Relationship Id="rId164" Type="http://schemas.openxmlformats.org/officeDocument/2006/relationships/hyperlink" Target="http://linkedin.com/in/sridharanvikram" TargetMode="External"/><Relationship Id="rId163" Type="http://schemas.openxmlformats.org/officeDocument/2006/relationships/hyperlink" Target="http://linkedin.com/in/tanmay-prusty-0ba8ba2" TargetMode="External"/><Relationship Id="rId162" Type="http://schemas.openxmlformats.org/officeDocument/2006/relationships/hyperlink" Target="http://linkedin.com/in/dipankar-ganguly-a2666b4" TargetMode="External"/><Relationship Id="rId169" Type="http://schemas.openxmlformats.org/officeDocument/2006/relationships/hyperlink" Target="http://linkedin.com/in/shashankajha" TargetMode="External"/><Relationship Id="rId168" Type="http://schemas.openxmlformats.org/officeDocument/2006/relationships/hyperlink" Target="http://linkedin.com/in/shreepads" TargetMode="External"/><Relationship Id="rId167" Type="http://schemas.openxmlformats.org/officeDocument/2006/relationships/hyperlink" Target="http://linkedin.com/in/ajitav-sinha-frm-scr-4877633b" TargetMode="External"/><Relationship Id="rId166" Type="http://schemas.openxmlformats.org/officeDocument/2006/relationships/hyperlink" Target="http://linkedin.com/in/jkvip" TargetMode="External"/><Relationship Id="rId161" Type="http://schemas.openxmlformats.org/officeDocument/2006/relationships/hyperlink" Target="http://linkedin.com/in/ranganath-sadasiva" TargetMode="External"/><Relationship Id="rId160" Type="http://schemas.openxmlformats.org/officeDocument/2006/relationships/hyperlink" Target="http://linkedin.com/in/aditya-khemka-58511926b" TargetMode="External"/><Relationship Id="rId159" Type="http://schemas.openxmlformats.org/officeDocument/2006/relationships/hyperlink" Target="http://linkedin.com/in/mayurrelekar" TargetMode="External"/><Relationship Id="rId154" Type="http://schemas.openxmlformats.org/officeDocument/2006/relationships/hyperlink" Target="http://linkedin.com/in/rohitkilam" TargetMode="External"/><Relationship Id="rId153" Type="http://schemas.openxmlformats.org/officeDocument/2006/relationships/hyperlink" Target="http://linkedin.com/in/durgadas-garlapati-3ab1956b" TargetMode="External"/><Relationship Id="rId152" Type="http://schemas.openxmlformats.org/officeDocument/2006/relationships/hyperlink" Target="http://linkedin.com/in/mukuljain1" TargetMode="External"/><Relationship Id="rId151" Type="http://schemas.openxmlformats.org/officeDocument/2006/relationships/hyperlink" Target="http://linkedin.com/in/naval-lad-20a476aa" TargetMode="External"/><Relationship Id="rId158" Type="http://schemas.openxmlformats.org/officeDocument/2006/relationships/hyperlink" Target="http://linkedin.com/in/sivavisakan" TargetMode="External"/><Relationship Id="rId157" Type="http://schemas.openxmlformats.org/officeDocument/2006/relationships/hyperlink" Target="http://linkedin.com/in/uditmalhotra" TargetMode="External"/><Relationship Id="rId156" Type="http://schemas.openxmlformats.org/officeDocument/2006/relationships/hyperlink" Target="http://linkedin.com/in/anurag-vohra-6561352" TargetMode="External"/><Relationship Id="rId155" Type="http://schemas.openxmlformats.org/officeDocument/2006/relationships/hyperlink" Target="http://linkedin.com/in/anant-deshmukh" TargetMode="External"/><Relationship Id="rId107" Type="http://schemas.openxmlformats.org/officeDocument/2006/relationships/hyperlink" Target="http://linkedin.com/in/bhaskaran-rajagopalan-289aa79" TargetMode="External"/><Relationship Id="rId106" Type="http://schemas.openxmlformats.org/officeDocument/2006/relationships/hyperlink" Target="http://linkedin.com/in/paroma-chatterjee-503193" TargetMode="External"/><Relationship Id="rId105" Type="http://schemas.openxmlformats.org/officeDocument/2006/relationships/hyperlink" Target="http://linkedin.com/in/hasinha" TargetMode="External"/><Relationship Id="rId104" Type="http://schemas.openxmlformats.org/officeDocument/2006/relationships/hyperlink" Target="http://linkedin.com/in/ankur-anand-01825621" TargetMode="External"/><Relationship Id="rId109" Type="http://schemas.openxmlformats.org/officeDocument/2006/relationships/hyperlink" Target="http://linkedin.com/in/satya-easwaran-7292071" TargetMode="External"/><Relationship Id="rId108" Type="http://schemas.openxmlformats.org/officeDocument/2006/relationships/hyperlink" Target="http://linkedin.com/in/prathammittal" TargetMode="External"/><Relationship Id="rId103" Type="http://schemas.openxmlformats.org/officeDocument/2006/relationships/hyperlink" Target="http://linkedin.com/in/devgan" TargetMode="External"/><Relationship Id="rId102" Type="http://schemas.openxmlformats.org/officeDocument/2006/relationships/hyperlink" Target="http://linkedin.com/in/shankar-krishnamoorthy-614ab6" TargetMode="External"/><Relationship Id="rId101" Type="http://schemas.openxmlformats.org/officeDocument/2006/relationships/hyperlink" Target="http://linkedin.com/in/rajiv-ramaswami-b365704" TargetMode="External"/><Relationship Id="rId100" Type="http://schemas.openxmlformats.org/officeDocument/2006/relationships/hyperlink" Target="http://linkedin.com/in/asheshbadani" TargetMode="External"/><Relationship Id="rId129" Type="http://schemas.openxmlformats.org/officeDocument/2006/relationships/hyperlink" Target="http://linkedin.com/in/dr-ranjit-rath-4a577814" TargetMode="External"/><Relationship Id="rId128" Type="http://schemas.openxmlformats.org/officeDocument/2006/relationships/hyperlink" Target="http://linkedin.com/in/muralikaundinya" TargetMode="External"/><Relationship Id="rId127" Type="http://schemas.openxmlformats.org/officeDocument/2006/relationships/hyperlink" Target="http://linkedin.com/in/karanbedi" TargetMode="External"/><Relationship Id="rId126" Type="http://schemas.openxmlformats.org/officeDocument/2006/relationships/hyperlink" Target="http://linkedin.com/in/amin-kasmani-6279681b" TargetMode="External"/><Relationship Id="rId121" Type="http://schemas.openxmlformats.org/officeDocument/2006/relationships/hyperlink" Target="http://linkedin.com/in/ramtilak-ananthan-ab56994" TargetMode="External"/><Relationship Id="rId120" Type="http://schemas.openxmlformats.org/officeDocument/2006/relationships/hyperlink" Target="http://linkedin.com/in/nikhil-somani-00441b6" TargetMode="External"/><Relationship Id="rId125" Type="http://schemas.openxmlformats.org/officeDocument/2006/relationships/hyperlink" Target="http://linkedin.com/in/pritam-kanti-paul-49b7544" TargetMode="External"/><Relationship Id="rId124" Type="http://schemas.openxmlformats.org/officeDocument/2006/relationships/hyperlink" Target="http://linkedin.com/in/ravikumar-beli-9273b51a" TargetMode="External"/><Relationship Id="rId123" Type="http://schemas.openxmlformats.org/officeDocument/2006/relationships/hyperlink" Target="http://linkedin.com/in/vgarud" TargetMode="External"/><Relationship Id="rId122" Type="http://schemas.openxmlformats.org/officeDocument/2006/relationships/hyperlink" Target="http://linkedin.com/in/sashankbojja" TargetMode="External"/><Relationship Id="rId118" Type="http://schemas.openxmlformats.org/officeDocument/2006/relationships/hyperlink" Target="http://linkedin.com/in/abhishek-sinha-bgl" TargetMode="External"/><Relationship Id="rId117" Type="http://schemas.openxmlformats.org/officeDocument/2006/relationships/hyperlink" Target="http://linkedin.com/in/renukaramnath" TargetMode="External"/><Relationship Id="rId116" Type="http://schemas.openxmlformats.org/officeDocument/2006/relationships/hyperlink" Target="http://linkedin.com/in/sumitcan" TargetMode="External"/><Relationship Id="rId115" Type="http://schemas.openxmlformats.org/officeDocument/2006/relationships/hyperlink" Target="http://linkedin.com/in/umesh-shanghvi-571a3274" TargetMode="External"/><Relationship Id="rId119" Type="http://schemas.openxmlformats.org/officeDocument/2006/relationships/hyperlink" Target="http://linkedin.com/in/jchadha" TargetMode="External"/><Relationship Id="rId110" Type="http://schemas.openxmlformats.org/officeDocument/2006/relationships/hyperlink" Target="http://linkedin.com/in/mohit-malik-9a658a136" TargetMode="External"/><Relationship Id="rId114" Type="http://schemas.openxmlformats.org/officeDocument/2006/relationships/hyperlink" Target="http://linkedin.com/in/pratik-kumar-a07185b" TargetMode="External"/><Relationship Id="rId113" Type="http://schemas.openxmlformats.org/officeDocument/2006/relationships/hyperlink" Target="http://linkedin.com/in/sharad-pungalia-40249b16" TargetMode="External"/><Relationship Id="rId112" Type="http://schemas.openxmlformats.org/officeDocument/2006/relationships/hyperlink" Target="http://linkedin.com/in/anand-bhardwaj-131b186" TargetMode="External"/><Relationship Id="rId111" Type="http://schemas.openxmlformats.org/officeDocument/2006/relationships/hyperlink" Target="http://linkedin.com/in/siddharth-balachandran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linkedin.com/in/shivang-jain-52755764" TargetMode="External"/><Relationship Id="rId2" Type="http://schemas.openxmlformats.org/officeDocument/2006/relationships/hyperlink" Target="https://www.linkedin.com/in/jagadnirav" TargetMode="External"/><Relationship Id="rId3" Type="http://schemas.openxmlformats.org/officeDocument/2006/relationships/hyperlink" Target="https://www.linkedin.com/in/anuj-sharma-a9360b18/" TargetMode="External"/><Relationship Id="rId4" Type="http://schemas.openxmlformats.org/officeDocument/2006/relationships/hyperlink" Target="https://www.linkedin.com/in/chitraravi/" TargetMode="External"/><Relationship Id="rId9" Type="http://schemas.openxmlformats.org/officeDocument/2006/relationships/hyperlink" Target="https://www.linkedin.com/in/ajay-yadav-solar/" TargetMode="External"/><Relationship Id="rId5" Type="http://schemas.openxmlformats.org/officeDocument/2006/relationships/hyperlink" Target="https://www.linkedin.com/in/tarunkatiyar-tata/" TargetMode="External"/><Relationship Id="rId6" Type="http://schemas.openxmlformats.org/officeDocument/2006/relationships/hyperlink" Target="https://www.linkedin.com/in/nikhilkamathcio/" TargetMode="External"/><Relationship Id="rId7" Type="http://schemas.openxmlformats.org/officeDocument/2006/relationships/hyperlink" Target="https://www.linkedin.com/in/rishabhmariwala/" TargetMode="External"/><Relationship Id="rId8" Type="http://schemas.openxmlformats.org/officeDocument/2006/relationships/hyperlink" Target="https://www.linkedin.com/in/gaurgopald/" TargetMode="External"/><Relationship Id="rId40" Type="http://schemas.openxmlformats.org/officeDocument/2006/relationships/hyperlink" Target="https://www.linkedin.com/in/mrlalbhai/?originalSubdomain=in" TargetMode="External"/><Relationship Id="rId42" Type="http://schemas.openxmlformats.org/officeDocument/2006/relationships/hyperlink" Target="https://www.linkedin.com/in/sumant-sinha/overlay/about-this-profile/" TargetMode="External"/><Relationship Id="rId41" Type="http://schemas.openxmlformats.org/officeDocument/2006/relationships/hyperlink" Target="https://www.linkedin.com/in/xitijkothi/?originalSubdomain=in" TargetMode="External"/><Relationship Id="rId44" Type="http://schemas.openxmlformats.org/officeDocument/2006/relationships/hyperlink" Target="https://www.linkedin.com/in/kdeepeshnanda/" TargetMode="External"/><Relationship Id="rId43" Type="http://schemas.openxmlformats.org/officeDocument/2006/relationships/hyperlink" Target="https://www.linkedin.com/in/sumant-sinha/?originalSubdomain=in" TargetMode="External"/><Relationship Id="rId46" Type="http://schemas.openxmlformats.org/officeDocument/2006/relationships/hyperlink" Target="https://www.linkedin.com/in/gautamoorjan/?originalSubdomain=in" TargetMode="External"/><Relationship Id="rId45" Type="http://schemas.openxmlformats.org/officeDocument/2006/relationships/hyperlink" Target="https://www.linkedin.com/in/ashish-bhandari-212a74/?originalSubdomain=in" TargetMode="External"/><Relationship Id="rId48" Type="http://schemas.openxmlformats.org/officeDocument/2006/relationships/hyperlink" Target="https://www.linkedin.com/in/devendragupta001/?originalSubdomain=in" TargetMode="External"/><Relationship Id="rId47" Type="http://schemas.openxmlformats.org/officeDocument/2006/relationships/hyperlink" Target="https://www.linkedin.com/in/damian-miller-72845794/?originalSubdomain=in" TargetMode="External"/><Relationship Id="rId49" Type="http://schemas.openxmlformats.org/officeDocument/2006/relationships/hyperlink" Target="https://www.linkedin.com/in/divinvolve/?originalSubdomain=in" TargetMode="External"/><Relationship Id="rId31" Type="http://schemas.openxmlformats.org/officeDocument/2006/relationships/hyperlink" Target="https://www.linkedin.com/in/sohindergill/?originalSubdomain=ca" TargetMode="External"/><Relationship Id="rId30" Type="http://schemas.openxmlformats.org/officeDocument/2006/relationships/hyperlink" Target="https://www.linkedin.com/in/saran/?originalSubdomain=in" TargetMode="External"/><Relationship Id="rId33" Type="http://schemas.openxmlformats.org/officeDocument/2006/relationships/hyperlink" Target="https://www.linkedin.com/in/manishdabkara/" TargetMode="External"/><Relationship Id="rId32" Type="http://schemas.openxmlformats.org/officeDocument/2006/relationships/hyperlink" Target="https://www.linkedin.com/in/manishdabkara/overlay/about-this-profile/" TargetMode="External"/><Relationship Id="rId35" Type="http://schemas.openxmlformats.org/officeDocument/2006/relationships/hyperlink" Target="https://www.linkedin.com/in/amitgupta007/?originalSubdomain=in" TargetMode="External"/><Relationship Id="rId34" Type="http://schemas.openxmlformats.org/officeDocument/2006/relationships/hyperlink" Target="https://www.linkedin.com/in/suhas-rajkumar-277824150/?originalSubdomain=in" TargetMode="External"/><Relationship Id="rId37" Type="http://schemas.openxmlformats.org/officeDocument/2006/relationships/hyperlink" Target="https://www.linkedin.com/in/mainichetan/?originalSubdomain=in" TargetMode="External"/><Relationship Id="rId36" Type="http://schemas.openxmlformats.org/officeDocument/2006/relationships/hyperlink" Target="https://www.linkedin.com/in/vivekananda-hallekere-0483bb19/?originalSubdomain=in" TargetMode="External"/><Relationship Id="rId39" Type="http://schemas.openxmlformats.org/officeDocument/2006/relationships/hyperlink" Target="https://www.linkedin.com/in/pulkitkhurana/?originalSubdomain=in" TargetMode="External"/><Relationship Id="rId38" Type="http://schemas.openxmlformats.org/officeDocument/2006/relationships/hyperlink" Target="https://www.linkedin.com/in/arun-vinayak-71a5b973/?originalSubdomain=in" TargetMode="External"/><Relationship Id="rId20" Type="http://schemas.openxmlformats.org/officeDocument/2006/relationships/hyperlink" Target="https://www.linkedin.com/in/kavitha-iyer-rodrigues-8b8b29b/?originalSubdomain=in" TargetMode="External"/><Relationship Id="rId22" Type="http://schemas.openxmlformats.org/officeDocument/2006/relationships/hyperlink" Target="http://babblebots.ai" TargetMode="External"/><Relationship Id="rId21" Type="http://schemas.openxmlformats.org/officeDocument/2006/relationships/hyperlink" Target="https://www.linkedin.com/in/geethanjali-radhakrishnan-47b26a35/?originalSubdomain=in" TargetMode="External"/><Relationship Id="rId24" Type="http://schemas.openxmlformats.org/officeDocument/2006/relationships/hyperlink" Target="https://www.linkedin.com/in/rolig/?originalSubdomain=in" TargetMode="External"/><Relationship Id="rId23" Type="http://schemas.openxmlformats.org/officeDocument/2006/relationships/hyperlink" Target="https://www.linkedin.com/in/rolig/overlay/about-this-profile/" TargetMode="External"/><Relationship Id="rId26" Type="http://schemas.openxmlformats.org/officeDocument/2006/relationships/hyperlink" Target="https://www.linkedin.com/in/renukaramnath/?originalSubdomain=in" TargetMode="External"/><Relationship Id="rId25" Type="http://schemas.openxmlformats.org/officeDocument/2006/relationships/hyperlink" Target="https://www.linkedin.com/in/mansi-tripathy-37063b1/" TargetMode="External"/><Relationship Id="rId28" Type="http://schemas.openxmlformats.org/officeDocument/2006/relationships/hyperlink" Target="https://www.linkedin.com/in/vandanaluthra/?originalSubdomain=in" TargetMode="External"/><Relationship Id="rId27" Type="http://schemas.openxmlformats.org/officeDocument/2006/relationships/hyperlink" Target="https://www.linkedin.com/in/supriyapaul/?originalSubdomain=in" TargetMode="External"/><Relationship Id="rId29" Type="http://schemas.openxmlformats.org/officeDocument/2006/relationships/hyperlink" Target="https://www.linkedin.com/in/devendrachawla/?originalSubdomain=in" TargetMode="External"/><Relationship Id="rId11" Type="http://schemas.openxmlformats.org/officeDocument/2006/relationships/hyperlink" Target="https://www.linkedin.com/in/shaik-mahafooz-4295a6256/" TargetMode="External"/><Relationship Id="rId10" Type="http://schemas.openxmlformats.org/officeDocument/2006/relationships/hyperlink" Target="https://www.linkedin.com/in/shaik-mahafooz-4295a6256/overlay/about-this-profile/" TargetMode="External"/><Relationship Id="rId13" Type="http://schemas.openxmlformats.org/officeDocument/2006/relationships/hyperlink" Target="https://www.linkedin.com/in/preetha-reddy/?originalSubdomain=in" TargetMode="External"/><Relationship Id="rId12" Type="http://schemas.openxmlformats.org/officeDocument/2006/relationships/hyperlink" Target="https://www.linkedin.com/in/maheshyagna/" TargetMode="External"/><Relationship Id="rId15" Type="http://schemas.openxmlformats.org/officeDocument/2006/relationships/hyperlink" Target="https://www.linkedin.com/in/mahima-datla-41a18827/?originalSubdomain=in" TargetMode="External"/><Relationship Id="rId14" Type="http://schemas.openxmlformats.org/officeDocument/2006/relationships/hyperlink" Target="https://www.linkedin.com/in/ameerashah/?originalSubdomain=in" TargetMode="External"/><Relationship Id="rId17" Type="http://schemas.openxmlformats.org/officeDocument/2006/relationships/hyperlink" Target="https://www.linkedin.com/in/meena-ganesh-9460795/?originalSubdomain=in" TargetMode="External"/><Relationship Id="rId16" Type="http://schemas.openxmlformats.org/officeDocument/2006/relationships/hyperlink" Target="https://www.linkedin.com/in/drswatipiramal/?originalSubdomain=in" TargetMode="External"/><Relationship Id="rId19" Type="http://schemas.openxmlformats.org/officeDocument/2006/relationships/hyperlink" Target="https://www.linkedin.com/in/mitika-gupta-9373531/" TargetMode="External"/><Relationship Id="rId18" Type="http://schemas.openxmlformats.org/officeDocument/2006/relationships/hyperlink" Target="https://www.linkedin.com/in/geetha-manjunath-82b8058/?originalSubdomain=in" TargetMode="External"/><Relationship Id="rId62" Type="http://schemas.openxmlformats.org/officeDocument/2006/relationships/hyperlink" Target="https://www.linkedin.com/in/neerajkumar10/?originalSubdomain=in" TargetMode="External"/><Relationship Id="rId61" Type="http://schemas.openxmlformats.org/officeDocument/2006/relationships/hyperlink" Target="https://www.linkedin.com/in/sunita-narain-22797477/" TargetMode="External"/><Relationship Id="rId63" Type="http://schemas.openxmlformats.org/officeDocument/2006/relationships/drawing" Target="../drawings/drawing9.xml"/><Relationship Id="rId60" Type="http://schemas.openxmlformats.org/officeDocument/2006/relationships/hyperlink" Target="https://www.linkedin.com/in/anjali-bansal-8489091/" TargetMode="External"/><Relationship Id="rId51" Type="http://schemas.openxmlformats.org/officeDocument/2006/relationships/hyperlink" Target="http://phool.co" TargetMode="External"/><Relationship Id="rId50" Type="http://schemas.openxmlformats.org/officeDocument/2006/relationships/hyperlink" Target="https://www.linkedin.com/in/mainakchakraborty/?originalSubdomain=in" TargetMode="External"/><Relationship Id="rId53" Type="http://schemas.openxmlformats.org/officeDocument/2006/relationships/hyperlink" Target="https://www.linkedin.com/in/barkha-dutt-538b7110/?originalSubdomain=in" TargetMode="External"/><Relationship Id="rId52" Type="http://schemas.openxmlformats.org/officeDocument/2006/relationships/hyperlink" Target="https://www.linkedin.com/in/ankit-agarwal-phool/?originalSubdomain=in" TargetMode="External"/><Relationship Id="rId55" Type="http://schemas.openxmlformats.org/officeDocument/2006/relationships/hyperlink" Target="https://www.linkedin.com/in/vivek-tiwari-635103230/?originalSubdomain=in" TargetMode="External"/><Relationship Id="rId54" Type="http://schemas.openxmlformats.org/officeDocument/2006/relationships/hyperlink" Target="https://www.linkedin.com/in/shekharguptaofficial/" TargetMode="External"/><Relationship Id="rId57" Type="http://schemas.openxmlformats.org/officeDocument/2006/relationships/hyperlink" Target="https://www.linkedin.com/in/dhattarwalaman/" TargetMode="External"/><Relationship Id="rId56" Type="http://schemas.openxmlformats.org/officeDocument/2006/relationships/hyperlink" Target="https://www.linkedin.com/in/ajay-karakoti-3b9612159/?originalSubdomain=in" TargetMode="External"/><Relationship Id="rId59" Type="http://schemas.openxmlformats.org/officeDocument/2006/relationships/hyperlink" Target="https://www.linkedin.com/in/preetibajaj/" TargetMode="External"/><Relationship Id="rId58" Type="http://schemas.openxmlformats.org/officeDocument/2006/relationships/hyperlink" Target="https://www.linkedin.com/in/peterbordes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smitasanadhya/" TargetMode="External"/><Relationship Id="rId2" Type="http://schemas.openxmlformats.org/officeDocument/2006/relationships/hyperlink" Target="https://www.linkedin.com/in/rasik-sontakke-2b25b27/?originalSubdomain=in" TargetMode="External"/><Relationship Id="rId3" Type="http://schemas.openxmlformats.org/officeDocument/2006/relationships/hyperlink" Target="https://www.linkedin.com/in/pankajshroff/?originalSubdomain=in" TargetMode="External"/><Relationship Id="rId4" Type="http://schemas.openxmlformats.org/officeDocument/2006/relationships/hyperlink" Target="https://www.linkedin.com/in/rajesh-kini-a6433a1/?originalSubdomain=in" TargetMode="External"/><Relationship Id="rId9" Type="http://schemas.openxmlformats.org/officeDocument/2006/relationships/hyperlink" Target="https://www.linkedin.com/in/rameshbafna/?originalSubdomain=in" TargetMode="External"/><Relationship Id="rId5" Type="http://schemas.openxmlformats.org/officeDocument/2006/relationships/hyperlink" Target="https://www.linkedin.com/in/rvivekkrishna/?originalSubdomain=in" TargetMode="External"/><Relationship Id="rId6" Type="http://schemas.openxmlformats.org/officeDocument/2006/relationships/hyperlink" Target="https://www.linkedin.com/in/rohanmittal83/?originalSubdomain=in" TargetMode="External"/><Relationship Id="rId7" Type="http://schemas.openxmlformats.org/officeDocument/2006/relationships/hyperlink" Target="https://www.linkedin.com/in/saurav-goyal-40905235/?originalSubdomain=in" TargetMode="External"/><Relationship Id="rId8" Type="http://schemas.openxmlformats.org/officeDocument/2006/relationships/hyperlink" Target="http://linkedin.com/in/sohil-parekh-09719716/?originalSubdomain=in" TargetMode="External"/><Relationship Id="rId40" Type="http://schemas.openxmlformats.org/officeDocument/2006/relationships/hyperlink" Target="https://www.linkedin.com/in/abhay-mathur-aba9aa5/?originalSubdomain=in" TargetMode="External"/><Relationship Id="rId42" Type="http://schemas.openxmlformats.org/officeDocument/2006/relationships/hyperlink" Target="https://www.linkedin.com/in/abhinavpjain/?originalSubdomain=in" TargetMode="External"/><Relationship Id="rId41" Type="http://schemas.openxmlformats.org/officeDocument/2006/relationships/hyperlink" Target="https://www.linkedin.com/in/ankit-gadia-958bb514/?originalSubdomain=in" TargetMode="External"/><Relationship Id="rId44" Type="http://schemas.openxmlformats.org/officeDocument/2006/relationships/hyperlink" Target="https://www.linkedin.com/in/rohit-goyal1/?originalSubdomain=in" TargetMode="External"/><Relationship Id="rId43" Type="http://schemas.openxmlformats.org/officeDocument/2006/relationships/hyperlink" Target="https://www.linkedin.com/in/siva1982/?originalSubdomain=in" TargetMode="External"/><Relationship Id="rId46" Type="http://schemas.openxmlformats.org/officeDocument/2006/relationships/hyperlink" Target="https://www.linkedin.com/in/prabhat-agarwal/?originalSubdomain=in" TargetMode="External"/><Relationship Id="rId45" Type="http://schemas.openxmlformats.org/officeDocument/2006/relationships/hyperlink" Target="https://www.linkedin.com/in/sudhesh-chandrasekar/?originalSubdomain=in" TargetMode="External"/><Relationship Id="rId48" Type="http://schemas.openxmlformats.org/officeDocument/2006/relationships/hyperlink" Target="https://www.linkedin.com/in/karishma-gupta-6b8273341/?originalSubdomain=in" TargetMode="External"/><Relationship Id="rId47" Type="http://schemas.openxmlformats.org/officeDocument/2006/relationships/hyperlink" Target="https://www.linkedin.com/in/scott-b-4513915/" TargetMode="External"/><Relationship Id="rId49" Type="http://schemas.openxmlformats.org/officeDocument/2006/relationships/hyperlink" Target="https://www.linkedin.com/in/ankver/" TargetMode="External"/><Relationship Id="rId31" Type="http://schemas.openxmlformats.org/officeDocument/2006/relationships/hyperlink" Target="https://www.linkedin.com/in/satyakamgnaik/?originalSubdomain=in" TargetMode="External"/><Relationship Id="rId30" Type="http://schemas.openxmlformats.org/officeDocument/2006/relationships/hyperlink" Target="https://www.linkedin.com/in/nalin-negi-8a9bbb3/?originalSubdomain=in" TargetMode="External"/><Relationship Id="rId33" Type="http://schemas.openxmlformats.org/officeDocument/2006/relationships/hyperlink" Target="https://www.linkedin.com/in/pulkit-bhandari-86650b37/?originalSubdomain=in" TargetMode="External"/><Relationship Id="rId32" Type="http://schemas.openxmlformats.org/officeDocument/2006/relationships/hyperlink" Target="https://www.linkedin.com/in/vikash-sureka-3086067/?originalSubdomain=in" TargetMode="External"/><Relationship Id="rId35" Type="http://schemas.openxmlformats.org/officeDocument/2006/relationships/hyperlink" Target="https://www.linkedin.com/in/pankaj-jain-b443211/?originalSubdomain=in" TargetMode="External"/><Relationship Id="rId34" Type="http://schemas.openxmlformats.org/officeDocument/2006/relationships/hyperlink" Target="https://www.linkedin.com/in/chrisgreiner1/" TargetMode="External"/><Relationship Id="rId37" Type="http://schemas.openxmlformats.org/officeDocument/2006/relationships/hyperlink" Target="https://www.linkedin.com/in/mayank1180/?originalSubdomain=in" TargetMode="External"/><Relationship Id="rId36" Type="http://schemas.openxmlformats.org/officeDocument/2006/relationships/hyperlink" Target="https://www.linkedin.com/in/ravi-hans-jora-685b6151/?originalSubdomain=in" TargetMode="External"/><Relationship Id="rId39" Type="http://schemas.openxmlformats.org/officeDocument/2006/relationships/hyperlink" Target="https://www.linkedin.com/in/vinay-juluri-24b02555/?originalSubdomain=in" TargetMode="External"/><Relationship Id="rId38" Type="http://schemas.openxmlformats.org/officeDocument/2006/relationships/hyperlink" Target="https://www.linkedin.com/in/manohar-charan/?originalSubdomain=in" TargetMode="External"/><Relationship Id="rId20" Type="http://schemas.openxmlformats.org/officeDocument/2006/relationships/hyperlink" Target="https://www.linkedin.com/in/anuragsinha2/?originalSubdomain=in" TargetMode="External"/><Relationship Id="rId22" Type="http://schemas.openxmlformats.org/officeDocument/2006/relationships/hyperlink" Target="https://www.linkedin.com/in/sanjay-jhawar-23468552/?originalSubdomain=in" TargetMode="External"/><Relationship Id="rId21" Type="http://schemas.openxmlformats.org/officeDocument/2006/relationships/hyperlink" Target="https://www.linkedin.com/in/vaidyanathan-mahadevan-01086b7/?originalSubdomain=in" TargetMode="External"/><Relationship Id="rId24" Type="http://schemas.openxmlformats.org/officeDocument/2006/relationships/hyperlink" Target="https://www.linkedin.com/in/amit-sachdeva-a756537/?originalSubdomain=in" TargetMode="External"/><Relationship Id="rId23" Type="http://schemas.openxmlformats.org/officeDocument/2006/relationships/hyperlink" Target="https://www.linkedin.com/in/kumartanmay/?originalSubdomain=in" TargetMode="External"/><Relationship Id="rId26" Type="http://schemas.openxmlformats.org/officeDocument/2006/relationships/hyperlink" Target="https://www.linkedin.com/in/mrieke/?originalSubdomain=nl" TargetMode="External"/><Relationship Id="rId25" Type="http://schemas.openxmlformats.org/officeDocument/2006/relationships/hyperlink" Target="https://www.linkedin.com/in/ashwath-bhat-41784816/" TargetMode="External"/><Relationship Id="rId28" Type="http://schemas.openxmlformats.org/officeDocument/2006/relationships/hyperlink" Target="https://www.linkedin.com/in/nitin-sood-458b5615/?originalSubdomain=in" TargetMode="External"/><Relationship Id="rId27" Type="http://schemas.openxmlformats.org/officeDocument/2006/relationships/hyperlink" Target="https://www.linkedin.com/in/rajesh-agarwal-b844b38/?originalSubdomain=in" TargetMode="External"/><Relationship Id="rId29" Type="http://schemas.openxmlformats.org/officeDocument/2006/relationships/hyperlink" Target="https://www.linkedin.com/in/reemajhunjhunwala/?originalSubdomain=in" TargetMode="External"/><Relationship Id="rId11" Type="http://schemas.openxmlformats.org/officeDocument/2006/relationships/hyperlink" Target="https://www.linkedin.com/in/sberthier/" TargetMode="External"/><Relationship Id="rId10" Type="http://schemas.openxmlformats.org/officeDocument/2006/relationships/hyperlink" Target="https://www.linkedin.com/in/gaurav-maheshwari-341a80a4/?originalSubdomain=in" TargetMode="External"/><Relationship Id="rId13" Type="http://schemas.openxmlformats.org/officeDocument/2006/relationships/hyperlink" Target="https://www.linkedin.com/in/arpitjaincacs/?originalSubdomain=in" TargetMode="External"/><Relationship Id="rId12" Type="http://schemas.openxmlformats.org/officeDocument/2006/relationships/hyperlink" Target="https://www.linkedin.com/in/santoshabbimane/?originalSubdomain=in" TargetMode="External"/><Relationship Id="rId15" Type="http://schemas.openxmlformats.org/officeDocument/2006/relationships/hyperlink" Target="https://www.linkedin.com/in/deena-jacob-348b8b4/?originalSubdomain=in" TargetMode="External"/><Relationship Id="rId14" Type="http://schemas.openxmlformats.org/officeDocument/2006/relationships/hyperlink" Target="https://www.linkedin.com/in/saurabh-agarwal-a882a2a/?originalSubdomain=in" TargetMode="External"/><Relationship Id="rId17" Type="http://schemas.openxmlformats.org/officeDocument/2006/relationships/hyperlink" Target="https://www.linkedin.com/in/ankush-jain-68746014/?originalSubdomain=in" TargetMode="External"/><Relationship Id="rId16" Type="http://schemas.openxmlformats.org/officeDocument/2006/relationships/hyperlink" Target="https://www.linkedin.com/in/vijaynp/?originalSubdomain=in" TargetMode="External"/><Relationship Id="rId19" Type="http://schemas.openxmlformats.org/officeDocument/2006/relationships/hyperlink" Target="https://www.linkedin.com/in/caashishshah/?originalSubdomain=in" TargetMode="External"/><Relationship Id="rId18" Type="http://schemas.openxmlformats.org/officeDocument/2006/relationships/hyperlink" Target="https://www.linkedin.com/in/rahul1tewari/?originalSubdomain=in" TargetMode="External"/><Relationship Id="rId84" Type="http://schemas.openxmlformats.org/officeDocument/2006/relationships/hyperlink" Target="https://www.linkedin.com/in/kailashvaswani/?originalSubdomain=in" TargetMode="External"/><Relationship Id="rId83" Type="http://schemas.openxmlformats.org/officeDocument/2006/relationships/hyperlink" Target="https://www.linkedin.com/in/adarsh-nahata-4a349413/?originalSubdomain=in" TargetMode="External"/><Relationship Id="rId86" Type="http://schemas.openxmlformats.org/officeDocument/2006/relationships/hyperlink" Target="https://www.linkedin.com/in/manish-kumar-9bb75856/?originalSubdomain=ae" TargetMode="External"/><Relationship Id="rId85" Type="http://schemas.openxmlformats.org/officeDocument/2006/relationships/hyperlink" Target="https://www.linkedin.com/in/deepak-sharma-6b67818/?originalSubdomain=in" TargetMode="External"/><Relationship Id="rId88" Type="http://schemas.openxmlformats.org/officeDocument/2006/relationships/hyperlink" Target="https://www.linkedin.com/in/akriti-chopra-2a21aa56/?originalSubdomain=in" TargetMode="External"/><Relationship Id="rId87" Type="http://schemas.openxmlformats.org/officeDocument/2006/relationships/hyperlink" Target="https://www.linkedin.com/in/mohit-kabra-5b64615/?originalSubdomain=in" TargetMode="External"/><Relationship Id="rId89" Type="http://schemas.openxmlformats.org/officeDocument/2006/relationships/hyperlink" Target="https://www.linkedin.com/in/kartikgupta1/?originalSubdomain=ae" TargetMode="External"/><Relationship Id="rId80" Type="http://schemas.openxmlformats.org/officeDocument/2006/relationships/hyperlink" Target="https://www.linkedin.com/in/rahul-bothra-0231608/" TargetMode="External"/><Relationship Id="rId82" Type="http://schemas.openxmlformats.org/officeDocument/2006/relationships/hyperlink" Target="https://www.linkedin.com/in/aditya-pande-0a175980/?originalSubdomain=in" TargetMode="External"/><Relationship Id="rId81" Type="http://schemas.openxmlformats.org/officeDocument/2006/relationships/hyperlink" Target="https://www.linkedin.com/in/mandeep-mehta/?originalSubdomain=in" TargetMode="External"/><Relationship Id="rId73" Type="http://schemas.openxmlformats.org/officeDocument/2006/relationships/hyperlink" Target="https://www.linkedin.com/in/jagroopbal/" TargetMode="External"/><Relationship Id="rId72" Type="http://schemas.openxmlformats.org/officeDocument/2006/relationships/hyperlink" Target="https://www.linkedin.com/in/rajat-bahri-79b5004/" TargetMode="External"/><Relationship Id="rId75" Type="http://schemas.openxmlformats.org/officeDocument/2006/relationships/hyperlink" Target="https://www.linkedin.com/in/abhishek-gupta-140ab611/?originalSubdomain=in" TargetMode="External"/><Relationship Id="rId74" Type="http://schemas.openxmlformats.org/officeDocument/2006/relationships/hyperlink" Target="https://www.linkedin.com/in/g-r-arun-kumar-86523314/?originalSubdomain=in" TargetMode="External"/><Relationship Id="rId77" Type="http://schemas.openxmlformats.org/officeDocument/2006/relationships/hyperlink" Target="https://www.linkedin.com/in/madhurdeora/?originalSubdomain=in" TargetMode="External"/><Relationship Id="rId76" Type="http://schemas.openxmlformats.org/officeDocument/2006/relationships/hyperlink" Target="https://www.linkedin.com/in/srinivasu/?originalSubdomain=in" TargetMode="External"/><Relationship Id="rId79" Type="http://schemas.openxmlformats.org/officeDocument/2006/relationships/hyperlink" Target="https://www.linkedin.com/in/tylersloat/" TargetMode="External"/><Relationship Id="rId78" Type="http://schemas.openxmlformats.org/officeDocument/2006/relationships/hyperlink" Target="https://www.linkedin.com/in/rakesh-kumar-a672316/?originalSubdomain=in" TargetMode="External"/><Relationship Id="rId71" Type="http://schemas.openxmlformats.org/officeDocument/2006/relationships/hyperlink" Target="https://www.linkedin.com/in/agarwal-navin/?originalSubdomain=in" TargetMode="External"/><Relationship Id="rId70" Type="http://schemas.openxmlformats.org/officeDocument/2006/relationships/hyperlink" Target="https://www.linkedin.com/in/amit-agarwal-027b195/?originalSubdomain=in" TargetMode="External"/><Relationship Id="rId62" Type="http://schemas.openxmlformats.org/officeDocument/2006/relationships/hyperlink" Target="https://www.linkedin.com/in/cagautamsharma/?originalSubdomain=in" TargetMode="External"/><Relationship Id="rId61" Type="http://schemas.openxmlformats.org/officeDocument/2006/relationships/hyperlink" Target="https://www.linkedin.com/in/prakashan-manikoth/" TargetMode="External"/><Relationship Id="rId64" Type="http://schemas.openxmlformats.org/officeDocument/2006/relationships/hyperlink" Target="https://www.linkedin.com/in/sameer-kamath-1561077/?originalSubdomain=in" TargetMode="External"/><Relationship Id="rId63" Type="http://schemas.openxmlformats.org/officeDocument/2006/relationships/hyperlink" Target="https://www.linkedin.com/in/pganesh1/?originalSubdomain=in" TargetMode="External"/><Relationship Id="rId66" Type="http://schemas.openxmlformats.org/officeDocument/2006/relationships/hyperlink" Target="https://www.linkedin.com/in/arpit-chug-5928354/?originalSubdomain=in" TargetMode="External"/><Relationship Id="rId65" Type="http://schemas.openxmlformats.org/officeDocument/2006/relationships/hyperlink" Target="https://www.linkedin.com/in/nikhilkamathcio/?originalSubdomain=in" TargetMode="External"/><Relationship Id="rId68" Type="http://schemas.openxmlformats.org/officeDocument/2006/relationships/hyperlink" Target="https://www.linkedin.com/in/sblitchok/" TargetMode="External"/><Relationship Id="rId67" Type="http://schemas.openxmlformats.org/officeDocument/2006/relationships/hyperlink" Target="https://www.linkedin.com/in/abhishek-pipara-40a21a2b/?originalSubdomain=in" TargetMode="External"/><Relationship Id="rId60" Type="http://schemas.openxmlformats.org/officeDocument/2006/relationships/hyperlink" Target="https://www.linkedin.com/in/shivanshumakkar/?originalSubdomain=in" TargetMode="External"/><Relationship Id="rId69" Type="http://schemas.openxmlformats.org/officeDocument/2006/relationships/hyperlink" Target="https://www.linkedin.com/in/manish-bajoria/?originalSubdomain=in" TargetMode="External"/><Relationship Id="rId51" Type="http://schemas.openxmlformats.org/officeDocument/2006/relationships/hyperlink" Target="https://www.linkedin.com/in/deepak-jajodia-109b186/?originalSubdomain=in" TargetMode="External"/><Relationship Id="rId50" Type="http://schemas.openxmlformats.org/officeDocument/2006/relationships/hyperlink" Target="https://www.linkedin.com/in/dhiresh/?originalSubdomain=in" TargetMode="External"/><Relationship Id="rId53" Type="http://schemas.openxmlformats.org/officeDocument/2006/relationships/hyperlink" Target="https://www.linkedin.com/in/ramanpreet-sohi-1635328/?originalSubdomain=in" TargetMode="External"/><Relationship Id="rId52" Type="http://schemas.openxmlformats.org/officeDocument/2006/relationships/hyperlink" Target="https://www.linkedin.com/in/ashish-shand-178b24117/?originalSubdomain=in" TargetMode="External"/><Relationship Id="rId55" Type="http://schemas.openxmlformats.org/officeDocument/2006/relationships/hyperlink" Target="https://www.linkedin.com/in/ishan-bansal-8678b216/?originalSubdomain=in" TargetMode="External"/><Relationship Id="rId54" Type="http://schemas.openxmlformats.org/officeDocument/2006/relationships/hyperlink" Target="https://www.linkedin.com/in/amit-shrivastav-50763a201/?originalSubdomain=in" TargetMode="External"/><Relationship Id="rId57" Type="http://schemas.openxmlformats.org/officeDocument/2006/relationships/hyperlink" Target="https://www.linkedin.com/in/ca-manish-porwal-363ba74/" TargetMode="External"/><Relationship Id="rId56" Type="http://schemas.openxmlformats.org/officeDocument/2006/relationships/hyperlink" Target="https://www.linkedin.com/in/sanjeev-arora-2038b812/" TargetMode="External"/><Relationship Id="rId59" Type="http://schemas.openxmlformats.org/officeDocument/2006/relationships/hyperlink" Target="https://www.linkedin.com/in/vipin-kapooria-2224b014/?originalSubdomain=in" TargetMode="External"/><Relationship Id="rId58" Type="http://schemas.openxmlformats.org/officeDocument/2006/relationships/hyperlink" Target="https://www.linkedin.com/in/piyush-kakkad-b991a2a1/?originalSubdomain=in" TargetMode="External"/><Relationship Id="rId95" Type="http://schemas.openxmlformats.org/officeDocument/2006/relationships/hyperlink" Target="https://www.linkedin.com/in/caneeraj-choudhary/" TargetMode="External"/><Relationship Id="rId94" Type="http://schemas.openxmlformats.org/officeDocument/2006/relationships/hyperlink" Target="https://www.linkedin.com/in/ravi-iyer-24180a12/?originalSubdomain=in" TargetMode="External"/><Relationship Id="rId97" Type="http://schemas.openxmlformats.org/officeDocument/2006/relationships/hyperlink" Target="https://www.linkedin.com/in/deepak-khetan-6223571/?originalSubdomain=in" TargetMode="External"/><Relationship Id="rId96" Type="http://schemas.openxmlformats.org/officeDocument/2006/relationships/hyperlink" Target="https://www.linkedin.com/in/dinesh-iyer-a5871520/?originalSubdomain=in" TargetMode="External"/><Relationship Id="rId99" Type="http://schemas.openxmlformats.org/officeDocument/2006/relationships/hyperlink" Target="https://www.linkedin.com/in/ravi-dugar/?originalSubdomain=in" TargetMode="External"/><Relationship Id="rId98" Type="http://schemas.openxmlformats.org/officeDocument/2006/relationships/hyperlink" Target="https://www.linkedin.com/in/deepakrohida/" TargetMode="External"/><Relationship Id="rId91" Type="http://schemas.openxmlformats.org/officeDocument/2006/relationships/hyperlink" Target="https://www.linkedin.com/in/l-sivagnana-selvam-16b6375/?originalSubdomain=in" TargetMode="External"/><Relationship Id="rId90" Type="http://schemas.openxmlformats.org/officeDocument/2006/relationships/hyperlink" Target="https://www.linkedin.com/in/chintan-thakkar/?originalSubdomain=in" TargetMode="External"/><Relationship Id="rId93" Type="http://schemas.openxmlformats.org/officeDocument/2006/relationships/hyperlink" Target="https://www.linkedin.com/in/marc-steifman-1237a/" TargetMode="External"/><Relationship Id="rId92" Type="http://schemas.openxmlformats.org/officeDocument/2006/relationships/hyperlink" Target="https://www.linkedin.com/in/vikas-bhasin-5b673710/?originalSubdomain=in" TargetMode="External"/><Relationship Id="rId305" Type="http://schemas.openxmlformats.org/officeDocument/2006/relationships/hyperlink" Target="https://www.linkedin.com/in/kunalmehta85/?originalSubdomain=in" TargetMode="External"/><Relationship Id="rId304" Type="http://schemas.openxmlformats.org/officeDocument/2006/relationships/hyperlink" Target="https://www.linkedin.com/in/ritesh-jain-0b52425/?originalSubdomain=in" TargetMode="External"/><Relationship Id="rId303" Type="http://schemas.openxmlformats.org/officeDocument/2006/relationships/hyperlink" Target="https://www.linkedin.com/in/deepak-goswami-12465214/?originalSubdomain=in" TargetMode="External"/><Relationship Id="rId302" Type="http://schemas.openxmlformats.org/officeDocument/2006/relationships/hyperlink" Target="https://www.linkedin.com/in/mukunda-barrsagade-160a80b/" TargetMode="External"/><Relationship Id="rId309" Type="http://schemas.openxmlformats.org/officeDocument/2006/relationships/hyperlink" Target="https://www.linkedin.com/in/srinivasan-vaidyanathan-1027735/" TargetMode="External"/><Relationship Id="rId308" Type="http://schemas.openxmlformats.org/officeDocument/2006/relationships/hyperlink" Target="https://www.linkedin.com/in/ketan-mehta-5a462b16b/" TargetMode="External"/><Relationship Id="rId307" Type="http://schemas.openxmlformats.org/officeDocument/2006/relationships/hyperlink" Target="https://www.linkedin.com/in/caravisharma/?originalSubdomain=in" TargetMode="External"/><Relationship Id="rId306" Type="http://schemas.openxmlformats.org/officeDocument/2006/relationships/hyperlink" Target="https://www.linkedin.com/in/cagaganaggarwal/?originalSubdomain=in" TargetMode="External"/><Relationship Id="rId301" Type="http://schemas.openxmlformats.org/officeDocument/2006/relationships/hyperlink" Target="https://www.linkedin.com/in/priyanka-seth-wadhera-0a70582/?originalSubdomain=in" TargetMode="External"/><Relationship Id="rId300" Type="http://schemas.openxmlformats.org/officeDocument/2006/relationships/hyperlink" Target="https://www.linkedin.com/in/rajneesh-narang-94383b125/?originalSubdomain=in" TargetMode="External"/><Relationship Id="rId321" Type="http://schemas.openxmlformats.org/officeDocument/2006/relationships/drawing" Target="../drawings/drawing10.xml"/><Relationship Id="rId320" Type="http://schemas.openxmlformats.org/officeDocument/2006/relationships/hyperlink" Target="https://www.linkedin.com/in/sangramjit-sarangi-0b762462/?originalSubdomain=in" TargetMode="External"/><Relationship Id="rId316" Type="http://schemas.openxmlformats.org/officeDocument/2006/relationships/hyperlink" Target="https://www.linkedin.com/in/sudhanshu-jain-bba59634/?originalSubdomain=in" TargetMode="External"/><Relationship Id="rId315" Type="http://schemas.openxmlformats.org/officeDocument/2006/relationships/hyperlink" Target="https://www.linkedin.com/in/sandeep-jain-80141317/" TargetMode="External"/><Relationship Id="rId314" Type="http://schemas.openxmlformats.org/officeDocument/2006/relationships/hyperlink" Target="https://www.linkedin.com/in/avinash-prabhu-89838b49/" TargetMode="External"/><Relationship Id="rId313" Type="http://schemas.openxmlformats.org/officeDocument/2006/relationships/hyperlink" Target="https://www.linkedin.com/in/gobindjain/" TargetMode="External"/><Relationship Id="rId319" Type="http://schemas.openxmlformats.org/officeDocument/2006/relationships/hyperlink" Target="https://www.linkedin.com/in/v-p-nandakumar/?originalSubdomain=in" TargetMode="External"/><Relationship Id="rId318" Type="http://schemas.openxmlformats.org/officeDocument/2006/relationships/hyperlink" Target="http://linkedin.com/in/manian-kvs-6798b5/" TargetMode="External"/><Relationship Id="rId317" Type="http://schemas.openxmlformats.org/officeDocument/2006/relationships/hyperlink" Target="https://www.linkedin.com/in/niranjan-banodkar-a8b0666/?originalSubdomain=in" TargetMode="External"/><Relationship Id="rId312" Type="http://schemas.openxmlformats.org/officeDocument/2006/relationships/hyperlink" Target="https://www.linkedin.com/in/dr-debadatta-chand-0208b711a/?original_referer=https%3A%2F%2Fwww.google.com%2F" TargetMode="External"/><Relationship Id="rId311" Type="http://schemas.openxmlformats.org/officeDocument/2006/relationships/hyperlink" Target="https://www.linkedin.com/in/dilip-kumar-jain-3ba2bb1a5/" TargetMode="External"/><Relationship Id="rId310" Type="http://schemas.openxmlformats.org/officeDocument/2006/relationships/hyperlink" Target="https://www.linkedin.com/in/devang-gheewalla-a9184a323/" TargetMode="External"/><Relationship Id="rId297" Type="http://schemas.openxmlformats.org/officeDocument/2006/relationships/hyperlink" Target="https://www.linkedin.com/in/shiv-walia-886790a0/?originalSubdomain=in" TargetMode="External"/><Relationship Id="rId296" Type="http://schemas.openxmlformats.org/officeDocument/2006/relationships/hyperlink" Target="https://www.linkedin.com/in/pavan-kumar-jain-2a15b714/?originalSubdomain=in" TargetMode="External"/><Relationship Id="rId295" Type="http://schemas.openxmlformats.org/officeDocument/2006/relationships/hyperlink" Target="https://www.linkedin.com/in/anat-a-a334433/" TargetMode="External"/><Relationship Id="rId294" Type="http://schemas.openxmlformats.org/officeDocument/2006/relationships/hyperlink" Target="https://www.linkedin.com/in/jaikumar-srinivasan-70055a3/?originalSubdomain=in" TargetMode="External"/><Relationship Id="rId299" Type="http://schemas.openxmlformats.org/officeDocument/2006/relationships/hyperlink" Target="https://www.linkedin.com/in/gopal-mahadevan-170a6b/?originalSubdomain=in" TargetMode="External"/><Relationship Id="rId298" Type="http://schemas.openxmlformats.org/officeDocument/2006/relationships/hyperlink" Target="https://www.linkedin.com/in/bharat-goenka-270b7b12/?originalSubdomain=in" TargetMode="External"/><Relationship Id="rId271" Type="http://schemas.openxmlformats.org/officeDocument/2006/relationships/hyperlink" Target="https://www.linkedin.com/in/vinay-lakhotia/?originalSubdomain=in" TargetMode="External"/><Relationship Id="rId270" Type="http://schemas.openxmlformats.org/officeDocument/2006/relationships/hyperlink" Target="https://www.linkedin.com/in/kaushikghosh1972/?originalSubdomain=in" TargetMode="External"/><Relationship Id="rId269" Type="http://schemas.openxmlformats.org/officeDocument/2006/relationships/hyperlink" Target="http://linkedin.com/in/hitesh03/?originalSubdomain=in" TargetMode="External"/><Relationship Id="rId264" Type="http://schemas.openxmlformats.org/officeDocument/2006/relationships/hyperlink" Target="https://www.linkedin.com/in/sandeep-kumar-96b3201a/?originalSubdomain=in" TargetMode="External"/><Relationship Id="rId263" Type="http://schemas.openxmlformats.org/officeDocument/2006/relationships/hyperlink" Target="https://www.linkedin.com/in/pinky-mehta/?originalSubdomain=in" TargetMode="External"/><Relationship Id="rId262" Type="http://schemas.openxmlformats.org/officeDocument/2006/relationships/hyperlink" Target="https://www.linkedin.com/in/priya-hardikar-1626ab7/?originalSubdomain=in" TargetMode="External"/><Relationship Id="rId261" Type="http://schemas.openxmlformats.org/officeDocument/2006/relationships/hyperlink" Target="http://linkedin.com/in/jacob-m-s-7b453184/?originalSubdomain=in" TargetMode="External"/><Relationship Id="rId268" Type="http://schemas.openxmlformats.org/officeDocument/2006/relationships/hyperlink" Target="https://www.linkedin.com/in/alexander-george-muthoot-91a0451b0/?originalSubdomain=in" TargetMode="External"/><Relationship Id="rId267" Type="http://schemas.openxmlformats.org/officeDocument/2006/relationships/hyperlink" Target="https://www.linkedin.com/in/milind-kulkarni-1ba13426/?originalSubdomain=in" TargetMode="External"/><Relationship Id="rId266" Type="http://schemas.openxmlformats.org/officeDocument/2006/relationships/hyperlink" Target="https://www.linkedin.com/in/rajesh-gupta-49027925/?originalSubdomain=in" TargetMode="External"/><Relationship Id="rId265" Type="http://schemas.openxmlformats.org/officeDocument/2006/relationships/hyperlink" Target="https://www.linkedin.com/in/mahender-chhabra-a45b055/?originalSubdomain=in" TargetMode="External"/><Relationship Id="rId260" Type="http://schemas.openxmlformats.org/officeDocument/2006/relationships/hyperlink" Target="https://www.linkedin.com/in/pawan-agrawal-7855a46/?originalSubdomain=in" TargetMode="External"/><Relationship Id="rId259" Type="http://schemas.openxmlformats.org/officeDocument/2006/relationships/hyperlink" Target="https://www.linkedin.com/in/venkataraman-n-53ba985/?originalSubdomain=in" TargetMode="External"/><Relationship Id="rId258" Type="http://schemas.openxmlformats.org/officeDocument/2006/relationships/hyperlink" Target="https://www.linkedin.com/in/kapil-hathi-3747006/?originalSubdomain=in" TargetMode="External"/><Relationship Id="rId253" Type="http://schemas.openxmlformats.org/officeDocument/2006/relationships/hyperlink" Target="https://www.linkedin.com/in/sujithnarayanan/?originalSubdomain=in" TargetMode="External"/><Relationship Id="rId252" Type="http://schemas.openxmlformats.org/officeDocument/2006/relationships/hyperlink" Target="https://www.linkedin.com/in/rohit-agrawal-20720815/?originalSubdomain=in" TargetMode="External"/><Relationship Id="rId251" Type="http://schemas.openxmlformats.org/officeDocument/2006/relationships/hyperlink" Target="https://www.linkedin.com/in/nishchay-ag-904b325/?originalSubdomain=in" TargetMode="External"/><Relationship Id="rId250" Type="http://schemas.openxmlformats.org/officeDocument/2006/relationships/hyperlink" Target="https://www.linkedin.com/in/nikhil-s-a4751114/" TargetMode="External"/><Relationship Id="rId257" Type="http://schemas.openxmlformats.org/officeDocument/2006/relationships/hyperlink" Target="https://www.linkedin.com/in/kmitra/?originalSubdomain=in" TargetMode="External"/><Relationship Id="rId256" Type="http://schemas.openxmlformats.org/officeDocument/2006/relationships/hyperlink" Target="https://www.linkedin.com/in/vivek-anand-314a7833/?originalSubdomain=in" TargetMode="External"/><Relationship Id="rId255" Type="http://schemas.openxmlformats.org/officeDocument/2006/relationships/hyperlink" Target="http://linkedin.com/in/swayam/?originalSubdomain=in" TargetMode="External"/><Relationship Id="rId254" Type="http://schemas.openxmlformats.org/officeDocument/2006/relationships/hyperlink" Target="https://www.linkedin.com/in/sumit-kawariya/?originalSubdomain=in" TargetMode="External"/><Relationship Id="rId293" Type="http://schemas.openxmlformats.org/officeDocument/2006/relationships/hyperlink" Target="https://www.linkedin.com/in/svetlana-boldina-45343115/?originalSubdomain=in" TargetMode="External"/><Relationship Id="rId292" Type="http://schemas.openxmlformats.org/officeDocument/2006/relationships/hyperlink" Target="https://www.linkedin.com/in/madhu-nainan-46430923/?originalSubdomain=in" TargetMode="External"/><Relationship Id="rId291" Type="http://schemas.openxmlformats.org/officeDocument/2006/relationships/hyperlink" Target="https://www.linkedin.com/in/amyhood1/" TargetMode="External"/><Relationship Id="rId290" Type="http://schemas.openxmlformats.org/officeDocument/2006/relationships/hyperlink" Target="https://www.linkedin.com/in/amarjyoti-barua-9b22222/?originalSubdomain=in" TargetMode="External"/><Relationship Id="rId286" Type="http://schemas.openxmlformats.org/officeDocument/2006/relationships/hyperlink" Target="https://www.linkedin.com/in/amit-dang-7472628/?originalSubdomain=in" TargetMode="External"/><Relationship Id="rId285" Type="http://schemas.openxmlformats.org/officeDocument/2006/relationships/hyperlink" Target="https://www.linkedin.com/in/gaurav-bhartia-247a428/?originalSubdomain=in" TargetMode="External"/><Relationship Id="rId284" Type="http://schemas.openxmlformats.org/officeDocument/2006/relationships/hyperlink" Target="https://www.linkedin.com/in/niranjan-gupta-8b981619/?original_referer=https%3A%2F%2Fwww%2Egoogle%2Ecom%2F&amp;originalSubdomain=in" TargetMode="External"/><Relationship Id="rId283" Type="http://schemas.openxmlformats.org/officeDocument/2006/relationships/hyperlink" Target="https://www.linkedin.com/in/mukundvgalgali/?originalSubdomain=in" TargetMode="External"/><Relationship Id="rId289" Type="http://schemas.openxmlformats.org/officeDocument/2006/relationships/hyperlink" Target="https://www.linkedin.com/in/pradeep-agrawal-9514341a/?originalSubdomain=in" TargetMode="External"/><Relationship Id="rId288" Type="http://schemas.openxmlformats.org/officeDocument/2006/relationships/hyperlink" Target="https://www.linkedin.com/in/ramesh-swaminathan-861a683/?originalSubdomain=in" TargetMode="External"/><Relationship Id="rId287" Type="http://schemas.openxmlformats.org/officeDocument/2006/relationships/hyperlink" Target="https://www.linkedin.com/in/ankit-agarwal-a1904930/?originalSubdomain=in" TargetMode="External"/><Relationship Id="rId282" Type="http://schemas.openxmlformats.org/officeDocument/2006/relationships/hyperlink" Target="https://www.linkedin.com/m/in/aparna-iyer-7a6a135?originalSubdomain=in" TargetMode="External"/><Relationship Id="rId281" Type="http://schemas.openxmlformats.org/officeDocument/2006/relationships/hyperlink" Target="https://www.linkedin.com/in/manish-desai-2a554262/?originalSubdomain=in" TargetMode="External"/><Relationship Id="rId280" Type="http://schemas.openxmlformats.org/officeDocument/2006/relationships/hyperlink" Target="https://www.linkedin.com/in/ajay-goel-767b2215/?originalSubdomain=in" TargetMode="External"/><Relationship Id="rId275" Type="http://schemas.openxmlformats.org/officeDocument/2006/relationships/hyperlink" Target="https://www.linkedin.com/in/ajayaggarwalcyient/?original_referer=https%3A%2F%2Fwww%2Egoogle%2Ecom%2F&amp;originalSubdomain=in" TargetMode="External"/><Relationship Id="rId274" Type="http://schemas.openxmlformats.org/officeDocument/2006/relationships/hyperlink" Target="https://www.linkedin.com/in/vidhyasrinivasan1/?originalSubdomain=in" TargetMode="External"/><Relationship Id="rId273" Type="http://schemas.openxmlformats.org/officeDocument/2006/relationships/hyperlink" Target="https://www.linkedin.com/in/vimalendrasingh/?originalSubdomain=in" TargetMode="External"/><Relationship Id="rId272" Type="http://schemas.openxmlformats.org/officeDocument/2006/relationships/hyperlink" Target="https://www.linkedin.com/in/jorn-kersten-a69739b/?originalSubdomain=in" TargetMode="External"/><Relationship Id="rId279" Type="http://schemas.openxmlformats.org/officeDocument/2006/relationships/hyperlink" Target="https://www.linkedin.com/in/atul-daga/?originalSubdomain=in" TargetMode="External"/><Relationship Id="rId278" Type="http://schemas.openxmlformats.org/officeDocument/2006/relationships/hyperlink" Target="https://www.linkedin.com/in/pankaj-madan-a5a9451a/?originalSubdomain=in" TargetMode="External"/><Relationship Id="rId277" Type="http://schemas.openxmlformats.org/officeDocument/2006/relationships/hyperlink" Target="https://www.linkedin.com/in/vipul-chandra-0b7b904/?originalSubdomain=in" TargetMode="External"/><Relationship Id="rId276" Type="http://schemas.openxmlformats.org/officeDocument/2006/relationships/hyperlink" Target="https://www.linkedin.com/in/vinit-teredesai-0682b12/?originalSubdomain=in" TargetMode="External"/><Relationship Id="rId228" Type="http://schemas.openxmlformats.org/officeDocument/2006/relationships/hyperlink" Target="https://www.linkedin.com/in/dr-ashok-kumar-panda-2884a726/?originalSubdomain=in" TargetMode="External"/><Relationship Id="rId227" Type="http://schemas.openxmlformats.org/officeDocument/2006/relationships/hyperlink" Target="https://www.linkedin.com/in/rahul-jain-a02736154/?originalSubdomain=in" TargetMode="External"/><Relationship Id="rId226" Type="http://schemas.openxmlformats.org/officeDocument/2006/relationships/hyperlink" Target="https://www.linkedin.com/in/kunal-malani-2817b41/?originalSubdomain=in" TargetMode="External"/><Relationship Id="rId225" Type="http://schemas.openxmlformats.org/officeDocument/2006/relationships/hyperlink" Target="https://www.linkedin.com/in/vivek-tongaonkar-0856451/?originalSubdomain=in" TargetMode="External"/><Relationship Id="rId229" Type="http://schemas.openxmlformats.org/officeDocument/2006/relationships/hyperlink" Target="https://www.linkedin.com/in/c-s-muralidharan-225408138/?originalSubdomain=in" TargetMode="External"/><Relationship Id="rId220" Type="http://schemas.openxmlformats.org/officeDocument/2006/relationships/hyperlink" Target="https://www.linkedin.com/in/madhu-nainan-46430923/?originalSubdomain=in" TargetMode="External"/><Relationship Id="rId224" Type="http://schemas.openxmlformats.org/officeDocument/2006/relationships/hyperlink" Target="https://www.linkedin.com/in/kallolkundu/?originalSubdomain=ae" TargetMode="External"/><Relationship Id="rId223" Type="http://schemas.openxmlformats.org/officeDocument/2006/relationships/hyperlink" Target="https://www.linkedin.com/in/colette-kress-22328346/" TargetMode="External"/><Relationship Id="rId222" Type="http://schemas.openxmlformats.org/officeDocument/2006/relationships/hyperlink" Target="https://www.linkedin.com/in/jaikumar-srinivasan-70055a3/?originalSubdomain=in" TargetMode="External"/><Relationship Id="rId221" Type="http://schemas.openxmlformats.org/officeDocument/2006/relationships/hyperlink" Target="https://www.linkedin.com/in/svetlana-boldina-45343115/?originalSubdomain=in" TargetMode="External"/><Relationship Id="rId217" Type="http://schemas.openxmlformats.org/officeDocument/2006/relationships/hyperlink" Target="https://www.linkedin.com/in/pradeep-agrawal-9514341a/?originalSubdomain=in" TargetMode="External"/><Relationship Id="rId216" Type="http://schemas.openxmlformats.org/officeDocument/2006/relationships/hyperlink" Target="https://www.linkedin.com/in/ramesh-swaminathan-861a683/?originalSubdomain=in" TargetMode="External"/><Relationship Id="rId215" Type="http://schemas.openxmlformats.org/officeDocument/2006/relationships/hyperlink" Target="https://www.linkedin.com/in/shankar-raman-2193808/?originalSubdomain=in" TargetMode="External"/><Relationship Id="rId214" Type="http://schemas.openxmlformats.org/officeDocument/2006/relationships/hyperlink" Target="https://www.linkedin.com/in/lalit-singhvi-6b851513/?originalSubdomain=in" TargetMode="External"/><Relationship Id="rId219" Type="http://schemas.openxmlformats.org/officeDocument/2006/relationships/hyperlink" Target="https://www.linkedin.com/in/amyhood1/" TargetMode="External"/><Relationship Id="rId218" Type="http://schemas.openxmlformats.org/officeDocument/2006/relationships/hyperlink" Target="https://www.linkedin.com/in/amarjyoti-barua-9b22222/?originalSubdomain=in" TargetMode="External"/><Relationship Id="rId213" Type="http://schemas.openxmlformats.org/officeDocument/2006/relationships/hyperlink" Target="https://www.linkedin.com/in/pritesh-vinay-774812169/?originalSubdomain=in" TargetMode="External"/><Relationship Id="rId212" Type="http://schemas.openxmlformats.org/officeDocument/2006/relationships/hyperlink" Target="https://www.linkedin.com/in/supratim-dutta-b74a1776" TargetMode="External"/><Relationship Id="rId211" Type="http://schemas.openxmlformats.org/officeDocument/2006/relationships/hyperlink" Target="https://www.linkedin.com/in/jayeshsanghrajka06" TargetMode="External"/><Relationship Id="rId210" Type="http://schemas.openxmlformats.org/officeDocument/2006/relationships/hyperlink" Target="https://www.linkedin.com/in/gaurav-negi-432b08" TargetMode="External"/><Relationship Id="rId249" Type="http://schemas.openxmlformats.org/officeDocument/2006/relationships/hyperlink" Target="https://www.linkedin.com/in/neerajbasur/?originalSubdomain=in" TargetMode="External"/><Relationship Id="rId248" Type="http://schemas.openxmlformats.org/officeDocument/2006/relationships/hyperlink" Target="https://www.linkedin.com/in/karunakaran-mohanasundaram-5165586/?originalSubdomain=in" TargetMode="External"/><Relationship Id="rId247" Type="http://schemas.openxmlformats.org/officeDocument/2006/relationships/hyperlink" Target="https://www.linkedin.com/in/ashok-sonthalia/?originalSubdomain=in" TargetMode="External"/><Relationship Id="rId242" Type="http://schemas.openxmlformats.org/officeDocument/2006/relationships/hyperlink" Target="https://www.linkedin.com/in/niranjan-gupta-8b981619/?original_referer=https%3A%2F%2Fwww%2Egoogle%2Ecom%2F&amp;originalSubdomain=in" TargetMode="External"/><Relationship Id="rId241" Type="http://schemas.openxmlformats.org/officeDocument/2006/relationships/hyperlink" Target="https://www.linkedin.com/in/mukundvgalgali/?originalSubdomain=in" TargetMode="External"/><Relationship Id="rId240" Type="http://schemas.openxmlformats.org/officeDocument/2006/relationships/hyperlink" Target="https://www.linkedin.com/m/in/aparna-iyer-7a6a135?originalSubdomain=in" TargetMode="External"/><Relationship Id="rId246" Type="http://schemas.openxmlformats.org/officeDocument/2006/relationships/hyperlink" Target="https://www.linkedin.com/in/arvindgagarwal/?originalSubdomain=in" TargetMode="External"/><Relationship Id="rId245" Type="http://schemas.openxmlformats.org/officeDocument/2006/relationships/hyperlink" Target="https://www.linkedin.com/in/ankit-agarwal-a1904930/?originalSubdomain=in" TargetMode="External"/><Relationship Id="rId244" Type="http://schemas.openxmlformats.org/officeDocument/2006/relationships/hyperlink" Target="https://www.linkedin.com/in/amit-dang-7472628/?originalSubdomain=in" TargetMode="External"/><Relationship Id="rId243" Type="http://schemas.openxmlformats.org/officeDocument/2006/relationships/hyperlink" Target="https://www.linkedin.com/in/gaurav-bhartia-247a428/?originalSubdomain=in" TargetMode="External"/><Relationship Id="rId239" Type="http://schemas.openxmlformats.org/officeDocument/2006/relationships/hyperlink" Target="https://www.linkedin.com/in/manish-desai-2a554262/?originalSubdomain=in" TargetMode="External"/><Relationship Id="rId238" Type="http://schemas.openxmlformats.org/officeDocument/2006/relationships/hyperlink" Target="https://www.linkedin.com/in/ajay-goel-767b2215/?originalSubdomain=in" TargetMode="External"/><Relationship Id="rId237" Type="http://schemas.openxmlformats.org/officeDocument/2006/relationships/hyperlink" Target="https://www.linkedin.com/in/atul-daga/?originalSubdomain=in" TargetMode="External"/><Relationship Id="rId236" Type="http://schemas.openxmlformats.org/officeDocument/2006/relationships/hyperlink" Target="https://www.linkedin.com/in/sudhir-menon-7a58a697/?originalSubdomain=in" TargetMode="External"/><Relationship Id="rId231" Type="http://schemas.openxmlformats.org/officeDocument/2006/relationships/hyperlink" Target="https://www.linkedin.com/in/nandakumartirumalai/" TargetMode="External"/><Relationship Id="rId230" Type="http://schemas.openxmlformats.org/officeDocument/2006/relationships/hyperlink" Target="https://www.linkedin.com/in/unnivc/?originalSubdomain=in" TargetMode="External"/><Relationship Id="rId235" Type="http://schemas.openxmlformats.org/officeDocument/2006/relationships/hyperlink" Target="https://www.linkedin.com/in/koushik-chatterjee-2910b31" TargetMode="External"/><Relationship Id="rId234" Type="http://schemas.openxmlformats.org/officeDocument/2006/relationships/hyperlink" Target="https://www.linkedin.com/in/gaurav-bajaj-1431085/?originalSubdomain=in" TargetMode="External"/><Relationship Id="rId233" Type="http://schemas.openxmlformats.org/officeDocument/2006/relationships/hyperlink" Target="https://www.linkedin.com/in/samir-seksaria-3526244/?originalSubdomain=in" TargetMode="External"/><Relationship Id="rId232" Type="http://schemas.openxmlformats.org/officeDocument/2006/relationships/hyperlink" Target="https://www.linkedin.com/in/ashish-goenka-aa680a8/?originalSubdomain=in" TargetMode="External"/><Relationship Id="rId206" Type="http://schemas.openxmlformats.org/officeDocument/2006/relationships/hyperlink" Target="https://www.linkedin.com/in/bharat-goenka-270b7b12/?originalSubdomain=in" TargetMode="External"/><Relationship Id="rId205" Type="http://schemas.openxmlformats.org/officeDocument/2006/relationships/hyperlink" Target="https://www.linkedin.com/in/shiv-walia-886790a0/?originalSubdomain=in" TargetMode="External"/><Relationship Id="rId204" Type="http://schemas.openxmlformats.org/officeDocument/2006/relationships/hyperlink" Target="https://www.linkedin.com/in/pavan-kumar-jain-2a15b714/?originalSubdomain=in" TargetMode="External"/><Relationship Id="rId203" Type="http://schemas.openxmlformats.org/officeDocument/2006/relationships/hyperlink" Target="https://www.linkedin.com/in/anat-a-a334433/" TargetMode="External"/><Relationship Id="rId209" Type="http://schemas.openxmlformats.org/officeDocument/2006/relationships/hyperlink" Target="https://www.linkedin.com/in/anuj-jain-32076a31/?originalSubdomain=in" TargetMode="External"/><Relationship Id="rId208" Type="http://schemas.openxmlformats.org/officeDocument/2006/relationships/hyperlink" Target="https://www.linkedin.com/in/rajneesh-narang-94383b125/?originalSubdomain=in" TargetMode="External"/><Relationship Id="rId207" Type="http://schemas.openxmlformats.org/officeDocument/2006/relationships/hyperlink" Target="https://www.linkedin.com/in/gopal-mahadevan-170a6b/?originalSubdomain=in" TargetMode="External"/><Relationship Id="rId202" Type="http://schemas.openxmlformats.org/officeDocument/2006/relationships/hyperlink" Target="https://www.linkedin.com/in/clement-pinto-0276bba4/?originalSubdomain=in" TargetMode="External"/><Relationship Id="rId201" Type="http://schemas.openxmlformats.org/officeDocument/2006/relationships/hyperlink" Target="https://www.linkedin.com/in/cma-rakesh-kumar-jain-a28810141/?originalSubdomain=in" TargetMode="External"/><Relationship Id="rId200" Type="http://schemas.openxmlformats.org/officeDocument/2006/relationships/hyperlink" Target="https://www.linkedin.com/in/parag-agarwal-63b89a45/?originalSubdomain=in" TargetMode="External"/><Relationship Id="rId190" Type="http://schemas.openxmlformats.org/officeDocument/2006/relationships/hyperlink" Target="https://www.linkedin.com/in/ec-prasad-847393b/?originalSubdomain=in" TargetMode="External"/><Relationship Id="rId194" Type="http://schemas.openxmlformats.org/officeDocument/2006/relationships/hyperlink" Target="https://www.linkedin.com/in/indranil-sen-b3a0bba/?originalSubdomain=in" TargetMode="External"/><Relationship Id="rId193" Type="http://schemas.openxmlformats.org/officeDocument/2006/relationships/hyperlink" Target="https://www.linkedin.com/in/soumen-ray-61142499" TargetMode="External"/><Relationship Id="rId192" Type="http://schemas.openxmlformats.org/officeDocument/2006/relationships/hyperlink" Target="https://www.linkedin.com/in/paul-tranter-324738/" TargetMode="External"/><Relationship Id="rId191" Type="http://schemas.openxmlformats.org/officeDocument/2006/relationships/hyperlink" Target="https://www.linkedin.com/in/s-sreenivasan-548460118/" TargetMode="External"/><Relationship Id="rId187" Type="http://schemas.openxmlformats.org/officeDocument/2006/relationships/hyperlink" Target="https://www.linkedin.com/in/sushil-agarwal/?originalSubdomain=in" TargetMode="External"/><Relationship Id="rId186" Type="http://schemas.openxmlformats.org/officeDocument/2006/relationships/hyperlink" Target="https://www.linkedin.com/in/dilip-jha-11586b29/?originalSubdomain=in" TargetMode="External"/><Relationship Id="rId185" Type="http://schemas.openxmlformats.org/officeDocument/2006/relationships/hyperlink" Target="https://www.linkedin.com/in/saurabh-shah-9a19a92b4" TargetMode="External"/><Relationship Id="rId184" Type="http://schemas.openxmlformats.org/officeDocument/2006/relationships/hyperlink" Target="https://www.linkedin.com/in/jugeshinder-robbie-singh-maicd-217473a" TargetMode="External"/><Relationship Id="rId189" Type="http://schemas.openxmlformats.org/officeDocument/2006/relationships/hyperlink" Target="https://www.linkedin.com/in/dinesh-thapar-3265a31" TargetMode="External"/><Relationship Id="rId188" Type="http://schemas.openxmlformats.org/officeDocument/2006/relationships/hyperlink" Target="https://www.linkedin.com/in/kevan-parekh-231377/" TargetMode="External"/><Relationship Id="rId183" Type="http://schemas.openxmlformats.org/officeDocument/2006/relationships/hyperlink" Target="http://linkedin.com/m/in/emmajindal" TargetMode="External"/><Relationship Id="rId182" Type="http://schemas.openxmlformats.org/officeDocument/2006/relationships/hyperlink" Target="https://www.linkedin.com/in/mukesh-singla-4855411a/?originalSubdomain=in" TargetMode="External"/><Relationship Id="rId181" Type="http://schemas.openxmlformats.org/officeDocument/2006/relationships/hyperlink" Target="https://www.linkedin.com/in/ankit-maheshwari-7629a573/?originalSubdomain=in" TargetMode="External"/><Relationship Id="rId180" Type="http://schemas.openxmlformats.org/officeDocument/2006/relationships/hyperlink" Target="https://www.linkedin.com/in/manish-sharma-63aaa814/?originalSubdomain=in" TargetMode="External"/><Relationship Id="rId176" Type="http://schemas.openxmlformats.org/officeDocument/2006/relationships/hyperlink" Target="https://www.linkedin.com/in/vikas-lal-0240015/?originalSubdomain=in" TargetMode="External"/><Relationship Id="rId175" Type="http://schemas.openxmlformats.org/officeDocument/2006/relationships/hyperlink" Target="https://www.linkedin.com/in/saumya-singh-rathore-winzo2212/?originalSubdomain=in" TargetMode="External"/><Relationship Id="rId174" Type="http://schemas.openxmlformats.org/officeDocument/2006/relationships/hyperlink" Target="https://www.linkedin.com/in/nidhish-patni-881b0453/?originalSubdomain=in" TargetMode="External"/><Relationship Id="rId173" Type="http://schemas.openxmlformats.org/officeDocument/2006/relationships/hyperlink" Target="https://www.linkedin.com/in/cliffordlobo/?originalSubdomain=in" TargetMode="External"/><Relationship Id="rId179" Type="http://schemas.openxmlformats.org/officeDocument/2006/relationships/hyperlink" Target="https://www.linkedin.com/in/wmcnamara/" TargetMode="External"/><Relationship Id="rId178" Type="http://schemas.openxmlformats.org/officeDocument/2006/relationships/hyperlink" Target="https://www.linkedin.com/in/aditya-kumar-73980358/?originalSubdomain=in" TargetMode="External"/><Relationship Id="rId177" Type="http://schemas.openxmlformats.org/officeDocument/2006/relationships/hyperlink" Target="https://www.linkedin.com/in/anuj-tewari-363140b/?originalSubdomain=in" TargetMode="External"/><Relationship Id="rId198" Type="http://schemas.openxmlformats.org/officeDocument/2006/relationships/hyperlink" Target="https://www.linkedin.com/in/ankush-jain-25534630/?originalSubdomain=in" TargetMode="External"/><Relationship Id="rId197" Type="http://schemas.openxmlformats.org/officeDocument/2006/relationships/hyperlink" Target="https://www.linkedin.com/in/kaleeswaran-a-4282969/details/experience/" TargetMode="External"/><Relationship Id="rId196" Type="http://schemas.openxmlformats.org/officeDocument/2006/relationships/hyperlink" Target="https://www.linkedin.com/in/ashish-adukia" TargetMode="External"/><Relationship Id="rId195" Type="http://schemas.openxmlformats.org/officeDocument/2006/relationships/hyperlink" Target="https://www.linkedin.com/in/martin-small-69438213/" TargetMode="External"/><Relationship Id="rId199" Type="http://schemas.openxmlformats.org/officeDocument/2006/relationships/hyperlink" Target="https://www.linkedin.com/in/dharmender-tuteja-069345a" TargetMode="External"/><Relationship Id="rId150" Type="http://schemas.openxmlformats.org/officeDocument/2006/relationships/hyperlink" Target="https://www.linkedin.com/in/madhusudan-bihani-535a1814/?originalSubdomain=in" TargetMode="External"/><Relationship Id="rId149" Type="http://schemas.openxmlformats.org/officeDocument/2006/relationships/hyperlink" Target="https://www.linkedin.com/in/gourav-kumar-58091a7/?originalSubdomain=in" TargetMode="External"/><Relationship Id="rId148" Type="http://schemas.openxmlformats.org/officeDocument/2006/relationships/hyperlink" Target="https://www.linkedin.com/in/vivek-venkatesan-1562758/?originalSubdomain=in" TargetMode="External"/><Relationship Id="rId143" Type="http://schemas.openxmlformats.org/officeDocument/2006/relationships/hyperlink" Target="https://www.linkedin.com/in/vivek-veda-0aa162a/?original_referer=https%3A%2F%2Fwww%2Egoogle%2Ecom%2F&amp;originalSubdomain=in" TargetMode="External"/><Relationship Id="rId142" Type="http://schemas.openxmlformats.org/officeDocument/2006/relationships/hyperlink" Target="https://www.linkedin.com/in/ranvir-singh-23701719/?originalSubdomain=in" TargetMode="External"/><Relationship Id="rId141" Type="http://schemas.openxmlformats.org/officeDocument/2006/relationships/hyperlink" Target="https://www.linkedin.com/in/raghavendra-g-s-6092012/?originalSubdomain=in" TargetMode="External"/><Relationship Id="rId140" Type="http://schemas.openxmlformats.org/officeDocument/2006/relationships/hyperlink" Target="https://www.linkedin.com/in/abhaymaheshwari07/?originalSubdomain=in" TargetMode="External"/><Relationship Id="rId147" Type="http://schemas.openxmlformats.org/officeDocument/2006/relationships/hyperlink" Target="https://www.linkedin.com/in/praveenboda/?originalSubdomain=in" TargetMode="External"/><Relationship Id="rId146" Type="http://schemas.openxmlformats.org/officeDocument/2006/relationships/hyperlink" Target="https://www.linkedin.com/in/dhruvilsanghvi/" TargetMode="External"/><Relationship Id="rId145" Type="http://schemas.openxmlformats.org/officeDocument/2006/relationships/hyperlink" Target="https://www.linkedin.com/in/gianni-pesce-89827940/" TargetMode="External"/><Relationship Id="rId144" Type="http://schemas.openxmlformats.org/officeDocument/2006/relationships/hyperlink" Target="https://www.linkedin.com/in/naveen-gupta-a61910/?originalSubdomain=in" TargetMode="External"/><Relationship Id="rId139" Type="http://schemas.openxmlformats.org/officeDocument/2006/relationships/hyperlink" Target="https://www.linkedin.com/in/prabhat-agarwal/?originalSubdomain=in" TargetMode="External"/><Relationship Id="rId138" Type="http://schemas.openxmlformats.org/officeDocument/2006/relationships/hyperlink" Target="https://www.linkedin.com/in/rajan-joshi-17a70476/?originalSubdomain=in" TargetMode="External"/><Relationship Id="rId137" Type="http://schemas.openxmlformats.org/officeDocument/2006/relationships/hyperlink" Target="https://www.linkedin.com/in/adithya-u-g-8b848414/?originalSubdomain=in" TargetMode="External"/><Relationship Id="rId132" Type="http://schemas.openxmlformats.org/officeDocument/2006/relationships/hyperlink" Target="https://www.linkedin.com/in/nilesh-gupta-8a310147/?originalSubdomain=in" TargetMode="External"/><Relationship Id="rId131" Type="http://schemas.openxmlformats.org/officeDocument/2006/relationships/hyperlink" Target="https://www.linkedin.com/in/kaliyuga/?originalSubdomain=in" TargetMode="External"/><Relationship Id="rId130" Type="http://schemas.openxmlformats.org/officeDocument/2006/relationships/hyperlink" Target="https://www.linkedin.com/in/kamal-deep-singh-429239104/?originalSubdomain=in" TargetMode="External"/><Relationship Id="rId136" Type="http://schemas.openxmlformats.org/officeDocument/2006/relationships/hyperlink" Target="https://www.linkedin.com/in/sunil-bhagat-405a4097/?originalSubdomain=in" TargetMode="External"/><Relationship Id="rId135" Type="http://schemas.openxmlformats.org/officeDocument/2006/relationships/hyperlink" Target="https://www.linkedin.com/in/chintan-thakkar/?originalSubdomain=in" TargetMode="External"/><Relationship Id="rId134" Type="http://schemas.openxmlformats.org/officeDocument/2006/relationships/hyperlink" Target="https://www.linkedin.com/in/cavinaysaraf/?originalSubdomain=in" TargetMode="External"/><Relationship Id="rId133" Type="http://schemas.openxmlformats.org/officeDocument/2006/relationships/hyperlink" Target="https://www.linkedin.com/in/vipul-joshi-924b261/?originalSubdomain=in" TargetMode="External"/><Relationship Id="rId172" Type="http://schemas.openxmlformats.org/officeDocument/2006/relationships/hyperlink" Target="https://www.linkedin.com/in/sidhartha-patnaik-273a9925/?originalSubdomain=in" TargetMode="External"/><Relationship Id="rId171" Type="http://schemas.openxmlformats.org/officeDocument/2006/relationships/hyperlink" Target="https://www.linkedin.com/in/navesh-gupta/?originalSubdomain=in" TargetMode="External"/><Relationship Id="rId170" Type="http://schemas.openxmlformats.org/officeDocument/2006/relationships/hyperlink" Target="https://www.linkedin.com/in/badrisanjeevi/?originalSubdomain=in" TargetMode="External"/><Relationship Id="rId165" Type="http://schemas.openxmlformats.org/officeDocument/2006/relationships/hyperlink" Target="https://www.linkedin.com/in/piyushbothtra/?originalSubdomain=in" TargetMode="External"/><Relationship Id="rId164" Type="http://schemas.openxmlformats.org/officeDocument/2006/relationships/hyperlink" Target="https://www.linkedin.com/in/singhaniketkr/?originalSubdomain=in" TargetMode="External"/><Relationship Id="rId163" Type="http://schemas.openxmlformats.org/officeDocument/2006/relationships/hyperlink" Target="https://www.linkedin.com/in/pratik-lohiya-01619311a/?originalSubdomain=in" TargetMode="External"/><Relationship Id="rId162" Type="http://schemas.openxmlformats.org/officeDocument/2006/relationships/hyperlink" Target="https://www.linkedin.com/in/praveen-kumar-kj-78476b1/?originalSubdomain=in" TargetMode="External"/><Relationship Id="rId169" Type="http://schemas.openxmlformats.org/officeDocument/2006/relationships/hyperlink" Target="https://www.linkedin.com/in/anupam-vasdani-14594a6/?originalSubdomain=in" TargetMode="External"/><Relationship Id="rId168" Type="http://schemas.openxmlformats.org/officeDocument/2006/relationships/hyperlink" Target="https://www.linkedin.com/in/naveen-bhadada/?originalSubdomain=in" TargetMode="External"/><Relationship Id="rId167" Type="http://schemas.openxmlformats.org/officeDocument/2006/relationships/hyperlink" Target="https://www.linkedin.com/in/srinivas-pramodh-emany-606216b/?originalSubdomain=in" TargetMode="External"/><Relationship Id="rId166" Type="http://schemas.openxmlformats.org/officeDocument/2006/relationships/hyperlink" Target="https://www.linkedin.com/in/caashishkr/?originalSubdomain=in" TargetMode="External"/><Relationship Id="rId161" Type="http://schemas.openxmlformats.org/officeDocument/2006/relationships/hyperlink" Target="https://www.linkedin.com/in/alok-vaish-14a69617/?originalSubdomain=in" TargetMode="External"/><Relationship Id="rId160" Type="http://schemas.openxmlformats.org/officeDocument/2006/relationships/hyperlink" Target="https://www.linkedin.com/in/sanjivsinghal/?originalSubdomain=in" TargetMode="External"/><Relationship Id="rId159" Type="http://schemas.openxmlformats.org/officeDocument/2006/relationships/hyperlink" Target="https://www.linkedin.com/in/abhinav-vijayvargiya-2812672b/?originalSubdomain=in" TargetMode="External"/><Relationship Id="rId154" Type="http://schemas.openxmlformats.org/officeDocument/2006/relationships/hyperlink" Target="https://www.linkedin.com/in/anurag-sharma-2aa57854/?originalSubdomain=in" TargetMode="External"/><Relationship Id="rId153" Type="http://schemas.openxmlformats.org/officeDocument/2006/relationships/hyperlink" Target="https://www.linkedin.com/in/will-briggs-51994021/?originalSubdomain=uk" TargetMode="External"/><Relationship Id="rId152" Type="http://schemas.openxmlformats.org/officeDocument/2006/relationships/hyperlink" Target="https://www.linkedin.com/in/srishti-bajpai-02578039/?originalSubdomain=in" TargetMode="External"/><Relationship Id="rId151" Type="http://schemas.openxmlformats.org/officeDocument/2006/relationships/hyperlink" Target="https://www.linkedin.com/in/ritesh-agarwal-59972195/?originalSubdomain=ae" TargetMode="External"/><Relationship Id="rId158" Type="http://schemas.openxmlformats.org/officeDocument/2006/relationships/hyperlink" Target="https://www.linkedin.com/in/jbilich/" TargetMode="External"/><Relationship Id="rId157" Type="http://schemas.openxmlformats.org/officeDocument/2006/relationships/hyperlink" Target="https://www.linkedin.com/in/rahul-vermani-6b5162102/?originalSubdomain=in" TargetMode="External"/><Relationship Id="rId156" Type="http://schemas.openxmlformats.org/officeDocument/2006/relationships/hyperlink" Target="https://www.linkedin.com/in/krishan-agarwal-2a167a18/?originalSubdomain=in" TargetMode="External"/><Relationship Id="rId155" Type="http://schemas.openxmlformats.org/officeDocument/2006/relationships/hyperlink" Target="https://www.linkedin.com/in/sushilthaker/?originalSubdomain=in" TargetMode="External"/><Relationship Id="rId107" Type="http://schemas.openxmlformats.org/officeDocument/2006/relationships/hyperlink" Target="https://www.linkedin.com/in/mathew-george-2b23569/?originalSubdomain=in" TargetMode="External"/><Relationship Id="rId106" Type="http://schemas.openxmlformats.org/officeDocument/2006/relationships/hyperlink" Target="https://www.linkedin.com/in/sunil-jain-bordia/?originalSubdomain=in" TargetMode="External"/><Relationship Id="rId105" Type="http://schemas.openxmlformats.org/officeDocument/2006/relationships/hyperlink" Target="https://www.linkedin.com/in/amit-kumar-45459a15/?originalSubdomain=in" TargetMode="External"/><Relationship Id="rId104" Type="http://schemas.openxmlformats.org/officeDocument/2006/relationships/hyperlink" Target="https://www.linkedin.com/in/mitesh-shah-0627873/?originalSubdomain=in" TargetMode="External"/><Relationship Id="rId109" Type="http://schemas.openxmlformats.org/officeDocument/2006/relationships/hyperlink" Target="http://cashify.in/" TargetMode="External"/><Relationship Id="rId108" Type="http://schemas.openxmlformats.org/officeDocument/2006/relationships/hyperlink" Target="https://www.linkedin.com/in/vikas-guru-42745b13/?originalSubdomain=in" TargetMode="External"/><Relationship Id="rId103" Type="http://schemas.openxmlformats.org/officeDocument/2006/relationships/hyperlink" Target="https://www.linkedin.com/in/rumitd/?originalSubdomain=in" TargetMode="External"/><Relationship Id="rId102" Type="http://schemas.openxmlformats.org/officeDocument/2006/relationships/hyperlink" Target="https://www.linkedin.com/in/amit-bhardwaj-89365244/?originalSubdomain=in" TargetMode="External"/><Relationship Id="rId101" Type="http://schemas.openxmlformats.org/officeDocument/2006/relationships/hyperlink" Target="https://www.linkedin.com/in/sreeram-ramachandran-9b70b029/?originalSubdomain=in" TargetMode="External"/><Relationship Id="rId100" Type="http://schemas.openxmlformats.org/officeDocument/2006/relationships/hyperlink" Target="https://www.linkedin.com/in/krishan-gopal-66916916/?originalSubdomain=in" TargetMode="External"/><Relationship Id="rId129" Type="http://schemas.openxmlformats.org/officeDocument/2006/relationships/hyperlink" Target="https://www.linkedin.com/in/pawan-aggrawal-pa/?originalSubdomain=in" TargetMode="External"/><Relationship Id="rId128" Type="http://schemas.openxmlformats.org/officeDocument/2006/relationships/hyperlink" Target="https://www.linkedin.com/in/rameshsethuraman/" TargetMode="External"/><Relationship Id="rId127" Type="http://schemas.openxmlformats.org/officeDocument/2006/relationships/hyperlink" Target="https://www.linkedin.com/in/gfrantzen/" TargetMode="External"/><Relationship Id="rId126" Type="http://schemas.openxmlformats.org/officeDocument/2006/relationships/hyperlink" Target="https://www.linkedin.com/in/aditya-todi-4b01887/?originalSubdomain=in" TargetMode="External"/><Relationship Id="rId121" Type="http://schemas.openxmlformats.org/officeDocument/2006/relationships/hyperlink" Target="https://www.linkedin.com/in/amit-gupta-10876115/" TargetMode="External"/><Relationship Id="rId120" Type="http://schemas.openxmlformats.org/officeDocument/2006/relationships/hyperlink" Target="https://www.linkedin.com/in/caagarwalaashish/?originalSubdomain=in" TargetMode="External"/><Relationship Id="rId125" Type="http://schemas.openxmlformats.org/officeDocument/2006/relationships/hyperlink" Target="https://www.linkedin.com/in/magdalena-pasecka-749104196/?originalSubdomain=pl" TargetMode="External"/><Relationship Id="rId124" Type="http://schemas.openxmlformats.org/officeDocument/2006/relationships/hyperlink" Target="https://www.linkedin.com/in/ketan-merchant-6a955824/?originalSubdomain=in" TargetMode="External"/><Relationship Id="rId123" Type="http://schemas.openxmlformats.org/officeDocument/2006/relationships/hyperlink" Target="https://www.linkedin.com/in/ashishgoyalearlysalary/?originalSubdomain=in" TargetMode="External"/><Relationship Id="rId122" Type="http://schemas.openxmlformats.org/officeDocument/2006/relationships/hyperlink" Target="https://www.linkedin.com/in/ksadarsh/?originalSubdomain=in" TargetMode="External"/><Relationship Id="rId118" Type="http://schemas.openxmlformats.org/officeDocument/2006/relationships/hyperlink" Target="https://www.linkedin.com/in/nishiagrawal01/?originalSubdomain=in" TargetMode="External"/><Relationship Id="rId117" Type="http://schemas.openxmlformats.org/officeDocument/2006/relationships/hyperlink" Target="https://www.linkedin.com/in/alla-arkhipova/" TargetMode="External"/><Relationship Id="rId116" Type="http://schemas.openxmlformats.org/officeDocument/2006/relationships/hyperlink" Target="https://www.linkedin.com/in/jen-hsu-b2459716/" TargetMode="External"/><Relationship Id="rId115" Type="http://schemas.openxmlformats.org/officeDocument/2006/relationships/hyperlink" Target="https://www.linkedin.com/in/sankalp-aggarwal-26866748/?originalSubdomain=in" TargetMode="External"/><Relationship Id="rId119" Type="http://schemas.openxmlformats.org/officeDocument/2006/relationships/hyperlink" Target="https://www.linkedin.com/in/samir-kulshrestha-b83a2814/?originalSubdomain=in" TargetMode="External"/><Relationship Id="rId110" Type="http://schemas.openxmlformats.org/officeDocument/2006/relationships/hyperlink" Target="https://www.linkedin.com/in/subodh-garg-4364487/?originalSubdomain=in" TargetMode="External"/><Relationship Id="rId114" Type="http://schemas.openxmlformats.org/officeDocument/2006/relationships/hyperlink" Target="https://www.linkedin.com/in/angad-k-68478312/?originalSubdomain=in" TargetMode="External"/><Relationship Id="rId113" Type="http://schemas.openxmlformats.org/officeDocument/2006/relationships/hyperlink" Target="https://www.linkedin.com/in/suman-jaisinghani-67557856/?originalSubdomain=in" TargetMode="External"/><Relationship Id="rId112" Type="http://schemas.openxmlformats.org/officeDocument/2006/relationships/hyperlink" Target="https://www.linkedin.com/in/pranav-dahiya-4a06725/?originalSubdomain=in" TargetMode="External"/><Relationship Id="rId111" Type="http://schemas.openxmlformats.org/officeDocument/2006/relationships/hyperlink" Target="https://www.linkedin.com/in/akash-gupta-1b773816/?originalSubdomain=in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linkedin.com/in/pratikshetty/?originalSubdomain=in" TargetMode="External"/><Relationship Id="rId2" Type="http://schemas.openxmlformats.org/officeDocument/2006/relationships/hyperlink" Target="https://www.linkedin.com/in/abhishekshettyisb/?originalSubdomain=in" TargetMode="External"/><Relationship Id="rId3" Type="http://schemas.openxmlformats.org/officeDocument/2006/relationships/hyperlink" Target="https://www.linkedin.com/in/sahibjeet-singh-sawhney/?originalSubdomain=in" TargetMode="External"/><Relationship Id="rId4" Type="http://schemas.openxmlformats.org/officeDocument/2006/relationships/hyperlink" Target="https://www.linkedin.com/in/vikrantmudaliar/?originalSubdomain=in" TargetMode="External"/><Relationship Id="rId9" Type="http://schemas.openxmlformats.org/officeDocument/2006/relationships/hyperlink" Target="https://www.linkedin.com/in/satishsharmafromunyscape/?originalSubdomain=in" TargetMode="External"/><Relationship Id="rId5" Type="http://schemas.openxmlformats.org/officeDocument/2006/relationships/hyperlink" Target="https://www.linkedin.com/in/5prashantv/?originalSubdomain=in" TargetMode="External"/><Relationship Id="rId6" Type="http://schemas.openxmlformats.org/officeDocument/2006/relationships/hyperlink" Target="https://www.linkedin.com/in/doshiamitk/?originalSubdomain=in" TargetMode="External"/><Relationship Id="rId7" Type="http://schemas.openxmlformats.org/officeDocument/2006/relationships/hyperlink" Target="https://www.linkedin.com/in/sidharths/" TargetMode="External"/><Relationship Id="rId8" Type="http://schemas.openxmlformats.org/officeDocument/2006/relationships/hyperlink" Target="https://www.linkedin.com/in/shweta-sivasankaran-3a03315b/overlay/contact-info/?lipi=urn%3Ali%3Apage%3Ad_flagship3_profile_view_base%3BELglE6XHRuSd1iOV0sf7DA%3D%3D" TargetMode="External"/><Relationship Id="rId40" Type="http://schemas.openxmlformats.org/officeDocument/2006/relationships/hyperlink" Target="https://www.linkedin.com/in/pooja-sharma-59404825/" TargetMode="External"/><Relationship Id="rId42" Type="http://schemas.openxmlformats.org/officeDocument/2006/relationships/hyperlink" Target="https://www.linkedin.com/in/nehhamkaura/" TargetMode="External"/><Relationship Id="rId41" Type="http://schemas.openxmlformats.org/officeDocument/2006/relationships/hyperlink" Target="https://www.linkedin.com/in/vartikaverma/?originalSubdomain=in" TargetMode="External"/><Relationship Id="rId44" Type="http://schemas.openxmlformats.org/officeDocument/2006/relationships/hyperlink" Target="https://www.linkedin.com/in/abhijeetjhawar/" TargetMode="External"/><Relationship Id="rId43" Type="http://schemas.openxmlformats.org/officeDocument/2006/relationships/hyperlink" Target="https://www.linkedin.com/in/robinsamuel/" TargetMode="External"/><Relationship Id="rId46" Type="http://schemas.openxmlformats.org/officeDocument/2006/relationships/hyperlink" Target="https://www.linkedin.com/in/sachinsaxena-innovaccer/" TargetMode="External"/><Relationship Id="rId45" Type="http://schemas.openxmlformats.org/officeDocument/2006/relationships/hyperlink" Target="https://www.linkedin.com/in/bikashchowdhury/?originalSubdomain=in" TargetMode="External"/><Relationship Id="rId48" Type="http://schemas.openxmlformats.org/officeDocument/2006/relationships/hyperlink" Target="https://www.linkedin.com/in/jaimit/?originalSubdomain=in" TargetMode="External"/><Relationship Id="rId47" Type="http://schemas.openxmlformats.org/officeDocument/2006/relationships/hyperlink" Target="https://www.linkedin.com/in/arvind-singhal-1b02392/overlay/contact-info/?lipi=urn%3Ali%3Apage%3Ad_flagship3_profile_view_base%3BSYPpTWFESJqJw%2FrSE0LsxQ%3D%3D" TargetMode="External"/><Relationship Id="rId49" Type="http://schemas.openxmlformats.org/officeDocument/2006/relationships/hyperlink" Target="https://www.linkedin.com/in/pratikjv/?originalSubdomain=in" TargetMode="External"/><Relationship Id="rId31" Type="http://schemas.openxmlformats.org/officeDocument/2006/relationships/hyperlink" Target="https://www.linkedin.com/in/vorasamir/?originalSubdomain=in" TargetMode="External"/><Relationship Id="rId30" Type="http://schemas.openxmlformats.org/officeDocument/2006/relationships/hyperlink" Target="https://www.linkedin.com/in/lohith-ramachandra/?originalSubdomain=in" TargetMode="External"/><Relationship Id="rId33" Type="http://schemas.openxmlformats.org/officeDocument/2006/relationships/hyperlink" Target="https://www.linkedin.com/in/jidesh-haridas/" TargetMode="External"/><Relationship Id="rId32" Type="http://schemas.openxmlformats.org/officeDocument/2006/relationships/hyperlink" Target="https://www.linkedin.com/in/samratkrishna/" TargetMode="External"/><Relationship Id="rId35" Type="http://schemas.openxmlformats.org/officeDocument/2006/relationships/hyperlink" Target="https://www.linkedin.com/in/manmeetahluwalia/?originalSubdomain=in" TargetMode="External"/><Relationship Id="rId34" Type="http://schemas.openxmlformats.org/officeDocument/2006/relationships/hyperlink" Target="https://www.linkedin.com/in/rangaraajrajagopalan/" TargetMode="External"/><Relationship Id="rId37" Type="http://schemas.openxmlformats.org/officeDocument/2006/relationships/hyperlink" Target="https://www.linkedin.com/in/anuj19/?originalSubdomain=in" TargetMode="External"/><Relationship Id="rId36" Type="http://schemas.openxmlformats.org/officeDocument/2006/relationships/hyperlink" Target="https://www.linkedin.com/in/deshmukhss/" TargetMode="External"/><Relationship Id="rId39" Type="http://schemas.openxmlformats.org/officeDocument/2006/relationships/hyperlink" Target="https://www.linkedin.com/in/saroj-panigrahi-831a9113/" TargetMode="External"/><Relationship Id="rId38" Type="http://schemas.openxmlformats.org/officeDocument/2006/relationships/hyperlink" Target="https://www.linkedin.com/in/mikayamamoto/" TargetMode="External"/><Relationship Id="rId20" Type="http://schemas.openxmlformats.org/officeDocument/2006/relationships/hyperlink" Target="https://www.linkedin.com/in/utkarshamitabh/details/experience/" TargetMode="External"/><Relationship Id="rId22" Type="http://schemas.openxmlformats.org/officeDocument/2006/relationships/hyperlink" Target="https://www.linkedin.com/in/vipulparekh/?originalSubdomain=in" TargetMode="External"/><Relationship Id="rId21" Type="http://schemas.openxmlformats.org/officeDocument/2006/relationships/hyperlink" Target="https://www.linkedin.com/in/sanjay-kirimanjeshwar-464575/" TargetMode="External"/><Relationship Id="rId24" Type="http://schemas.openxmlformats.org/officeDocument/2006/relationships/hyperlink" Target="https://www.linkedin.com/in/chandra-prakash-b5117b8/?originalSubdomain=in" TargetMode="External"/><Relationship Id="rId23" Type="http://schemas.openxmlformats.org/officeDocument/2006/relationships/hyperlink" Target="https://www.linkedin.com/in/anandpanda/" TargetMode="External"/><Relationship Id="rId26" Type="http://schemas.openxmlformats.org/officeDocument/2006/relationships/hyperlink" Target="https://www.linkedin.com/in/navingurnani/?originalSubdomain=in" TargetMode="External"/><Relationship Id="rId25" Type="http://schemas.openxmlformats.org/officeDocument/2006/relationships/hyperlink" Target="https://www.linkedin.com/in/gayatrimathur/?originalSubdomain=in" TargetMode="External"/><Relationship Id="rId28" Type="http://schemas.openxmlformats.org/officeDocument/2006/relationships/hyperlink" Target="https://www.linkedin.com/in/gajendra-jangid-665b3040/?originalSubdomain=in" TargetMode="External"/><Relationship Id="rId27" Type="http://schemas.openxmlformats.org/officeDocument/2006/relationships/hyperlink" Target="https://www.linkedin.com/in/charukishnani/?originalSubdomain=in" TargetMode="External"/><Relationship Id="rId29" Type="http://schemas.openxmlformats.org/officeDocument/2006/relationships/hyperlink" Target="https://www.linkedin.com/in/guymarion/" TargetMode="External"/><Relationship Id="rId11" Type="http://schemas.openxmlformats.org/officeDocument/2006/relationships/hyperlink" Target="https://www.linkedin.com/in/vivekchaturvedi17/?originalSubdomain=in" TargetMode="External"/><Relationship Id="rId10" Type="http://schemas.openxmlformats.org/officeDocument/2006/relationships/hyperlink" Target="https://www.linkedin.com/in/cmendi/?originalSubdomain=in" TargetMode="External"/><Relationship Id="rId13" Type="http://schemas.openxmlformats.org/officeDocument/2006/relationships/hyperlink" Target="https://www.linkedin.com/in/rahul-teotia-48520413/?originalSubdomain=in" TargetMode="External"/><Relationship Id="rId12" Type="http://schemas.openxmlformats.org/officeDocument/2006/relationships/hyperlink" Target="https://www.linkedin.com/in/ashish-mishra-mktgathsbc/?originalSubdomain=in" TargetMode="External"/><Relationship Id="rId15" Type="http://schemas.openxmlformats.org/officeDocument/2006/relationships/hyperlink" Target="https://www.linkedin.com/in/mayank-kumar-5573243/?originalSubdomain=in" TargetMode="External"/><Relationship Id="rId14" Type="http://schemas.openxmlformats.org/officeDocument/2006/relationships/hyperlink" Target="https://www.linkedin.com/in/sumeet-singh-99bb103/?originalSubdomain=in" TargetMode="External"/><Relationship Id="rId17" Type="http://schemas.openxmlformats.org/officeDocument/2006/relationships/hyperlink" Target="https://www.linkedin.com/in/saurabh-sharma-9b9b2715?utm_source=share&amp;utm_campaign=share_via&amp;utm_content=profile&amp;utm_medium=android_app" TargetMode="External"/><Relationship Id="rId16" Type="http://schemas.openxmlformats.org/officeDocument/2006/relationships/hyperlink" Target="https://www.linkedin.com/in/zeenat-khan-b83491239/overlay/contact-info/?lipi=urn%3Ali%3Apage%3Ad_flagship3_profile_view_base%3Br0Tg0z%2BvSS2zuWWAGDZEzA%3D%3D" TargetMode="External"/><Relationship Id="rId19" Type="http://schemas.openxmlformats.org/officeDocument/2006/relationships/hyperlink" Target="https://www.linkedin.com/in/shruti-agrawal-iimcal/?originalSubdomain=in" TargetMode="External"/><Relationship Id="rId18" Type="http://schemas.openxmlformats.org/officeDocument/2006/relationships/hyperlink" Target="https://www.linkedin.com/in/radhikaz?utm_source=share&amp;utm_campaign=share_via&amp;utm_content=profile&amp;utm_medium=android_app" TargetMode="External"/><Relationship Id="rId84" Type="http://schemas.openxmlformats.org/officeDocument/2006/relationships/hyperlink" Target="https://www.linkedin.com/in/gaurav-mehta-7a85234/?originalSubdomain=in" TargetMode="External"/><Relationship Id="rId83" Type="http://schemas.openxmlformats.org/officeDocument/2006/relationships/hyperlink" Target="https://www.linkedin.com/in/dollydavda/overlay/contact-info/?lipi=urn%3Ali%3Apage%3Ad_flagship3_profile_view_base%3BrnhVk5ahSBWanJra7SV8kQ%3D%3D" TargetMode="External"/><Relationship Id="rId86" Type="http://schemas.openxmlformats.org/officeDocument/2006/relationships/hyperlink" Target="https://www.linkedin.com/in/gurjit-singh-8715417a/overlay/contact-info/?lipi=urn%3Ali%3Apage%3Ad_flagship3_profile_view_base%3BI3AVGWv1QRqaMNP4aQD4Yg%3D%3D" TargetMode="External"/><Relationship Id="rId85" Type="http://schemas.openxmlformats.org/officeDocument/2006/relationships/hyperlink" Target="https://www.linkedin.com/in/gurjit-singh-8715417a/overlay/contact-info/?lipi=urn%3Ali%3Apage%3Ad_flagship3_profile_view_base%3BI3AVGWv1QRqaMNP4aQD4Yg%3D%3D" TargetMode="External"/><Relationship Id="rId88" Type="http://schemas.openxmlformats.org/officeDocument/2006/relationships/hyperlink" Target="https://www.linkedin.com/in/naveenmurali/" TargetMode="External"/><Relationship Id="rId87" Type="http://schemas.openxmlformats.org/officeDocument/2006/relationships/hyperlink" Target="https://www.linkedin.com/in/mahipd/?originalSubdomain=in" TargetMode="External"/><Relationship Id="rId89" Type="http://schemas.openxmlformats.org/officeDocument/2006/relationships/hyperlink" Target="https://www.linkedin.com/in/rahulkarthikeyan/overlay/contact-info/?lipi=urn%3Ali%3Apage%3Ad_flagship3_profile_view_base%3B3YmUE5QCQJ6ALO75sRE3GA%3D%3D" TargetMode="External"/><Relationship Id="rId80" Type="http://schemas.openxmlformats.org/officeDocument/2006/relationships/hyperlink" Target="https://www.linkedin.com/in/chetan-siyal-299b6830/" TargetMode="External"/><Relationship Id="rId82" Type="http://schemas.openxmlformats.org/officeDocument/2006/relationships/hyperlink" Target="https://www.linkedin.com/in/ayush-agarwal-73066721/overlay/contact-info/?lipi=urn%3Ali%3Apage%3Ad_flagship3_profile_view_base%3BLfgK7N3KQbmuyhaIBWXu%2Fw%3D%3D" TargetMode="External"/><Relationship Id="rId81" Type="http://schemas.openxmlformats.org/officeDocument/2006/relationships/hyperlink" Target="https://www.linkedin.com/in/ankitkumardelhi/" TargetMode="External"/><Relationship Id="rId73" Type="http://schemas.openxmlformats.org/officeDocument/2006/relationships/hyperlink" Target="https://www.linkedin.com/in/theharishnarayanan/?originalSubdomain=in" TargetMode="External"/><Relationship Id="rId72" Type="http://schemas.openxmlformats.org/officeDocument/2006/relationships/hyperlink" Target="http://linkedin.com/in/mayank-jain-4989838/" TargetMode="External"/><Relationship Id="rId75" Type="http://schemas.openxmlformats.org/officeDocument/2006/relationships/hyperlink" Target="https://www.linkedin.com/in/harshal-bhoi-2ba0a84b/?originalSubdomain=in" TargetMode="External"/><Relationship Id="rId74" Type="http://schemas.openxmlformats.org/officeDocument/2006/relationships/hyperlink" Target="https://www.linkedin.com/in/kunal-dubey-35b1931b/?originalSubdomain=in" TargetMode="External"/><Relationship Id="rId77" Type="http://schemas.openxmlformats.org/officeDocument/2006/relationships/hyperlink" Target="https://www.linkedin.com/in/shashankmehrotra/" TargetMode="External"/><Relationship Id="rId76" Type="http://schemas.openxmlformats.org/officeDocument/2006/relationships/hyperlink" Target="https://www.linkedin.com/in/sagar-gudekote-337b87120/?originalSubdomain=in" TargetMode="External"/><Relationship Id="rId79" Type="http://schemas.openxmlformats.org/officeDocument/2006/relationships/hyperlink" Target="https://www.linkedin.com/in/hariharanmurali/?originalSubdomain=in" TargetMode="External"/><Relationship Id="rId78" Type="http://schemas.openxmlformats.org/officeDocument/2006/relationships/hyperlink" Target="https://www.linkedin.com/in/amritraj86/?originalSubdomain=in" TargetMode="External"/><Relationship Id="rId71" Type="http://schemas.openxmlformats.org/officeDocument/2006/relationships/hyperlink" Target="https://www.linkedin.com/in/neha-markanda-8192325/?originalSubdomain=in" TargetMode="External"/><Relationship Id="rId70" Type="http://schemas.openxmlformats.org/officeDocument/2006/relationships/hyperlink" Target="https://www.linkedin.com/in/himanshu-bhatta/" TargetMode="External"/><Relationship Id="rId62" Type="http://schemas.openxmlformats.org/officeDocument/2006/relationships/hyperlink" Target="https://www.linkedin.com/in/sai-narayan-9485742/?originalSubdomain=in" TargetMode="External"/><Relationship Id="rId61" Type="http://schemas.openxmlformats.org/officeDocument/2006/relationships/hyperlink" Target="https://www.linkedin.com/in/kush-mehra-3877707/" TargetMode="External"/><Relationship Id="rId64" Type="http://schemas.openxmlformats.org/officeDocument/2006/relationships/hyperlink" Target="https://www.linkedin.com/in/nippun-aneja-16567233/?originalSubdomain=in" TargetMode="External"/><Relationship Id="rId63" Type="http://schemas.openxmlformats.org/officeDocument/2006/relationships/hyperlink" Target="https://www.linkedin.com/in/deepinder-singh-b084484b/" TargetMode="External"/><Relationship Id="rId66" Type="http://schemas.openxmlformats.org/officeDocument/2006/relationships/hyperlink" Target="http://linkedin.com/in/pawandip-singh?originalSubdomain=in" TargetMode="External"/><Relationship Id="rId65" Type="http://schemas.openxmlformats.org/officeDocument/2006/relationships/hyperlink" Target="https://www.linkedin.com/in/vineet-sehgal-8655381/" TargetMode="External"/><Relationship Id="rId68" Type="http://schemas.openxmlformats.org/officeDocument/2006/relationships/hyperlink" Target="https://www.linkedin.com/in/dushyantpanda/?originalSubdomain=in" TargetMode="External"/><Relationship Id="rId67" Type="http://schemas.openxmlformats.org/officeDocument/2006/relationships/hyperlink" Target="https://www.linkedin.com/in/ankitchaturvedi85/?originalSubdomain=in" TargetMode="External"/><Relationship Id="rId60" Type="http://schemas.openxmlformats.org/officeDocument/2006/relationships/hyperlink" Target="https://www.linkedin.com/in/gv-verma/" TargetMode="External"/><Relationship Id="rId69" Type="http://schemas.openxmlformats.org/officeDocument/2006/relationships/hyperlink" Target="https://in.linkedin.com/in/nishant-kedia-78778518" TargetMode="External"/><Relationship Id="rId51" Type="http://schemas.openxmlformats.org/officeDocument/2006/relationships/hyperlink" Target="https://www.linkedin.com/in/raj-rishi-singh-49226a2/?originalSubdomain=in" TargetMode="External"/><Relationship Id="rId50" Type="http://schemas.openxmlformats.org/officeDocument/2006/relationships/hyperlink" Target="https://www.linkedin.com/in/kartikeya-bhandari-3478669/?originalSubdomain=in" TargetMode="External"/><Relationship Id="rId53" Type="http://schemas.openxmlformats.org/officeDocument/2006/relationships/hyperlink" Target="https://www.linkedin.com/in/joanj/" TargetMode="External"/><Relationship Id="rId52" Type="http://schemas.openxmlformats.org/officeDocument/2006/relationships/hyperlink" Target="https://www.linkedin.com/in/manviaggarwal/" TargetMode="External"/><Relationship Id="rId55" Type="http://schemas.openxmlformats.org/officeDocument/2006/relationships/hyperlink" Target="https://www.linkedin.com/in/internetecommerce/?originalSubdomain=in" TargetMode="External"/><Relationship Id="rId54" Type="http://schemas.openxmlformats.org/officeDocument/2006/relationships/hyperlink" Target="https://www.linkedin.com/in/jaskaran-singh-kapany-b6852b8/?originalSubdomain=in" TargetMode="External"/><Relationship Id="rId57" Type="http://schemas.openxmlformats.org/officeDocument/2006/relationships/hyperlink" Target="https://www.linkedin.com/in/saurabh-garg-8876171/?originalSubdomain=in" TargetMode="External"/><Relationship Id="rId56" Type="http://schemas.openxmlformats.org/officeDocument/2006/relationships/hyperlink" Target="https://www.linkedin.com/in/nupurchauhan/" TargetMode="External"/><Relationship Id="rId59" Type="http://schemas.openxmlformats.org/officeDocument/2006/relationships/hyperlink" Target="https://www.linkedin.com/in/amit-gupta-ag/" TargetMode="External"/><Relationship Id="rId58" Type="http://schemas.openxmlformats.org/officeDocument/2006/relationships/hyperlink" Target="https://www.linkedin.com/in/nitin-jain-17b82310/?originalSubdomain=in" TargetMode="External"/><Relationship Id="rId95" Type="http://schemas.openxmlformats.org/officeDocument/2006/relationships/hyperlink" Target="https://www.linkedin.com/in/adarsh-srivastava-902008b1/?originalSubdomain=in" TargetMode="External"/><Relationship Id="rId94" Type="http://schemas.openxmlformats.org/officeDocument/2006/relationships/hyperlink" Target="https://www.linkedin.com/in/vineetsing/" TargetMode="External"/><Relationship Id="rId97" Type="http://schemas.openxmlformats.org/officeDocument/2006/relationships/hyperlink" Target="https://www.linkedin.com/in/amit-kumar-marketing/?original_referer=https%3A%2F%2Fwww%2Egoogle%2Ecom%2F&amp;originalSubdomain=in" TargetMode="External"/><Relationship Id="rId96" Type="http://schemas.openxmlformats.org/officeDocument/2006/relationships/hyperlink" Target="https://www.linkedin.com/in/olemann/?originalSubdomain=in" TargetMode="External"/><Relationship Id="rId99" Type="http://schemas.openxmlformats.org/officeDocument/2006/relationships/hyperlink" Target="https://www.linkedin.com/in/apurv-narang-43585856/?originalSubdomain=in" TargetMode="External"/><Relationship Id="rId98" Type="http://schemas.openxmlformats.org/officeDocument/2006/relationships/hyperlink" Target="https://www.linkedin.com/in/aparnamahesh/?originalSubdomain=in" TargetMode="External"/><Relationship Id="rId91" Type="http://schemas.openxmlformats.org/officeDocument/2006/relationships/hyperlink" Target="https://www.linkedin.com/in/vanda-ferrao-52368a5/?originalSubdomain=in" TargetMode="External"/><Relationship Id="rId90" Type="http://schemas.openxmlformats.org/officeDocument/2006/relationships/hyperlink" Target="https://www.linkedin.com/in/sazal-batra-818a5271/" TargetMode="External"/><Relationship Id="rId93" Type="http://schemas.openxmlformats.org/officeDocument/2006/relationships/hyperlink" Target="https://www.linkedin.com/in/vedam-ramprasad-95124736/?originalSubdomain=in" TargetMode="External"/><Relationship Id="rId92" Type="http://schemas.openxmlformats.org/officeDocument/2006/relationships/hyperlink" Target="https://www.linkedin.com/in/varunjha1/overlay/contact-info/?lipi=urn%3Ali%3Apage%3Ad_flagship3_profile_view_base%3BJyYJdBiYTNiH7WNj1%2BIEHg%3D%3D" TargetMode="External"/><Relationship Id="rId228" Type="http://schemas.openxmlformats.org/officeDocument/2006/relationships/hyperlink" Target="https://www.linkedin.com/in/pushp-raj-singh-4103a013/" TargetMode="External"/><Relationship Id="rId227" Type="http://schemas.openxmlformats.org/officeDocument/2006/relationships/hyperlink" Target="https://www.linkedin.com/in/ajaymdang/?originalSubdomain=in" TargetMode="External"/><Relationship Id="rId226" Type="http://schemas.openxmlformats.org/officeDocument/2006/relationships/hyperlink" Target="https://www.linkedin.com/in/devotosh-kumar-das/" TargetMode="External"/><Relationship Id="rId225" Type="http://schemas.openxmlformats.org/officeDocument/2006/relationships/hyperlink" Target="https://www.linkedin.com/in/tarun-jha-2823161b/" TargetMode="External"/><Relationship Id="rId229" Type="http://schemas.openxmlformats.org/officeDocument/2006/relationships/hyperlink" Target="https://www.linkedin.com/in/parthasarathy-ramanujam-7b814349/" TargetMode="External"/><Relationship Id="rId220" Type="http://schemas.openxmlformats.org/officeDocument/2006/relationships/hyperlink" Target="https://www.linkedin.com/in/snehit-ashok-joshi-1ba0875b/" TargetMode="External"/><Relationship Id="rId224" Type="http://schemas.openxmlformats.org/officeDocument/2006/relationships/hyperlink" Target="https://www.linkedin.com/in/satyajit-maity-617980b/" TargetMode="External"/><Relationship Id="rId223" Type="http://schemas.openxmlformats.org/officeDocument/2006/relationships/hyperlink" Target="https://www.screener.in/screens/599148/companies-by-market-cap/?utm_source=chatgpt.com" TargetMode="External"/><Relationship Id="rId222" Type="http://schemas.openxmlformats.org/officeDocument/2006/relationships/hyperlink" Target="https://en.wikipedia.org/wiki/Category%3APharmaceutical_companies_of_India?utm_source=chatgpt.com" TargetMode="External"/><Relationship Id="rId221" Type="http://schemas.openxmlformats.org/officeDocument/2006/relationships/hyperlink" Target="http://linkedin.com/in/nishant-kumar-99240b3a/" TargetMode="External"/><Relationship Id="rId217" Type="http://schemas.openxmlformats.org/officeDocument/2006/relationships/hyperlink" Target="https://www.linkedin.com/in/nagbhushan-rao-41670215/" TargetMode="External"/><Relationship Id="rId216" Type="http://schemas.openxmlformats.org/officeDocument/2006/relationships/hyperlink" Target="https://www.linkedin.com/in/saurabhnarain007/" TargetMode="External"/><Relationship Id="rId215" Type="http://schemas.openxmlformats.org/officeDocument/2006/relationships/hyperlink" Target="https://www.linkedin.com/in/debashis-sarkar-416b2713/" TargetMode="External"/><Relationship Id="rId214" Type="http://schemas.openxmlformats.org/officeDocument/2006/relationships/hyperlink" Target="https://www.linkedin.com/in/supratiksengupta/" TargetMode="External"/><Relationship Id="rId219" Type="http://schemas.openxmlformats.org/officeDocument/2006/relationships/hyperlink" Target="https://www.linkedin.com/in/parimol-balsaraf-47277321/" TargetMode="External"/><Relationship Id="rId218" Type="http://schemas.openxmlformats.org/officeDocument/2006/relationships/hyperlink" Target="https://www.linkedin.com/in/aman-mehta-25170960/" TargetMode="External"/><Relationship Id="rId213" Type="http://schemas.openxmlformats.org/officeDocument/2006/relationships/hyperlink" Target="https://www.linkedin.com/in/narendra-choudhari-1a97231a/?originalSubdomain=in" TargetMode="External"/><Relationship Id="rId212" Type="http://schemas.openxmlformats.org/officeDocument/2006/relationships/hyperlink" Target="https://en.wikipedia.org/wiki/Category%3APharmaceutical_companies_of_India?utm_source=chatgpt.com" TargetMode="External"/><Relationship Id="rId211" Type="http://schemas.openxmlformats.org/officeDocument/2006/relationships/hyperlink" Target="https://www.tickertape.in/stocks/collections/top-10-companies-in-india?utm_source=chatgpt.com" TargetMode="External"/><Relationship Id="rId210" Type="http://schemas.openxmlformats.org/officeDocument/2006/relationships/hyperlink" Target="https://timesofindia.indiatimes.com/city/vadodara/amul-ranked-worlds-number-1-cooperative-iffco-second/articleshow/125093504.cms?utm_source=chatgpt.com" TargetMode="External"/><Relationship Id="rId236" Type="http://schemas.openxmlformats.org/officeDocument/2006/relationships/drawing" Target="../drawings/drawing11.xml"/><Relationship Id="rId231" Type="http://schemas.openxmlformats.org/officeDocument/2006/relationships/hyperlink" Target="https://www.linkedin.com/in/jagdish-nainwal-48382815/" TargetMode="External"/><Relationship Id="rId230" Type="http://schemas.openxmlformats.org/officeDocument/2006/relationships/hyperlink" Target="https://www.linkedin.com/in/shailendra-deshpande-8447517/" TargetMode="External"/><Relationship Id="rId235" Type="http://schemas.openxmlformats.org/officeDocument/2006/relationships/hyperlink" Target="https://companiesmarketcap.com/inr/india/largest-companies-in-india-by-market-cap/?utm_source=chatgpt.com" TargetMode="External"/><Relationship Id="rId234" Type="http://schemas.openxmlformats.org/officeDocument/2006/relationships/hyperlink" Target="https://www.linkedin.com/in/abhimanyu-roy-5983b914/" TargetMode="External"/><Relationship Id="rId233" Type="http://schemas.openxmlformats.org/officeDocument/2006/relationships/hyperlink" Target="http://linkedin.com/in/nitin-kore-b30214338/" TargetMode="External"/><Relationship Id="rId232" Type="http://schemas.openxmlformats.org/officeDocument/2006/relationships/hyperlink" Target="https://www.linkedin.com/in/sandeep-tanwani-771797/?originalSubdomain=in" TargetMode="External"/><Relationship Id="rId206" Type="http://schemas.openxmlformats.org/officeDocument/2006/relationships/hyperlink" Target="https://www.linkedin.com/in/somasreebose/" TargetMode="External"/><Relationship Id="rId205" Type="http://schemas.openxmlformats.org/officeDocument/2006/relationships/hyperlink" Target="https://www.linkedin.com/in/azmat-habibulla62765911/" TargetMode="External"/><Relationship Id="rId204" Type="http://schemas.openxmlformats.org/officeDocument/2006/relationships/hyperlink" Target="https://www.linkedin.com/in/vijay-anandh-888a9612/" TargetMode="External"/><Relationship Id="rId203" Type="http://schemas.openxmlformats.org/officeDocument/2006/relationships/hyperlink" Target="https://www.linkedin.com/in/abhijitsomvanshi/" TargetMode="External"/><Relationship Id="rId209" Type="http://schemas.openxmlformats.org/officeDocument/2006/relationships/hyperlink" Target="https://www.linkedin.com/in/mayank-pravinchandra-shah-bb38a61b/" TargetMode="External"/><Relationship Id="rId208" Type="http://schemas.openxmlformats.org/officeDocument/2006/relationships/hyperlink" Target="https://www.linkedin.com/in/siddharth-gupta-65609214/" TargetMode="External"/><Relationship Id="rId207" Type="http://schemas.openxmlformats.org/officeDocument/2006/relationships/hyperlink" Target="https://www.linkedin.com/in/soumyajit-mukherjee-9771b827/" TargetMode="External"/><Relationship Id="rId202" Type="http://schemas.openxmlformats.org/officeDocument/2006/relationships/hyperlink" Target="https://www.linkedin.com/in/prasann-shrivastava-6396b3b/" TargetMode="External"/><Relationship Id="rId201" Type="http://schemas.openxmlformats.org/officeDocument/2006/relationships/hyperlink" Target="https://www.linkedin.com/in/shreepadshende/" TargetMode="External"/><Relationship Id="rId200" Type="http://schemas.openxmlformats.org/officeDocument/2006/relationships/hyperlink" Target="http://linkedin.com/in/mvsmurthy/" TargetMode="External"/><Relationship Id="rId190" Type="http://schemas.openxmlformats.org/officeDocument/2006/relationships/hyperlink" Target="https://www.linkedin.com/in/r-venkatesh-77696840/overlay/about-this-profile/" TargetMode="External"/><Relationship Id="rId194" Type="http://schemas.openxmlformats.org/officeDocument/2006/relationships/hyperlink" Target="https://www.linkedin.com/in/girishhingorani/overlay/about-this-profile/" TargetMode="External"/><Relationship Id="rId193" Type="http://schemas.openxmlformats.org/officeDocument/2006/relationships/hyperlink" Target="https://www.linkedin.com/in/jaylaxmigrowthislife/overlay/about-this-profile/" TargetMode="External"/><Relationship Id="rId192" Type="http://schemas.openxmlformats.org/officeDocument/2006/relationships/hyperlink" Target="https://www.linkedin.com/in/shravanbhumkar/overlay/about-this-profile/" TargetMode="External"/><Relationship Id="rId191" Type="http://schemas.openxmlformats.org/officeDocument/2006/relationships/hyperlink" Target="https://www.linkedin.com/in/sarvesh-dayal-b841029/overlay/about-this-profile/" TargetMode="External"/><Relationship Id="rId187" Type="http://schemas.openxmlformats.org/officeDocument/2006/relationships/hyperlink" Target="https://www.linkedin.com/in/sarita-prakash-b040771b/overlay/about-this-profile/" TargetMode="External"/><Relationship Id="rId186" Type="http://schemas.openxmlformats.org/officeDocument/2006/relationships/hyperlink" Target="https://www.linkedin.com/in/uttio-majumdar-b00b6011a/overlay/about-this-profile/" TargetMode="External"/><Relationship Id="rId185" Type="http://schemas.openxmlformats.org/officeDocument/2006/relationships/hyperlink" Target="https://www.linkedin.com/in/rajesh-jindal-1b70498/overlay/about-this-profile/" TargetMode="External"/><Relationship Id="rId184" Type="http://schemas.openxmlformats.org/officeDocument/2006/relationships/hyperlink" Target="https://www.linkedin.com/in/rajender-dagar-a28aa412/overlay/about-this-profile/" TargetMode="External"/><Relationship Id="rId189" Type="http://schemas.openxmlformats.org/officeDocument/2006/relationships/hyperlink" Target="https://www.linkedin.com/in/malikmukul/overlay/about-this-profile/" TargetMode="External"/><Relationship Id="rId188" Type="http://schemas.openxmlformats.org/officeDocument/2006/relationships/hyperlink" Target="https://www.linkedin.com/in/krishnan-ramanujan-7246936/overlay/about-this-profile/" TargetMode="External"/><Relationship Id="rId183" Type="http://schemas.openxmlformats.org/officeDocument/2006/relationships/hyperlink" Target="https://www.linkedin.com/in/amitgujral/overlay/about-this-profile/" TargetMode="External"/><Relationship Id="rId182" Type="http://schemas.openxmlformats.org/officeDocument/2006/relationships/hyperlink" Target="https://www.linkedin.com/in/lakshmi-narayanan-b-987a2a5/overlay/about-this-profile/" TargetMode="External"/><Relationship Id="rId181" Type="http://schemas.openxmlformats.org/officeDocument/2006/relationships/hyperlink" Target="https://www.linkedin.com/in/dushyants/overlay/about-this-profile/" TargetMode="External"/><Relationship Id="rId180" Type="http://schemas.openxmlformats.org/officeDocument/2006/relationships/hyperlink" Target="https://www.linkedin.com/in/prashant-kumar-a0a51a13a/overlay/about-this-profile/" TargetMode="External"/><Relationship Id="rId176" Type="http://schemas.openxmlformats.org/officeDocument/2006/relationships/hyperlink" Target="https://www.linkedin.com/in/rajeshrajmani/?originalSubdomain=in" TargetMode="External"/><Relationship Id="rId175" Type="http://schemas.openxmlformats.org/officeDocument/2006/relationships/hyperlink" Target="https://www.linkedin.com/in/rajeshrajmani/overlay/about-this-profile/" TargetMode="External"/><Relationship Id="rId174" Type="http://schemas.openxmlformats.org/officeDocument/2006/relationships/hyperlink" Target="https://www.linkedin.com/in/rajan-babu-91852447/" TargetMode="External"/><Relationship Id="rId173" Type="http://schemas.openxmlformats.org/officeDocument/2006/relationships/hyperlink" Target="https://www.linkedin.com/in/shaktiu/" TargetMode="External"/><Relationship Id="rId179" Type="http://schemas.openxmlformats.org/officeDocument/2006/relationships/hyperlink" Target="https://www.linkedin.com/in/nidhi-nagpal-75914819/overlay/about-this-profile/" TargetMode="External"/><Relationship Id="rId178" Type="http://schemas.openxmlformats.org/officeDocument/2006/relationships/hyperlink" Target="https://www.linkedin.com/in/kshitij-saxena-6787349/overlay/about-this-profile/" TargetMode="External"/><Relationship Id="rId177" Type="http://schemas.openxmlformats.org/officeDocument/2006/relationships/hyperlink" Target="https://www.linkedin.com/in/yadvinder-singh-guleria-20b55a38/overlay/about-this-profile/" TargetMode="External"/><Relationship Id="rId198" Type="http://schemas.openxmlformats.org/officeDocument/2006/relationships/hyperlink" Target="https://www.linkedin.com/in/sheranmehra/" TargetMode="External"/><Relationship Id="rId197" Type="http://schemas.openxmlformats.org/officeDocument/2006/relationships/hyperlink" Target="https://www.linkedin.com/in/rahul-jaiswal-2504b121/" TargetMode="External"/><Relationship Id="rId196" Type="http://schemas.openxmlformats.org/officeDocument/2006/relationships/hyperlink" Target="https://www.linkedin.com/in/piyush-pathak-35465b27/" TargetMode="External"/><Relationship Id="rId195" Type="http://schemas.openxmlformats.org/officeDocument/2006/relationships/hyperlink" Target="mailto:gbh1984@gmail.com" TargetMode="External"/><Relationship Id="rId199" Type="http://schemas.openxmlformats.org/officeDocument/2006/relationships/hyperlink" Target="https://www.linkedin.com/in/nipun-kaushal-4818039/" TargetMode="External"/><Relationship Id="rId150" Type="http://schemas.openxmlformats.org/officeDocument/2006/relationships/hyperlink" Target="https://www.linkedin.com/in/mohitkochar/" TargetMode="External"/><Relationship Id="rId149" Type="http://schemas.openxmlformats.org/officeDocument/2006/relationships/hyperlink" Target="https://www.linkedin.com/in/milindpathak/" TargetMode="External"/><Relationship Id="rId148" Type="http://schemas.openxmlformats.org/officeDocument/2006/relationships/hyperlink" Target="https://www.linkedin.com/in/mansi-saxena-07610b1ab/" TargetMode="External"/><Relationship Id="rId143" Type="http://schemas.openxmlformats.org/officeDocument/2006/relationships/hyperlink" Target="https://www.linkedin.com/in/harshita-kushwaha28/" TargetMode="External"/><Relationship Id="rId142" Type="http://schemas.openxmlformats.org/officeDocument/2006/relationships/hyperlink" Target="https://www.linkedin.com/in/harshita-kushwaha28?miniProfileUrn=urn%3Ali%3Afs_miniProfile%3AACoAACEXHiUBMR2S_oqzwljc4T-zdD6wBvqXExY" TargetMode="External"/><Relationship Id="rId141" Type="http://schemas.openxmlformats.org/officeDocument/2006/relationships/hyperlink" Target="https://www.linkedin.com/in/kiranveigas/" TargetMode="External"/><Relationship Id="rId140" Type="http://schemas.openxmlformats.org/officeDocument/2006/relationships/hyperlink" Target="http://linkedin.com/in/debal-dutt-52446393/" TargetMode="External"/><Relationship Id="rId147" Type="http://schemas.openxmlformats.org/officeDocument/2006/relationships/hyperlink" Target="https://www.linkedin.com/in/jennifer-cruz-508272107/" TargetMode="External"/><Relationship Id="rId146" Type="http://schemas.openxmlformats.org/officeDocument/2006/relationships/hyperlink" Target="https://www.linkedin.com/in/jaydeeps/?originalSubdomain=in" TargetMode="External"/><Relationship Id="rId145" Type="http://schemas.openxmlformats.org/officeDocument/2006/relationships/hyperlink" Target="https://www.linkedin.com/in/jayati-singh-b3b5572/" TargetMode="External"/><Relationship Id="rId144" Type="http://schemas.openxmlformats.org/officeDocument/2006/relationships/hyperlink" Target="https://www.linkedin.com/in/hkbhardwaj/" TargetMode="External"/><Relationship Id="rId139" Type="http://schemas.openxmlformats.org/officeDocument/2006/relationships/hyperlink" Target="https://www.linkedin.com/in/anuradha-sehgal-ba287b2?miniProfileUrn=urn%3Ali%3Afs_miniProfile%3AACoAAAB8B-oBXbswvUoKW6y83-NZu-77_ddxOfA" TargetMode="External"/><Relationship Id="rId138" Type="http://schemas.openxmlformats.org/officeDocument/2006/relationships/hyperlink" Target="https://www.linkedin.com/in/sehgalanshul/overlay/contact-info/?lipi=urn%3Ali%3Apage%3Ad_flagship3_profile_view_base%3B1WTU0xceQr%2BSjxXgunGvHQ%3D%3D" TargetMode="External"/><Relationship Id="rId137" Type="http://schemas.openxmlformats.org/officeDocument/2006/relationships/hyperlink" Target="https://www.linkedin.com/in/adityanmktng/overlay/contact-info/?lipi=urn%3Ali%3Apage%3Ad_flagship3_profile_view_base%3ByOGJn2JlS4C1izXgA6Y1QQ%3D%3D" TargetMode="External"/><Relationship Id="rId132" Type="http://schemas.openxmlformats.org/officeDocument/2006/relationships/hyperlink" Target="https://www.linkedin.com/in/charandeeptvscredit/" TargetMode="External"/><Relationship Id="rId131" Type="http://schemas.openxmlformats.org/officeDocument/2006/relationships/hyperlink" Target="https://www.linkedin.com/in/sumeet-das-3329b1121/" TargetMode="External"/><Relationship Id="rId130" Type="http://schemas.openxmlformats.org/officeDocument/2006/relationships/hyperlink" Target="https://www.linkedin.com/in/sunil-jain-8b385175/" TargetMode="External"/><Relationship Id="rId136" Type="http://schemas.openxmlformats.org/officeDocument/2006/relationships/hyperlink" Target="https://www.linkedin.com/in/abkumar/?originalSubdomain=be" TargetMode="External"/><Relationship Id="rId135" Type="http://schemas.openxmlformats.org/officeDocument/2006/relationships/hyperlink" Target="https://www.linkedin.com/in/sanjiv-dheer-3a54b337/" TargetMode="External"/><Relationship Id="rId134" Type="http://schemas.openxmlformats.org/officeDocument/2006/relationships/hyperlink" Target="https://www.linkedin.com/in/rohit-sharma-527b722/" TargetMode="External"/><Relationship Id="rId133" Type="http://schemas.openxmlformats.org/officeDocument/2006/relationships/hyperlink" Target="https://www.linkedin.com/in/parthasarathy-ramanujam-7b814349/" TargetMode="External"/><Relationship Id="rId172" Type="http://schemas.openxmlformats.org/officeDocument/2006/relationships/hyperlink" Target="https://www.linkedin.com/in/rohit-sharma-527b722/" TargetMode="External"/><Relationship Id="rId171" Type="http://schemas.openxmlformats.org/officeDocument/2006/relationships/hyperlink" Target="https://www.linkedin.com/in/veda-iyer-8b706329?miniProfileUrn=urn%3Ali%3Afs_miniProfile%3AACoAAAXhj0sB9C8-PlFS_hLWGECWMKH2jAMo3zc" TargetMode="External"/><Relationship Id="rId170" Type="http://schemas.openxmlformats.org/officeDocument/2006/relationships/hyperlink" Target="https://www.linkedin.com/in/utkarshsrivastav?miniProfileUrn=urn%3Ali%3Afs_miniProfile%3AACoAAAELTDwB03tKbwsqPuYrD6iKHw6wUcCIgsc" TargetMode="External"/><Relationship Id="rId165" Type="http://schemas.openxmlformats.org/officeDocument/2006/relationships/hyperlink" Target="https://www.linkedin.com/in/tripathisudhanshu/" TargetMode="External"/><Relationship Id="rId164" Type="http://schemas.openxmlformats.org/officeDocument/2006/relationships/hyperlink" Target="https://www.linkedin.com/in/shuvadip-banerjee-1667725/" TargetMode="External"/><Relationship Id="rId163" Type="http://schemas.openxmlformats.org/officeDocument/2006/relationships/hyperlink" Target="https://www.linkedin.com/in/shimona-chadha-7879288/" TargetMode="External"/><Relationship Id="rId162" Type="http://schemas.openxmlformats.org/officeDocument/2006/relationships/hyperlink" Target="https://www.linkedin.com/in/kevan-anand/overlay/about-this-profile/" TargetMode="External"/><Relationship Id="rId169" Type="http://schemas.openxmlformats.org/officeDocument/2006/relationships/hyperlink" Target="https://www.linkedin.com/in/tarun-devasia-2483074/" TargetMode="External"/><Relationship Id="rId168" Type="http://schemas.openxmlformats.org/officeDocument/2006/relationships/hyperlink" Target="https://www.linkedin.com/in/virmanisumit/" TargetMode="External"/><Relationship Id="rId167" Type="http://schemas.openxmlformats.org/officeDocument/2006/relationships/hyperlink" Target="https://www.linkedin.com/in/sumitdave/" TargetMode="External"/><Relationship Id="rId166" Type="http://schemas.openxmlformats.org/officeDocument/2006/relationships/hyperlink" Target="https://www.linkedin.com/in/sujit-ganguli-9072a3a/" TargetMode="External"/><Relationship Id="rId161" Type="http://schemas.openxmlformats.org/officeDocument/2006/relationships/hyperlink" Target="https://www.linkedin.com/in/samirbagga/" TargetMode="External"/><Relationship Id="rId160" Type="http://schemas.openxmlformats.org/officeDocument/2006/relationships/hyperlink" Target="https://www.linkedin.com/in/runkigoswami/" TargetMode="External"/><Relationship Id="rId159" Type="http://schemas.openxmlformats.org/officeDocument/2006/relationships/hyperlink" Target="https://www.linkedin.com/in/rekha-sahay-3aa6961/" TargetMode="External"/><Relationship Id="rId154" Type="http://schemas.openxmlformats.org/officeDocument/2006/relationships/hyperlink" Target="https://www.linkedin.com/in/nitin-22by7?miniProfileUrn=urn%3Ali%3Afs_miniProfile%3AACoAAAA76AoBb-BHKp-6whrL17geD7flLNecVZw" TargetMode="External"/><Relationship Id="rId153" Type="http://schemas.openxmlformats.org/officeDocument/2006/relationships/hyperlink" Target="https://www.linkedin.com/in/nidhialexander/" TargetMode="External"/><Relationship Id="rId152" Type="http://schemas.openxmlformats.org/officeDocument/2006/relationships/hyperlink" Target="https://www.linkedin.com/in/neha-kathuria?miniProfileUrn=urn%3Ali%3Afs_miniProfile%3AACoAAAD2vwEBcdKIQ5YQzkMcXOqSxkWGasxP2t0" TargetMode="External"/><Relationship Id="rId151" Type="http://schemas.openxmlformats.org/officeDocument/2006/relationships/hyperlink" Target="https://www.linkedin.com/in/muskan-singh/" TargetMode="External"/><Relationship Id="rId158" Type="http://schemas.openxmlformats.org/officeDocument/2006/relationships/hyperlink" Target="https://www.linkedin.com/in/ravi-santhanam-089b065/" TargetMode="External"/><Relationship Id="rId157" Type="http://schemas.openxmlformats.org/officeDocument/2006/relationships/hyperlink" Target="https://www.linkedin.com/in/ranjita-ghosh-24137120/" TargetMode="External"/><Relationship Id="rId156" Type="http://schemas.openxmlformats.org/officeDocument/2006/relationships/hyperlink" Target="https://www.linkedin.com/in/pratip-francis-82ab537/?originalSubdomain=in" TargetMode="External"/><Relationship Id="rId155" Type="http://schemas.openxmlformats.org/officeDocument/2006/relationships/hyperlink" Target="https://www.linkedin.com/in/prafulg/" TargetMode="External"/><Relationship Id="rId107" Type="http://schemas.openxmlformats.org/officeDocument/2006/relationships/hyperlink" Target="https://www.linkedin.com/in/muditsingh5000/?originalSubdomain=in" TargetMode="External"/><Relationship Id="rId106" Type="http://schemas.openxmlformats.org/officeDocument/2006/relationships/hyperlink" Target="https://www.linkedin.com/in/monikamishra/?originalSubdomain=in" TargetMode="External"/><Relationship Id="rId105" Type="http://schemas.openxmlformats.org/officeDocument/2006/relationships/hyperlink" Target="https://www.linkedin.com/in/mayankdrolia/?originalSubdomain=in" TargetMode="External"/><Relationship Id="rId104" Type="http://schemas.openxmlformats.org/officeDocument/2006/relationships/hyperlink" Target="https://www.linkedin.com/in/ishanbose31/?originalSubdomain=in" TargetMode="External"/><Relationship Id="rId109" Type="http://schemas.openxmlformats.org/officeDocument/2006/relationships/hyperlink" Target="https://www.linkedin.com/in/nimisha-bhagwat-8465704/?originalSubdomain=in" TargetMode="External"/><Relationship Id="rId108" Type="http://schemas.openxmlformats.org/officeDocument/2006/relationships/hyperlink" Target="https://www.linkedin.com/in/neerajkumar10/?originalSubdomain=in" TargetMode="External"/><Relationship Id="rId103" Type="http://schemas.openxmlformats.org/officeDocument/2006/relationships/hyperlink" Target="https://www.linkedin.com/in/harita-desai-jani-0272716/?originalSubdomain=in" TargetMode="External"/><Relationship Id="rId102" Type="http://schemas.openxmlformats.org/officeDocument/2006/relationships/hyperlink" Target="https://www.linkedin.com/in/ashwinsl/?originalSubdomain=in" TargetMode="External"/><Relationship Id="rId101" Type="http://schemas.openxmlformats.org/officeDocument/2006/relationships/hyperlink" Target="https://www.linkedin.com/in/ashishbits/?originalSubdomain=in" TargetMode="External"/><Relationship Id="rId100" Type="http://schemas.openxmlformats.org/officeDocument/2006/relationships/hyperlink" Target="https://www.linkedin.com/in/arati-parashar/?originalSubdomain=in" TargetMode="External"/><Relationship Id="rId129" Type="http://schemas.openxmlformats.org/officeDocument/2006/relationships/hyperlink" Target="https://www.linkedin.com/in/aroopchatterjee/" TargetMode="External"/><Relationship Id="rId128" Type="http://schemas.openxmlformats.org/officeDocument/2006/relationships/hyperlink" Target="https://www.linkedin.com/in/tanyadubash/" TargetMode="External"/><Relationship Id="rId127" Type="http://schemas.openxmlformats.org/officeDocument/2006/relationships/hyperlink" Target="https://www.linkedin.com/in/sanjay-sawhney-b55b1558/" TargetMode="External"/><Relationship Id="rId126" Type="http://schemas.openxmlformats.org/officeDocument/2006/relationships/hyperlink" Target="https://www.linkedin.com/in/dr-mohammad-kapasi-7b95b1252/" TargetMode="External"/><Relationship Id="rId121" Type="http://schemas.openxmlformats.org/officeDocument/2006/relationships/hyperlink" Target="https://www.linkedin.com/in/supriyagoswami/" TargetMode="External"/><Relationship Id="rId120" Type="http://schemas.openxmlformats.org/officeDocument/2006/relationships/hyperlink" Target="https://www.linkedin.com/in/smitha-rao-461621138/?originalSubdomain=in" TargetMode="External"/><Relationship Id="rId125" Type="http://schemas.openxmlformats.org/officeDocument/2006/relationships/hyperlink" Target="https://www.linkedin.com/in/inderpreet-singh-2900605/" TargetMode="External"/><Relationship Id="rId124" Type="http://schemas.openxmlformats.org/officeDocument/2006/relationships/hyperlink" Target="https://www.linkedin.com/in/-yashdeepsingh/?originalSubdomain=in" TargetMode="External"/><Relationship Id="rId123" Type="http://schemas.openxmlformats.org/officeDocument/2006/relationships/hyperlink" Target="https://www.linkedin.com/in/ism555/?originalSubdomain=in" TargetMode="External"/><Relationship Id="rId122" Type="http://schemas.openxmlformats.org/officeDocument/2006/relationships/hyperlink" Target="https://www.linkedin.com/in/uditagarwal/?originalSubdomain=in" TargetMode="External"/><Relationship Id="rId118" Type="http://schemas.openxmlformats.org/officeDocument/2006/relationships/hyperlink" Target="https://www.linkedin.com/in/savijeetsingh/?originalSubdomain=in" TargetMode="External"/><Relationship Id="rId117" Type="http://schemas.openxmlformats.org/officeDocument/2006/relationships/hyperlink" Target="https://www.linkedin.com/in/saunakghosh/?originalSubdomain=in" TargetMode="External"/><Relationship Id="rId116" Type="http://schemas.openxmlformats.org/officeDocument/2006/relationships/hyperlink" Target="https://www.linkedin.com/in/roopalikagalwala/?originalSubdomain=in" TargetMode="External"/><Relationship Id="rId115" Type="http://schemas.openxmlformats.org/officeDocument/2006/relationships/hyperlink" Target="https://www.linkedin.com/in/resha-jain-4864007/?originalSubdomain=in" TargetMode="External"/><Relationship Id="rId119" Type="http://schemas.openxmlformats.org/officeDocument/2006/relationships/hyperlink" Target="https://www.linkedin.com/in/shwetha811/?originalSubdomain=in" TargetMode="External"/><Relationship Id="rId110" Type="http://schemas.openxmlformats.org/officeDocument/2006/relationships/hyperlink" Target="https://www.linkedin.com/in/praful-ranjan-83784313/?originalSubdomain=in" TargetMode="External"/><Relationship Id="rId114" Type="http://schemas.openxmlformats.org/officeDocument/2006/relationships/hyperlink" Target="https://www.linkedin.com/in/ram-deshpande-ramd316/?originalSubdomain=in" TargetMode="External"/><Relationship Id="rId113" Type="http://schemas.openxmlformats.org/officeDocument/2006/relationships/hyperlink" Target="https://www.linkedin.com/in/prasanth-naidu-9b05a638/?originalSubdomain=in" TargetMode="External"/><Relationship Id="rId112" Type="http://schemas.openxmlformats.org/officeDocument/2006/relationships/hyperlink" Target="https://www.linkedin.com/in/pranavkumar88/?originalSubdomain=in" TargetMode="External"/><Relationship Id="rId111" Type="http://schemas.openxmlformats.org/officeDocument/2006/relationships/hyperlink" Target="https://www.linkedin.com/in/prajeesh-vijayan-b68a5015/?originalSubdomain=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1.75"/>
    <col customWidth="1" min="3" max="3" width="19.75"/>
    <col customWidth="1" min="4" max="4" width="53.63"/>
    <col customWidth="1" min="5" max="5" width="28.0"/>
    <col customWidth="1" min="6" max="6" width="50.13"/>
  </cols>
  <sheetData>
    <row r="1">
      <c r="A1" s="3" t="s">
        <v>0</v>
      </c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</row>
    <row r="2">
      <c r="A2" s="17" t="str">
        <f>IFERROR(__xludf.DUMMYFUNCTION("QUERY({'Entrepreneurship Unicorns (Sany'!A1:H7712; 'Entrepreneurship Soonicorn (Sum'!A1:H7712; 'Corporate (Ashish, Tanmay, Arus'!A1:H7712; 'Product (Yash Agrawal, Yash Gup'!A1:H7712; 'Technology (Kamlesh, Ehina)'!A1:H7712; 'SnS (Yash Agrawal, Kamlesh)'!A1"&amp;":H7712; 'Finance(Soumili, Hitankar)'!A1:H7712; 'Marketing (Ashish)'!A1:H7712}, ""SELECT * WHERE Col1 IS NOT NULL"", 0)"),"Company name ")</f>
        <v>Company name </v>
      </c>
      <c r="B2" s="17" t="str">
        <f>IFERROR(__xludf.DUMMYFUNCTION("""COMPUTED_VALUE"""),"Name")</f>
        <v>Name</v>
      </c>
      <c r="C2" s="17" t="str">
        <f>IFERROR(__xludf.DUMMYFUNCTION("""COMPUTED_VALUE"""),"Associate - Human Resources at Eruditus Executive Education || HR Operations")</f>
        <v>Associate - Human Resources at Eruditus Executive Education || HR Operations</v>
      </c>
      <c r="D2" s="17" t="str">
        <f>IFERROR(__xludf.DUMMYFUNCTION("""COMPUTED_VALUE"""),"Linkedin ID")</f>
        <v>Linkedin ID</v>
      </c>
      <c r="E2" s="17" t="str">
        <f>IFERROR(__xludf.DUMMYFUNCTION("""COMPUTED_VALUE"""),"Contact No.")</f>
        <v>Contact No.</v>
      </c>
      <c r="F2" s="17" t="str">
        <f>IFERROR(__xludf.DUMMYFUNCTION("""COMPUTED_VALUE"""),"Email")</f>
        <v>Email</v>
      </c>
      <c r="G2" s="17"/>
      <c r="H2" s="17"/>
    </row>
    <row r="3">
      <c r="A3" s="17" t="str">
        <f>IFERROR(__xludf.DUMMYFUNCTION("""COMPUTED_VALUE"""),"Zomato")</f>
        <v>Zomato</v>
      </c>
      <c r="B3" s="17" t="str">
        <f>IFERROR(__xludf.DUMMYFUNCTION("""COMPUTED_VALUE"""),"Deepinder")</f>
        <v>Deepinder</v>
      </c>
      <c r="C3" s="17" t="str">
        <f>IFERROR(__xludf.DUMMYFUNCTION("""COMPUTED_VALUE"""),"Founder &amp; CEO ")</f>
        <v>Founder &amp; CEO </v>
      </c>
      <c r="D3" s="27" t="str">
        <f>IFERROR(__xludf.DUMMYFUNCTION("""COMPUTED_VALUE"""),"https://www.linkedin.com/in/deepigoyal/")</f>
        <v>https://www.linkedin.com/in/deepigoyal/</v>
      </c>
      <c r="E3" s="17" t="str">
        <f>IFERROR(__xludf.DUMMYFUNCTION("""COMPUTED_VALUE"""),"8826055550")</f>
        <v>8826055550</v>
      </c>
      <c r="F3" s="17" t="str">
        <f>IFERROR(__xludf.DUMMYFUNCTION("""COMPUTED_VALUE"""),"deepinder@eternal.com")</f>
        <v>deepinder@eternal.com</v>
      </c>
      <c r="G3" s="17"/>
      <c r="H3" s="17"/>
    </row>
    <row r="4">
      <c r="A4" s="17" t="str">
        <f>IFERROR(__xludf.DUMMYFUNCTION("""COMPUTED_VALUE"""),"swiggy ")</f>
        <v>swiggy </v>
      </c>
      <c r="B4" s="17" t="str">
        <f>IFERROR(__xludf.DUMMYFUNCTION("""COMPUTED_VALUE"""),"Nandan Reddy")</f>
        <v>Nandan Reddy</v>
      </c>
      <c r="C4" s="17" t="str">
        <f>IFERROR(__xludf.DUMMYFUNCTION("""COMPUTED_VALUE"""),"Co-founder &amp; Director")</f>
        <v>Co-founder &amp; Director</v>
      </c>
      <c r="D4" s="27" t="str">
        <f>IFERROR(__xludf.DUMMYFUNCTION("""COMPUTED_VALUE"""),"https://www.linkedin.com/in/nandan-reddy-1830659/")</f>
        <v>https://www.linkedin.com/in/nandan-reddy-1830659/</v>
      </c>
      <c r="E4" s="17" t="str">
        <f>IFERROR(__xludf.DUMMYFUNCTION("""COMPUTED_VALUE"""),"9972423094")</f>
        <v>9972423094</v>
      </c>
      <c r="F4" s="17" t="str">
        <f>IFERROR(__xludf.DUMMYFUNCTION("""COMPUTED_VALUE"""),"nandan@swiggy.in
nandanreddy17@gmail.com")</f>
        <v>nandan@swiggy.in
nandanreddy17@gmail.com</v>
      </c>
      <c r="G4" s="17"/>
      <c r="H4" s="17"/>
    </row>
    <row r="5">
      <c r="A5" s="17" t="str">
        <f>IFERROR(__xludf.DUMMYFUNCTION("""COMPUTED_VALUE"""),"Swiggy")</f>
        <v>Swiggy</v>
      </c>
      <c r="B5" s="17" t="str">
        <f>IFERROR(__xludf.DUMMYFUNCTION("""COMPUTED_VALUE"""),"Sriharsha Majety")</f>
        <v>Sriharsha Majety</v>
      </c>
      <c r="C5" s="17" t="str">
        <f>IFERROR(__xludf.DUMMYFUNCTION("""COMPUTED_VALUE"""),"Founder &amp; CEO ")</f>
        <v>Founder &amp; CEO </v>
      </c>
      <c r="D5" s="27" t="str">
        <f>IFERROR(__xludf.DUMMYFUNCTION("""COMPUTED_VALUE"""),"https://www.linkedin.com/in/sriharsha-m-563aa217/?utm_source=chatgpt%2Ecom&amp;original_referer=https%3A%2F%2Fchatgpt%2Ecom%2F&amp;originalSubdomain=in")</f>
        <v>https://www.linkedin.com/in/sriharsha-m-563aa217/?utm_source=chatgpt%2Ecom&amp;original_referer=https%3A%2F%2Fchatgpt%2Ecom%2F&amp;originalSubdomain=in</v>
      </c>
      <c r="E5" s="17" t="str">
        <f>IFERROR(__xludf.DUMMYFUNCTION("""COMPUTED_VALUE"""),"7022343326")</f>
        <v>7022343326</v>
      </c>
      <c r="F5" s="17" t="str">
        <f>IFERROR(__xludf.DUMMYFUNCTION("""COMPUTED_VALUE"""),"harsha@swiggy.in")</f>
        <v>harsha@swiggy.in</v>
      </c>
      <c r="G5" s="17"/>
      <c r="H5" s="17"/>
    </row>
    <row r="6">
      <c r="A6" s="17" t="str">
        <f>IFERROR(__xludf.DUMMYFUNCTION("""COMPUTED_VALUE"""),"OYO")</f>
        <v>OYO</v>
      </c>
      <c r="B6" s="17" t="str">
        <f>IFERROR(__xludf.DUMMYFUNCTION("""COMPUTED_VALUE"""),"Ritesh Agarwal")</f>
        <v>Ritesh Agarwal</v>
      </c>
      <c r="C6" s="17" t="str">
        <f>IFERROR(__xludf.DUMMYFUNCTION("""COMPUTED_VALUE"""),"Founder &amp; CEO ")</f>
        <v>Founder &amp; CEO </v>
      </c>
      <c r="D6" s="27" t="str">
        <f>IFERROR(__xludf.DUMMYFUNCTION("""COMPUTED_VALUE"""),"https://www.linkedin.com/in/riteshagar/?utm_source=chatgpt%2Ecom&amp;originalSubdomain=in")</f>
        <v>https://www.linkedin.com/in/riteshagar/?utm_source=chatgpt%2Ecom&amp;originalSubdomain=in</v>
      </c>
      <c r="E6" s="17" t="str">
        <f>IFERROR(__xludf.DUMMYFUNCTION("""COMPUTED_VALUE""")," 51078 97132 / +91 70530 70530")</f>
        <v> 51078 97132 / +91 70530 70530</v>
      </c>
      <c r="F6" s="17" t="str">
        <f>IFERROR(__xludf.DUMMYFUNCTION("""COMPUTED_VALUE"""),"ritesh@oyorooms.com")</f>
        <v>ritesh@oyorooms.com</v>
      </c>
      <c r="G6" s="17"/>
      <c r="H6" s="17"/>
    </row>
    <row r="7">
      <c r="A7" s="17" t="str">
        <f>IFERROR(__xludf.DUMMYFUNCTION("""COMPUTED_VALUE"""),"Snapdeal")</f>
        <v>Snapdeal</v>
      </c>
      <c r="B7" s="17" t="str">
        <f>IFERROR(__xludf.DUMMYFUNCTION("""COMPUTED_VALUE"""),"Kunal Bahl")</f>
        <v>Kunal Bahl</v>
      </c>
      <c r="C7" s="17" t="str">
        <f>IFERROR(__xludf.DUMMYFUNCTION("""COMPUTED_VALUE"""),"Co-Founder")</f>
        <v>Co-Founder</v>
      </c>
      <c r="D7" s="27" t="str">
        <f>IFERROR(__xludf.DUMMYFUNCTION("""COMPUTED_VALUE"""),"https://www.linkedin.com/in/kunalbahl/?utm_source=chatgpt%2Ecom&amp;originalSubdomain=in")</f>
        <v>https://www.linkedin.com/in/kunalbahl/?utm_source=chatgpt%2Ecom&amp;originalSubdomain=in</v>
      </c>
      <c r="E7" s="17" t="str">
        <f>IFERROR(__xludf.DUMMYFUNCTION("""COMPUTED_VALUE"""),"9958006818")</f>
        <v>9958006818</v>
      </c>
      <c r="F7" s="17" t="str">
        <f>IFERROR(__xludf.DUMMYFUNCTION("""COMPUTED_VALUE"""),"kb@acevector.com")</f>
        <v>kb@acevector.com</v>
      </c>
      <c r="G7" s="17"/>
      <c r="H7" s="17"/>
    </row>
    <row r="8">
      <c r="A8" s="17" t="str">
        <f>IFERROR(__xludf.DUMMYFUNCTION("""COMPUTED_VALUE"""),"Boat Lifestyle")</f>
        <v>Boat Lifestyle</v>
      </c>
      <c r="B8" s="17" t="str">
        <f>IFERROR(__xludf.DUMMYFUNCTION("""COMPUTED_VALUE"""),"Sameer Mehta ")</f>
        <v>Sameer Mehta </v>
      </c>
      <c r="C8" s="17" t="str">
        <f>IFERROR(__xludf.DUMMYFUNCTION("""COMPUTED_VALUE"""),"Co-Founder")</f>
        <v>Co-Founder</v>
      </c>
      <c r="D8" s="27" t="str">
        <f>IFERROR(__xludf.DUMMYFUNCTION("""COMPUTED_VALUE"""),"https://www.linkedin.com/in/sameer-mehta-16233318/")</f>
        <v>https://www.linkedin.com/in/sameer-mehta-16233318/</v>
      </c>
      <c r="E8" s="17" t="str">
        <f>IFERROR(__xludf.DUMMYFUNCTION("""COMPUTED_VALUE"""),"2269181920")</f>
        <v>2269181920</v>
      </c>
      <c r="F8" s="17" t="str">
        <f>IFERROR(__xludf.DUMMYFUNCTION("""COMPUTED_VALUE"""),"sameer.mehta@imaginemarketingindia.com")</f>
        <v>sameer.mehta@imaginemarketingindia.com</v>
      </c>
      <c r="G8" s="17"/>
      <c r="H8" s="17"/>
    </row>
    <row r="9">
      <c r="A9" s="17" t="str">
        <f>IFERROR(__xludf.DUMMYFUNCTION("""COMPUTED_VALUE"""),"Paytm Payments Bank")</f>
        <v>Paytm Payments Bank</v>
      </c>
      <c r="B9" s="17" t="str">
        <f>IFERROR(__xludf.DUMMYFUNCTION("""COMPUTED_VALUE"""),"Vijay Shekhar Sharma ")</f>
        <v>Vijay Shekhar Sharma </v>
      </c>
      <c r="C9" s="17" t="str">
        <f>IFERROR(__xludf.DUMMYFUNCTION("""COMPUTED_VALUE"""),"Founder &amp; CEO ")</f>
        <v>Founder &amp; CEO </v>
      </c>
      <c r="D9" s="27" t="str">
        <f>IFERROR(__xludf.DUMMYFUNCTION("""COMPUTED_VALUE"""),"https://www.linkedin.com/in/vijayshekhar/")</f>
        <v>https://www.linkedin.com/in/vijayshekhar/</v>
      </c>
      <c r="E9" s="17" t="str">
        <f>IFERROR(__xludf.DUMMYFUNCTION("""COMPUTED_VALUE"""),"1204440440")</f>
        <v>1204440440</v>
      </c>
      <c r="F9" s="17" t="str">
        <f>IFERROR(__xludf.DUMMYFUNCTION("""COMPUTED_VALUE"""),"sharma6.vijay@paytm.com")</f>
        <v>sharma6.vijay@paytm.com</v>
      </c>
      <c r="G9" s="17"/>
      <c r="H9" s="17"/>
    </row>
    <row r="10">
      <c r="A10" s="17" t="str">
        <f>IFERROR(__xludf.DUMMYFUNCTION("""COMPUTED_VALUE"""),"BharatPe")</f>
        <v>BharatPe</v>
      </c>
      <c r="B10" s="17" t="str">
        <f>IFERROR(__xludf.DUMMYFUNCTION("""COMPUTED_VALUE"""),"Ashneer Grover ")</f>
        <v>Ashneer Grover </v>
      </c>
      <c r="C10" s="17" t="str">
        <f>IFERROR(__xludf.DUMMYFUNCTION("""COMPUTED_VALUE"""),"Co-Founder &amp; MD ")</f>
        <v>Co-Founder &amp; MD </v>
      </c>
      <c r="D10" s="27" t="str">
        <f>IFERROR(__xludf.DUMMYFUNCTION("""COMPUTED_VALUE"""),"https://www.linkedin.com/in/ashneer/")</f>
        <v>https://www.linkedin.com/in/ashneer/</v>
      </c>
      <c r="E10" s="17" t="str">
        <f>IFERROR(__xludf.DUMMYFUNCTION("""COMPUTED_VALUE"""),"9811144892")</f>
        <v>9811144892</v>
      </c>
      <c r="F10" s="17" t="str">
        <f>IFERROR(__xludf.DUMMYFUNCTION("""COMPUTED_VALUE"""),"ashneergrover@gmail.com")</f>
        <v>ashneergrover@gmail.com</v>
      </c>
      <c r="G10" s="17"/>
      <c r="H10" s="17"/>
    </row>
    <row r="11">
      <c r="A11" s="17" t="str">
        <f>IFERROR(__xludf.DUMMYFUNCTION("""COMPUTED_VALUE"""),"BharatPe")</f>
        <v>BharatPe</v>
      </c>
      <c r="B11" s="17" t="str">
        <f>IFERROR(__xludf.DUMMYFUNCTION("""COMPUTED_VALUE"""),"Bhavik Koladiya ")</f>
        <v>Bhavik Koladiya </v>
      </c>
      <c r="C11" s="17" t="str">
        <f>IFERROR(__xludf.DUMMYFUNCTION("""COMPUTED_VALUE"""),"Co-Founder")</f>
        <v>Co-Founder</v>
      </c>
      <c r="D11" s="27" t="str">
        <f>IFERROR(__xludf.DUMMYFUNCTION("""COMPUTED_VALUE"""),"https://linkedin.com/in/koladiya/")</f>
        <v>https://linkedin.com/in/koladiya/</v>
      </c>
      <c r="E11" s="17" t="str">
        <f>IFERROR(__xludf.DUMMYFUNCTION("""COMPUTED_VALUE"""),"2051736149")</f>
        <v>2051736149</v>
      </c>
      <c r="F11" s="17" t="str">
        <f>IFERROR(__xludf.DUMMYFUNCTION("""COMPUTED_VALUE"""),"bhavik@otpless.com")</f>
        <v>bhavik@otpless.com</v>
      </c>
      <c r="G11" s="17"/>
      <c r="H11" s="17"/>
    </row>
    <row r="12">
      <c r="A12" s="17" t="str">
        <f>IFERROR(__xludf.DUMMYFUNCTION("""COMPUTED_VALUE"""),"BharatPe")</f>
        <v>BharatPe</v>
      </c>
      <c r="B12" s="17" t="str">
        <f>IFERROR(__xludf.DUMMYFUNCTION("""COMPUTED_VALUE"""),"Shashvat Nakrani ")</f>
        <v>Shashvat Nakrani </v>
      </c>
      <c r="C12" s="17" t="str">
        <f>IFERROR(__xludf.DUMMYFUNCTION("""COMPUTED_VALUE"""),"Founder &amp; COO")</f>
        <v>Founder &amp; COO</v>
      </c>
      <c r="D12" s="27" t="str">
        <f>IFERROR(__xludf.DUMMYFUNCTION("""COMPUTED_VALUE"""),"https://www.linkedin.com/in/shashvat-nakrani/")</f>
        <v>https://www.linkedin.com/in/shashvat-nakrani/</v>
      </c>
      <c r="E12" s="17" t="str">
        <f>IFERROR(__xludf.DUMMYFUNCTION("""COMPUTED_VALUE"""),"8882555444")</f>
        <v>8882555444</v>
      </c>
      <c r="F12" s="17" t="str">
        <f>IFERROR(__xludf.DUMMYFUNCTION("""COMPUTED_VALUE"""),"shashvat@bharatpe.com")</f>
        <v>shashvat@bharatpe.com</v>
      </c>
      <c r="G12" s="17"/>
      <c r="H12" s="17"/>
    </row>
    <row r="13">
      <c r="A13" s="17" t="str">
        <f>IFERROR(__xludf.DUMMYFUNCTION("""COMPUTED_VALUE"""),"ShipRocket ")</f>
        <v>ShipRocket </v>
      </c>
      <c r="B13" s="17" t="str">
        <f>IFERROR(__xludf.DUMMYFUNCTION("""COMPUTED_VALUE"""),"Vishesh Khurana ")</f>
        <v>Vishesh Khurana </v>
      </c>
      <c r="C13" s="17" t="str">
        <f>IFERROR(__xludf.DUMMYFUNCTION("""COMPUTED_VALUE"""),"Co-Founder ")</f>
        <v>Co-Founder </v>
      </c>
      <c r="D13" s="27" t="str">
        <f>IFERROR(__xludf.DUMMYFUNCTION("""COMPUTED_VALUE"""),"https://www.linkedin.com/in/visheshkhurana/")</f>
        <v>https://www.linkedin.com/in/visheshkhurana/</v>
      </c>
      <c r="E13" s="17" t="str">
        <f>IFERROR(__xludf.DUMMYFUNCTION("""COMPUTED_VALUE"""),"9266623006")</f>
        <v>9266623006</v>
      </c>
      <c r="F13" s="17" t="str">
        <f>IFERROR(__xludf.DUMMYFUNCTION("""COMPUTED_VALUE"""),"vishesh@shiprocket.in")</f>
        <v>vishesh@shiprocket.in</v>
      </c>
      <c r="G13" s="17"/>
      <c r="H13" s="17"/>
    </row>
    <row r="14">
      <c r="A14" s="17" t="str">
        <f>IFERROR(__xludf.DUMMYFUNCTION("""COMPUTED_VALUE"""),"Paisabazaar")</f>
        <v>Paisabazaar</v>
      </c>
      <c r="B14" s="17" t="str">
        <f>IFERROR(__xludf.DUMMYFUNCTION("""COMPUTED_VALUE"""),"Naveen Kukreja")</f>
        <v>Naveen Kukreja</v>
      </c>
      <c r="C14" s="17" t="str">
        <f>IFERROR(__xludf.DUMMYFUNCTION("""COMPUTED_VALUE"""),"Co-Founder &amp; CEO")</f>
        <v>Co-Founder &amp; CEO</v>
      </c>
      <c r="D14" s="27" t="str">
        <f>IFERROR(__xludf.DUMMYFUNCTION("""COMPUTED_VALUE"""),"https://www.linkedin.com/in/naveen-kukreja-b333013/")</f>
        <v>https://www.linkedin.com/in/naveen-kukreja-b333013/</v>
      </c>
      <c r="E14" s="17" t="str">
        <f>IFERROR(__xludf.DUMMYFUNCTION("""COMPUTED_VALUE"""),"9953646119")</f>
        <v>9953646119</v>
      </c>
      <c r="F14" s="17" t="str">
        <f>IFERROR(__xludf.DUMMYFUNCTION("""COMPUTED_VALUE"""),"naveen@paisabazaar.com")</f>
        <v>naveen@paisabazaar.com</v>
      </c>
      <c r="G14" s="17"/>
      <c r="H14" s="17"/>
    </row>
    <row r="15">
      <c r="A15" s="17" t="str">
        <f>IFERROR(__xludf.DUMMYFUNCTION("""COMPUTED_VALUE"""),"Cars24")</f>
        <v>Cars24</v>
      </c>
      <c r="B15" s="17" t="str">
        <f>IFERROR(__xludf.DUMMYFUNCTION("""COMPUTED_VALUE"""),"Mehul Agrawal")</f>
        <v>Mehul Agrawal</v>
      </c>
      <c r="C15" s="17" t="str">
        <f>IFERROR(__xludf.DUMMYFUNCTION("""COMPUTED_VALUE"""),"Co-Founder and COO")</f>
        <v>Co-Founder and COO</v>
      </c>
      <c r="D15" s="27" t="str">
        <f>IFERROR(__xludf.DUMMYFUNCTION("""COMPUTED_VALUE"""),"https://www.linkedin.com/in/mehul-agrawal-75123514/?originalSubdomain=in")</f>
        <v>https://www.linkedin.com/in/mehul-agrawal-75123514/?originalSubdomain=in</v>
      </c>
      <c r="E15" s="17" t="str">
        <f>IFERROR(__xludf.DUMMYFUNCTION("""COMPUTED_VALUE"""),"8130890821")</f>
        <v>8130890821</v>
      </c>
      <c r="F15" s="17" t="str">
        <f>IFERROR(__xludf.DUMMYFUNCTION("""COMPUTED_VALUE"""),"mehul@cars24.com")</f>
        <v>mehul@cars24.com</v>
      </c>
      <c r="G15" s="17"/>
      <c r="H15" s="17"/>
    </row>
    <row r="16">
      <c r="A16" s="17" t="str">
        <f>IFERROR(__xludf.DUMMYFUNCTION("""COMPUTED_VALUE"""),"Urban Company")</f>
        <v>Urban Company</v>
      </c>
      <c r="B16" s="17" t="str">
        <f>IFERROR(__xludf.DUMMYFUNCTION("""COMPUTED_VALUE"""),"Abhiraj Singh Bhal")</f>
        <v>Abhiraj Singh Bhal</v>
      </c>
      <c r="C16" s="17" t="str">
        <f>IFERROR(__xludf.DUMMYFUNCTION("""COMPUTED_VALUE"""),"Co-Founder")</f>
        <v>Co-Founder</v>
      </c>
      <c r="D16" s="27" t="str">
        <f>IFERROR(__xludf.DUMMYFUNCTION("""COMPUTED_VALUE"""),"https://www.linkedin.com/in/abhirajbhal/?originalSubdomain=in")</f>
        <v>https://www.linkedin.com/in/abhirajbhal/?originalSubdomain=in</v>
      </c>
      <c r="E16" s="17" t="str">
        <f>IFERROR(__xludf.DUMMYFUNCTION("""COMPUTED_VALUE"""),"8860786457")</f>
        <v>8860786457</v>
      </c>
      <c r="F16" s="17" t="str">
        <f>IFERROR(__xludf.DUMMYFUNCTION("""COMPUTED_VALUE"""),"abhirajbhal@urbancompany.com abhirajsinghbhal@gmail.com")</f>
        <v>abhirajbhal@urbancompany.com abhirajsinghbhal@gmail.com</v>
      </c>
      <c r="G16" s="17"/>
      <c r="H16" s="17"/>
    </row>
    <row r="17">
      <c r="A17" s="17" t="str">
        <f>IFERROR(__xludf.DUMMYFUNCTION("""COMPUTED_VALUE"""),"Urban Company")</f>
        <v>Urban Company</v>
      </c>
      <c r="B17" s="17" t="str">
        <f>IFERROR(__xludf.DUMMYFUNCTION("""COMPUTED_VALUE"""),"Raghav Chandra")</f>
        <v>Raghav Chandra</v>
      </c>
      <c r="C17" s="17" t="str">
        <f>IFERROR(__xludf.DUMMYFUNCTION("""COMPUTED_VALUE"""),"Co-Founder")</f>
        <v>Co-Founder</v>
      </c>
      <c r="D17" s="27" t="str">
        <f>IFERROR(__xludf.DUMMYFUNCTION("""COMPUTED_VALUE"""),"https://www.linkedin.com/in/raghavchandra/")</f>
        <v>https://www.linkedin.com/in/raghavchandra/</v>
      </c>
      <c r="E17" s="17" t="str">
        <f>IFERROR(__xludf.DUMMYFUNCTION("""COMPUTED_VALUE"""),"15104346941")</f>
        <v>15104346941</v>
      </c>
      <c r="F17" s="17" t="str">
        <f>IFERROR(__xludf.DUMMYFUNCTION("""COMPUTED_VALUE"""),"raghavchandra@urbanclap.com")</f>
        <v>raghavchandra@urbanclap.com</v>
      </c>
      <c r="G17" s="17"/>
      <c r="H17" s="17"/>
    </row>
    <row r="18">
      <c r="A18" s="17" t="str">
        <f>IFERROR(__xludf.DUMMYFUNCTION("""COMPUTED_VALUE"""),"Spinny")</f>
        <v>Spinny</v>
      </c>
      <c r="B18" s="17" t="str">
        <f>IFERROR(__xludf.DUMMYFUNCTION("""COMPUTED_VALUE"""),"Niraj Singh")</f>
        <v>Niraj Singh</v>
      </c>
      <c r="C18" s="17" t="str">
        <f>IFERROR(__xludf.DUMMYFUNCTION("""COMPUTED_VALUE"""),"Founder &amp; CEO")</f>
        <v>Founder &amp; CEO</v>
      </c>
      <c r="D18" s="27" t="str">
        <f>IFERROR(__xludf.DUMMYFUNCTION("""COMPUTED_VALUE"""),"https://www.linkedin.com/in/niraj-singh-67159715/")</f>
        <v>https://www.linkedin.com/in/niraj-singh-67159715/</v>
      </c>
      <c r="E18" s="17" t="str">
        <f>IFERROR(__xludf.DUMMYFUNCTION("""COMPUTED_VALUE"""),"919560613123")</f>
        <v>919560613123</v>
      </c>
      <c r="F18" s="17" t="str">
        <f>IFERROR(__xludf.DUMMYFUNCTION("""COMPUTED_VALUE"""),"niraj.singh@spinny.com")</f>
        <v>niraj.singh@spinny.com</v>
      </c>
      <c r="G18" s="17"/>
      <c r="H18" s="17"/>
    </row>
    <row r="19">
      <c r="A19" s="17" t="str">
        <f>IFERROR(__xludf.DUMMYFUNCTION("""COMPUTED_VALUE"""),"Spinny")</f>
        <v>Spinny</v>
      </c>
      <c r="B19" s="17" t="str">
        <f>IFERROR(__xludf.DUMMYFUNCTION("""COMPUTED_VALUE"""),"Ramanshu Mahaur")</f>
        <v>Ramanshu Mahaur</v>
      </c>
      <c r="C19" s="17" t="str">
        <f>IFERROR(__xludf.DUMMYFUNCTION("""COMPUTED_VALUE"""),"Founder &amp; CTO ")</f>
        <v>Founder &amp; CTO </v>
      </c>
      <c r="D19" s="27" t="str">
        <f>IFERROR(__xludf.DUMMYFUNCTION("""COMPUTED_VALUE"""),"https://www.linkedin.com/in/ramanshu-mahaur-76678053/")</f>
        <v>https://www.linkedin.com/in/ramanshu-mahaur-76678053/</v>
      </c>
      <c r="E19" s="17" t="str">
        <f>IFERROR(__xludf.DUMMYFUNCTION("""COMPUTED_VALUE"""),"                                                                          9180102 46046")</f>
        <v>                                                                          9180102 46046</v>
      </c>
      <c r="F19" s="17" t="str">
        <f>IFERROR(__xludf.DUMMYFUNCTION("""COMPUTED_VALUE"""),"ramanshu@spinny.com")</f>
        <v>ramanshu@spinny.com</v>
      </c>
      <c r="G19" s="17"/>
      <c r="H19" s="17"/>
    </row>
    <row r="20">
      <c r="A20" s="17" t="str">
        <f>IFERROR(__xludf.DUMMYFUNCTION("""COMPUTED_VALUE"""),"MobiKwik")</f>
        <v>MobiKwik</v>
      </c>
      <c r="B20" s="17" t="str">
        <f>IFERROR(__xludf.DUMMYFUNCTION("""COMPUTED_VALUE"""),"Bipin Preet Singh")</f>
        <v>Bipin Preet Singh</v>
      </c>
      <c r="C20" s="17" t="str">
        <f>IFERROR(__xludf.DUMMYFUNCTION("""COMPUTED_VALUE"""),"Founder &amp; CEO")</f>
        <v>Founder &amp; CEO</v>
      </c>
      <c r="D20" s="27" t="str">
        <f>IFERROR(__xludf.DUMMYFUNCTION("""COMPUTED_VALUE"""),"https://www.linkedin.com/in/bipinpreetsingh/")</f>
        <v>https://www.linkedin.com/in/bipinpreetsingh/</v>
      </c>
      <c r="E20" s="17" t="str">
        <f>IFERROR(__xludf.DUMMYFUNCTION("""COMPUTED_VALUE""")," 78386 93548")</f>
        <v> 78386 93548</v>
      </c>
      <c r="F20" s="17" t="str">
        <f>IFERROR(__xludf.DUMMYFUNCTION("""COMPUTED_VALUE"""),"bipinpsingh@gmail.com bipin@mobikwik.com")</f>
        <v>bipinpsingh@gmail.com bipin@mobikwik.com</v>
      </c>
      <c r="G20" s="17"/>
      <c r="H20" s="17"/>
    </row>
    <row r="21">
      <c r="A21" s="17" t="str">
        <f>IFERROR(__xludf.DUMMYFUNCTION("""COMPUTED_VALUE"""),"Mobikwik")</f>
        <v>Mobikwik</v>
      </c>
      <c r="B21" s="17" t="str">
        <f>IFERROR(__xludf.DUMMYFUNCTION("""COMPUTED_VALUE"""),"Upasana Taku")</f>
        <v>Upasana Taku</v>
      </c>
      <c r="C21" s="17" t="str">
        <f>IFERROR(__xludf.DUMMYFUNCTION("""COMPUTED_VALUE"""),"Co-Founder &amp; CFO")</f>
        <v>Co-Founder &amp; CFO</v>
      </c>
      <c r="D21" s="27" t="str">
        <f>IFERROR(__xludf.DUMMYFUNCTION("""COMPUTED_VALUE"""),"https://www.linkedin.com/in/upasana/")</f>
        <v>https://www.linkedin.com/in/upasana/</v>
      </c>
      <c r="E21" s="17" t="str">
        <f>IFERROR(__xludf.DUMMYFUNCTION("""COMPUTED_VALUE""")," 92390 89912")</f>
        <v> 92390 89912</v>
      </c>
      <c r="F21" s="17" t="str">
        <f>IFERROR(__xludf.DUMMYFUNCTION("""COMPUTED_VALUE"""),"upasanataku@gmail.com upasana@mobikwik.com")</f>
        <v>upasanataku@gmail.com upasana@mobikwik.com</v>
      </c>
      <c r="G21" s="17"/>
      <c r="H21" s="17"/>
    </row>
    <row r="22">
      <c r="A22" s="17" t="str">
        <f>IFERROR(__xludf.DUMMYFUNCTION("""COMPUTED_VALUE"""),"Blinkit")</f>
        <v>Blinkit</v>
      </c>
      <c r="B22" s="17" t="str">
        <f>IFERROR(__xludf.DUMMYFUNCTION("""COMPUTED_VALUE"""),"Albinder Dhindsa")</f>
        <v>Albinder Dhindsa</v>
      </c>
      <c r="C22" s="17" t="str">
        <f>IFERROR(__xludf.DUMMYFUNCTION("""COMPUTED_VALUE"""),"Founder")</f>
        <v>Founder</v>
      </c>
      <c r="D22" s="27" t="str">
        <f>IFERROR(__xludf.DUMMYFUNCTION("""COMPUTED_VALUE"""),"https://www.linkedin.com/in/adhindsa/?originalSubdomain=in")</f>
        <v>https://www.linkedin.com/in/adhindsa/?originalSubdomain=in</v>
      </c>
      <c r="E22" s="17" t="str">
        <f>IFERROR(__xludf.DUMMYFUNCTION("""COMPUTED_VALUE""")," 99992 36508")</f>
        <v> 99992 36508</v>
      </c>
      <c r="F22" s="17" t="str">
        <f>IFERROR(__xludf.DUMMYFUNCTION("""COMPUTED_VALUE"""),"albinder@grofers.com")</f>
        <v>albinder@grofers.com</v>
      </c>
      <c r="G22" s="17"/>
      <c r="H22" s="17"/>
    </row>
    <row r="23">
      <c r="A23" s="17" t="str">
        <f>IFERROR(__xludf.DUMMYFUNCTION("""COMPUTED_VALUE"""),"Ofbusiness")</f>
        <v>Ofbusiness</v>
      </c>
      <c r="B23" s="17" t="str">
        <f>IFERROR(__xludf.DUMMYFUNCTION("""COMPUTED_VALUE"""),"Asish Mohapatra")</f>
        <v>Asish Mohapatra</v>
      </c>
      <c r="C23" s="17" t="str">
        <f>IFERROR(__xludf.DUMMYFUNCTION("""COMPUTED_VALUE"""),"Co-Founder &amp; CEO")</f>
        <v>Co-Founder &amp; CEO</v>
      </c>
      <c r="D23" s="27" t="str">
        <f>IFERROR(__xludf.DUMMYFUNCTION("""COMPUTED_VALUE"""),"https://www.linkedin.com/in/asish-mohapatra-22685a28/")</f>
        <v>https://www.linkedin.com/in/asish-mohapatra-22685a28/</v>
      </c>
      <c r="E23" s="17"/>
      <c r="F23" s="17" t="str">
        <f>IFERROR(__xludf.DUMMYFUNCTION("""COMPUTED_VALUE"""),"asishmohapatra@gmail.com asish.mohapatra@ofbusiness.com")</f>
        <v>asishmohapatra@gmail.com asish.mohapatra@ofbusiness.com</v>
      </c>
      <c r="G23" s="17"/>
      <c r="H23" s="17"/>
    </row>
    <row r="24">
      <c r="A24" s="17" t="str">
        <f>IFERROR(__xludf.DUMMYFUNCTION("""COMPUTED_VALUE"""),"Ofbusiness")</f>
        <v>Ofbusiness</v>
      </c>
      <c r="B24" s="17" t="str">
        <f>IFERROR(__xludf.DUMMYFUNCTION("""COMPUTED_VALUE"""),"Nitin Jain")</f>
        <v>Nitin Jain</v>
      </c>
      <c r="C24" s="17" t="str">
        <f>IFERROR(__xludf.DUMMYFUNCTION("""COMPUTED_VALUE"""),"Co-Founder &amp; CBO")</f>
        <v>Co-Founder &amp; CBO</v>
      </c>
      <c r="D24" s="27" t="str">
        <f>IFERROR(__xludf.DUMMYFUNCTION("""COMPUTED_VALUE"""),"https://www.linkedin.com/in/nitin-jain-17b82310/")</f>
        <v>https://www.linkedin.com/in/nitin-jain-17b82310/</v>
      </c>
      <c r="E24" s="17"/>
      <c r="F24" s="17" t="str">
        <f>IFERROR(__xludf.DUMMYFUNCTION("""COMPUTED_VALUE"""),"nitin@oagrifarm.com")</f>
        <v>nitin@oagrifarm.com</v>
      </c>
      <c r="G24" s="17"/>
      <c r="H24" s="17"/>
    </row>
    <row r="25">
      <c r="A25" s="17" t="str">
        <f>IFERROR(__xludf.DUMMYFUNCTION("""COMPUTED_VALUE"""),"Ofbusiness")</f>
        <v>Ofbusiness</v>
      </c>
      <c r="B25" s="17" t="str">
        <f>IFERROR(__xludf.DUMMYFUNCTION("""COMPUTED_VALUE"""),"Ruchi Kalra")</f>
        <v>Ruchi Kalra</v>
      </c>
      <c r="C25" s="17" t="str">
        <f>IFERROR(__xludf.DUMMYFUNCTION("""COMPUTED_VALUE"""),"Co-Founder ")</f>
        <v>Co-Founder </v>
      </c>
      <c r="D25" s="27" t="str">
        <f>IFERROR(__xludf.DUMMYFUNCTION("""COMPUTED_VALUE"""),"https://www.linkedin.com/in/ruchi-kalra-0a62512/")</f>
        <v>https://www.linkedin.com/in/ruchi-kalra-0a62512/</v>
      </c>
      <c r="E25" s="17"/>
      <c r="F25" s="17" t="str">
        <f>IFERROR(__xludf.DUMMYFUNCTION("""COMPUTED_VALUE"""),"ruchi@ofbusiness.in")</f>
        <v>ruchi@ofbusiness.in</v>
      </c>
      <c r="G25" s="17"/>
      <c r="H25" s="17"/>
    </row>
    <row r="26">
      <c r="A26" s="17" t="str">
        <f>IFERROR(__xludf.DUMMYFUNCTION("""COMPUTED_VALUE"""),"Tata 1mg")</f>
        <v>Tata 1mg</v>
      </c>
      <c r="B26" s="17" t="str">
        <f>IFERROR(__xludf.DUMMYFUNCTION("""COMPUTED_VALUE"""),"Prashant Tandon")</f>
        <v>Prashant Tandon</v>
      </c>
      <c r="C26" s="17" t="str">
        <f>IFERROR(__xludf.DUMMYFUNCTION("""COMPUTED_VALUE"""),"Founder")</f>
        <v>Founder</v>
      </c>
      <c r="D26" s="27" t="str">
        <f>IFERROR(__xludf.DUMMYFUNCTION("""COMPUTED_VALUE"""),"https://www.linkedin.com/in/prashant-tandon-2802a4/")</f>
        <v>https://www.linkedin.com/in/prashant-tandon-2802a4/</v>
      </c>
      <c r="E26" s="17"/>
      <c r="F26" s="17" t="str">
        <f>IFERROR(__xludf.DUMMYFUNCTION("""COMPUTED_VALUE""")," pt@1mg.com prashant_tandon@yahoo.com prashant_tandon@yahoo.com")</f>
        <v> pt@1mg.com prashant_tandon@yahoo.com prashant_tandon@yahoo.com</v>
      </c>
      <c r="G26" s="17"/>
      <c r="H26" s="17"/>
    </row>
    <row r="27">
      <c r="A27" s="17" t="str">
        <f>IFERROR(__xludf.DUMMYFUNCTION("""COMPUTED_VALUE"""),"Tata 1mg")</f>
        <v>Tata 1mg</v>
      </c>
      <c r="B27" s="17" t="str">
        <f>IFERROR(__xludf.DUMMYFUNCTION("""COMPUTED_VALUE"""),"Gaurav Agarwal")</f>
        <v>Gaurav Agarwal</v>
      </c>
      <c r="C27" s="17" t="str">
        <f>IFERROR(__xludf.DUMMYFUNCTION("""COMPUTED_VALUE"""),"Founder")</f>
        <v>Founder</v>
      </c>
      <c r="D27" s="27" t="str">
        <f>IFERROR(__xludf.DUMMYFUNCTION("""COMPUTED_VALUE"""),"https://www.linkedin.com/in/agarwalga/")</f>
        <v>https://www.linkedin.com/in/agarwalga/</v>
      </c>
      <c r="E27" s="17"/>
      <c r="F27" s="17" t="str">
        <f>IFERROR(__xludf.DUMMYFUNCTION("""COMPUTED_VALUE"""),"gaurava@1mg.com gaurava@gmail.com")</f>
        <v>gaurava@1mg.com gaurava@gmail.com</v>
      </c>
      <c r="G27" s="17"/>
      <c r="H27" s="17"/>
    </row>
    <row r="28">
      <c r="A28" s="17" t="str">
        <f>IFERROR(__xludf.DUMMYFUNCTION("""COMPUTED_VALUE"""),"Tata 1mg")</f>
        <v>Tata 1mg</v>
      </c>
      <c r="B28" s="17" t="str">
        <f>IFERROR(__xludf.DUMMYFUNCTION("""COMPUTED_VALUE"""),"Vikas Chauhan")</f>
        <v>Vikas Chauhan</v>
      </c>
      <c r="C28" s="17"/>
      <c r="D28" s="17"/>
      <c r="E28" s="17" t="str">
        <f>IFERROR(__xludf.DUMMYFUNCTION("""COMPUTED_VALUE"""),"919650966111")</f>
        <v>919650966111</v>
      </c>
      <c r="F28" s="17" t="str">
        <f>IFERROR(__xludf.DUMMYFUNCTION("""COMPUTED_VALUE"""),"vconnet@gmail.com
vikaskjs@gmail.com
vikas.chauhan@hexahealth.com
")</f>
        <v>vconnet@gmail.com
vikaskjs@gmail.com
vikas.chauhan@hexahealth.com
</v>
      </c>
      <c r="G28" s="17"/>
      <c r="H28" s="17"/>
    </row>
    <row r="29">
      <c r="A29" s="17" t="str">
        <f>IFERROR(__xludf.DUMMYFUNCTION("""COMPUTED_VALUE"""),"makemytrip")</f>
        <v>makemytrip</v>
      </c>
      <c r="B29" s="17" t="str">
        <f>IFERROR(__xludf.DUMMYFUNCTION("""COMPUTED_VALUE"""),"Rajesh Magow")</f>
        <v>Rajesh Magow</v>
      </c>
      <c r="C29" s="17" t="str">
        <f>IFERROR(__xludf.DUMMYFUNCTION("""COMPUTED_VALUE"""),"Co-Founder &amp; Group CEO")</f>
        <v>Co-Founder &amp; Group CEO</v>
      </c>
      <c r="D29" s="27" t="str">
        <f>IFERROR(__xludf.DUMMYFUNCTION("""COMPUTED_VALUE"""),"https://www.linkedin.com/in/rajesh-magow-9278094/")</f>
        <v>https://www.linkedin.com/in/rajesh-magow-9278094/</v>
      </c>
      <c r="E29" s="17"/>
      <c r="F29" s="17" t="str">
        <f>IFERROR(__xludf.DUMMYFUNCTION("""COMPUTED_VALUE"""),"rajeshm@makemytrip.com")</f>
        <v>rajeshm@makemytrip.com</v>
      </c>
      <c r="G29" s="17"/>
      <c r="H29" s="17"/>
    </row>
    <row r="30">
      <c r="A30" s="27" t="str">
        <f>IFERROR(__xludf.DUMMYFUNCTION("""COMPUTED_VALUE"""),"MakeMyTrip.com")</f>
        <v>MakeMyTrip.com</v>
      </c>
      <c r="B30" s="17" t="str">
        <f>IFERROR(__xludf.DUMMYFUNCTION("""COMPUTED_VALUE"""),"Deep Kalra")</f>
        <v>Deep Kalra</v>
      </c>
      <c r="C30" s="17" t="str">
        <f>IFERROR(__xludf.DUMMYFUNCTION("""COMPUTED_VALUE"""),"Founder &amp; CEO")</f>
        <v>Founder &amp; CEO</v>
      </c>
      <c r="D30" s="27" t="str">
        <f>IFERROR(__xludf.DUMMYFUNCTION("""COMPUTED_VALUE"""),"https://www.linkedin.com/in/deep-kalra-2954862/")</f>
        <v>https://www.linkedin.com/in/deep-kalra-2954862/</v>
      </c>
      <c r="E30" s="17"/>
      <c r="F30" s="17" t="str">
        <f>IFERROR(__xludf.DUMMYFUNCTION("""COMPUTED_VALUE"""),"deep@makemytrip.com")</f>
        <v>deep@makemytrip.com</v>
      </c>
      <c r="G30" s="17"/>
      <c r="H30" s="17"/>
    </row>
    <row r="31">
      <c r="A31" s="17" t="str">
        <f>IFERROR(__xludf.DUMMYFUNCTION("""COMPUTED_VALUE"""),"EaseMyTrip")</f>
        <v>EaseMyTrip</v>
      </c>
      <c r="B31" s="17" t="str">
        <f>IFERROR(__xludf.DUMMYFUNCTION("""COMPUTED_VALUE"""),"Nishant Pitti")</f>
        <v>Nishant Pitti</v>
      </c>
      <c r="C31" s="17" t="str">
        <f>IFERROR(__xludf.DUMMYFUNCTION("""COMPUTED_VALUE"""),"Founder &amp; CEO")</f>
        <v>Founder &amp; CEO</v>
      </c>
      <c r="D31" s="27" t="str">
        <f>IFERROR(__xludf.DUMMYFUNCTION("""COMPUTED_VALUE"""),"https://www.linkedin.com/in/nishant-pitti-a956b079/")</f>
        <v>https://www.linkedin.com/in/nishant-pitti-a956b079/</v>
      </c>
      <c r="E31" s="17"/>
      <c r="F31" s="17" t="str">
        <f>IFERROR(__xludf.DUMMYFUNCTION("""COMPUTED_VALUE"""),"nishant@easemytrip.com")</f>
        <v>nishant@easemytrip.com</v>
      </c>
      <c r="G31" s="17"/>
      <c r="H31" s="17"/>
    </row>
    <row r="32">
      <c r="A32" s="17" t="str">
        <f>IFERROR(__xludf.DUMMYFUNCTION("""COMPUTED_VALUE"""),"EaseMyTrip")</f>
        <v>EaseMyTrip</v>
      </c>
      <c r="B32" s="17" t="str">
        <f>IFERROR(__xludf.DUMMYFUNCTION("""COMPUTED_VALUE"""),"Nishant Pitti")</f>
        <v>Nishant Pitti</v>
      </c>
      <c r="C32" s="17" t="str">
        <f>IFERROR(__xludf.DUMMYFUNCTION("""COMPUTED_VALUE"""),"Co-founder &amp; CEO")</f>
        <v>Co-founder &amp; CEO</v>
      </c>
      <c r="D32" s="27" t="str">
        <f>IFERROR(__xludf.DUMMYFUNCTION("""COMPUTED_VALUE"""),"https://www.linkedin.com/in/nishantpitti/")</f>
        <v>https://www.linkedin.com/in/nishantpitti/</v>
      </c>
      <c r="E32" s="17"/>
      <c r="F32" s="17"/>
      <c r="G32" s="17"/>
      <c r="H32" s="17"/>
    </row>
    <row r="33">
      <c r="A33" s="17" t="str">
        <f>IFERROR(__xludf.DUMMYFUNCTION("""COMPUTED_VALUE"""),"EaseMyTrip")</f>
        <v>EaseMyTrip</v>
      </c>
      <c r="B33" s="17" t="str">
        <f>IFERROR(__xludf.DUMMYFUNCTION("""COMPUTED_VALUE"""),"Rikant Pitti")</f>
        <v>Rikant Pitti</v>
      </c>
      <c r="C33" s="17" t="str">
        <f>IFERROR(__xludf.DUMMYFUNCTION("""COMPUTED_VALUE"""),"Co-founder")</f>
        <v>Co-founder</v>
      </c>
      <c r="D33" s="27" t="str">
        <f>IFERROR(__xludf.DUMMYFUNCTION("""COMPUTED_VALUE"""),"https://www.linkedin.com/in/rikantpitti/")</f>
        <v>https://www.linkedin.com/in/rikantpitti/</v>
      </c>
      <c r="E33" s="17"/>
      <c r="F33" s="17"/>
      <c r="G33" s="17"/>
      <c r="H33" s="17"/>
    </row>
    <row r="34">
      <c r="A34" s="17" t="str">
        <f>IFERROR(__xludf.DUMMYFUNCTION("""COMPUTED_VALUE"""),"Nykaa")</f>
        <v>Nykaa</v>
      </c>
      <c r="B34" s="17" t="str">
        <f>IFERROR(__xludf.DUMMYFUNCTION("""COMPUTED_VALUE"""),"Falguni Nayar")</f>
        <v>Falguni Nayar</v>
      </c>
      <c r="C34" s="17" t="str">
        <f>IFERROR(__xludf.DUMMYFUNCTION("""COMPUTED_VALUE"""),"CEO, Founder")</f>
        <v>CEO, Founder</v>
      </c>
      <c r="D34" s="17"/>
      <c r="E34" s="17" t="str">
        <f>IFERROR(__xludf.DUMMYFUNCTION("""COMPUTED_VALUE"""),"919820021521")</f>
        <v>919820021521</v>
      </c>
      <c r="F34" s="17" t="str">
        <f>IFERROR(__xludf.DUMMYFUNCTION("""COMPUTED_VALUE"""),"falguni.nayar@nykaa.com")</f>
        <v>falguni.nayar@nykaa.com</v>
      </c>
      <c r="G34" s="17"/>
      <c r="H34" s="17"/>
    </row>
    <row r="35">
      <c r="A35" s="17" t="str">
        <f>IFERROR(__xludf.DUMMYFUNCTION("""COMPUTED_VALUE"""),"Sugar Cosmetics")</f>
        <v>Sugar Cosmetics</v>
      </c>
      <c r="B35" s="17" t="str">
        <f>IFERROR(__xludf.DUMMYFUNCTION("""COMPUTED_VALUE"""),"Vineeta Singh")</f>
        <v>Vineeta Singh</v>
      </c>
      <c r="C35" s="17" t="str">
        <f>IFERROR(__xludf.DUMMYFUNCTION("""COMPUTED_VALUE"""),"CEO")</f>
        <v>CEO</v>
      </c>
      <c r="D35" s="17"/>
      <c r="E35" s="17" t="str">
        <f>IFERROR(__xludf.DUMMYFUNCTION("""COMPUTED_VALUE""")," ")</f>
        <v> </v>
      </c>
      <c r="F35" s="17" t="str">
        <f>IFERROR(__xludf.DUMMYFUNCTION("""COMPUTED_VALUE"""),"vineetasing@gmail.com")</f>
        <v>vineetasing@gmail.com</v>
      </c>
      <c r="G35" s="17"/>
      <c r="H35" s="17"/>
    </row>
    <row r="36">
      <c r="A36" s="17" t="str">
        <f>IFERROR(__xludf.DUMMYFUNCTION("""COMPUTED_VALUE"""),"Innovaccer")</f>
        <v>Innovaccer</v>
      </c>
      <c r="B36" s="17" t="str">
        <f>IFERROR(__xludf.DUMMYFUNCTION("""COMPUTED_VALUE"""),"Abhinav Shashank")</f>
        <v>Abhinav Shashank</v>
      </c>
      <c r="C36" s="17" t="str">
        <f>IFERROR(__xludf.DUMMYFUNCTION("""COMPUTED_VALUE"""),"Founder &amp; CEO ")</f>
        <v>Founder &amp; CEO </v>
      </c>
      <c r="D36" s="27" t="str">
        <f>IFERROR(__xludf.DUMMYFUNCTION("""COMPUTED_VALUE"""),"https://www.linkedin.com/in/abhinavshashank")</f>
        <v>https://www.linkedin.com/in/abhinavshashank</v>
      </c>
      <c r="E36" s="17"/>
      <c r="F36" s="17" t="str">
        <f>IFERROR(__xludf.DUMMYFUNCTION("""COMPUTED_VALUE"""),"abhinav.shashank@innovaccer.com")</f>
        <v>abhinav.shashank@innovaccer.com</v>
      </c>
      <c r="G36" s="17"/>
      <c r="H36" s="17"/>
    </row>
    <row r="37">
      <c r="A37" s="17" t="str">
        <f>IFERROR(__xludf.DUMMYFUNCTION("""COMPUTED_VALUE"""),"Innovaccer")</f>
        <v>Innovaccer</v>
      </c>
      <c r="B37" s="17" t="str">
        <f>IFERROR(__xludf.DUMMYFUNCTION("""COMPUTED_VALUE"""),"Sandeep Gupta")</f>
        <v>Sandeep Gupta</v>
      </c>
      <c r="C37" s="17" t="str">
        <f>IFERROR(__xludf.DUMMYFUNCTION("""COMPUTED_VALUE"""),"Co-founder")</f>
        <v>Co-founder</v>
      </c>
      <c r="D37" s="27" t="str">
        <f>IFERROR(__xludf.DUMMYFUNCTION("""COMPUTED_VALUE"""),"https://www.linkedin.com/in/9sandeepg")</f>
        <v>https://www.linkedin.com/in/9sandeepg</v>
      </c>
      <c r="E37" s="17"/>
      <c r="F37" s="17" t="str">
        <f>IFERROR(__xludf.DUMMYFUNCTION("""COMPUTED_VALUE"""),"sandeep@innovaccer.com")</f>
        <v>sandeep@innovaccer.com</v>
      </c>
      <c r="G37" s="17"/>
      <c r="H37" s="17"/>
    </row>
    <row r="38">
      <c r="A38" s="17" t="str">
        <f>IFERROR(__xludf.DUMMYFUNCTION("""COMPUTED_VALUE"""),"Cars24")</f>
        <v>Cars24</v>
      </c>
      <c r="B38" s="17" t="str">
        <f>IFERROR(__xludf.DUMMYFUNCTION("""COMPUTED_VALUE"""),"Mehul Agrawal")</f>
        <v>Mehul Agrawal</v>
      </c>
      <c r="C38" s="17" t="str">
        <f>IFERROR(__xludf.DUMMYFUNCTION("""COMPUTED_VALUE"""),"Co-Founder and COO")</f>
        <v>Co-Founder and COO</v>
      </c>
      <c r="D38" s="27" t="str">
        <f>IFERROR(__xludf.DUMMYFUNCTION("""COMPUTED_VALUE"""),"https://www.linkedin.com/in/mehul-agrawal-75123514/?originalSubdomain=in")</f>
        <v>https://www.linkedin.com/in/mehul-agrawal-75123514/?originalSubdomain=in</v>
      </c>
      <c r="E38" s="17" t="str">
        <f>IFERROR(__xludf.DUMMYFUNCTION("""COMPUTED_VALUE"""),"8130890821")</f>
        <v>8130890821</v>
      </c>
      <c r="F38" s="17" t="str">
        <f>IFERROR(__xludf.DUMMYFUNCTION("""COMPUTED_VALUE"""),"mehul@cars24.com")</f>
        <v>mehul@cars24.com</v>
      </c>
      <c r="G38" s="17"/>
      <c r="H38" s="17"/>
    </row>
    <row r="39">
      <c r="A39" s="17" t="str">
        <f>IFERROR(__xludf.DUMMYFUNCTION("""COMPUTED_VALUE"""),"Zerodha")</f>
        <v>Zerodha</v>
      </c>
      <c r="B39" s="17" t="str">
        <f>IFERROR(__xludf.DUMMYFUNCTION("""COMPUTED_VALUE"""),"Nikhil Kamath")</f>
        <v>Nikhil Kamath</v>
      </c>
      <c r="C39" s="17" t="str">
        <f>IFERROR(__xludf.DUMMYFUNCTION("""COMPUTED_VALUE"""),"Co Founder")</f>
        <v>Co Founder</v>
      </c>
      <c r="D39" s="17"/>
      <c r="E39" s="17"/>
      <c r="F39" s="17" t="str">
        <f>IFERROR(__xludf.DUMMYFUNCTION("""COMPUTED_VALUE"""),"nikhil@zerodha.com")</f>
        <v>nikhil@zerodha.com</v>
      </c>
      <c r="G39" s="17"/>
      <c r="H39" s="17"/>
    </row>
    <row r="40">
      <c r="A40" s="17" t="str">
        <f>IFERROR(__xludf.DUMMYFUNCTION("""COMPUTED_VALUE"""),"Paytm")</f>
        <v>Paytm</v>
      </c>
      <c r="B40" s="17" t="str">
        <f>IFERROR(__xludf.DUMMYFUNCTION("""COMPUTED_VALUE"""),"Vijay Shekhar Sharma")</f>
        <v>Vijay Shekhar Sharma</v>
      </c>
      <c r="C40" s="17" t="str">
        <f>IFERROR(__xludf.DUMMYFUNCTION("""COMPUTED_VALUE"""),"Founder &amp; CEO")</f>
        <v>Founder &amp; CEO</v>
      </c>
      <c r="D40" s="17"/>
      <c r="E40" s="17" t="str">
        <f>IFERROR(__xludf.DUMMYFUNCTION("""COMPUTED_VALUE"""),"9810098197")</f>
        <v>9810098197</v>
      </c>
      <c r="F40" s="17" t="str">
        <f>IFERROR(__xludf.DUMMYFUNCTION("""COMPUTED_VALUE"""),"vijayshekhar@gmail.com")</f>
        <v>vijayshekhar@gmail.com</v>
      </c>
      <c r="G40" s="17"/>
      <c r="H40" s="17"/>
    </row>
    <row r="41">
      <c r="A41" s="17" t="str">
        <f>IFERROR(__xludf.DUMMYFUNCTION("""COMPUTED_VALUE"""),"Slice")</f>
        <v>Slice</v>
      </c>
      <c r="B41" s="17" t="str">
        <f>IFERROR(__xludf.DUMMYFUNCTION("""COMPUTED_VALUE"""),"Rajan Bajaj")</f>
        <v>Rajan Bajaj</v>
      </c>
      <c r="C41" s="17" t="str">
        <f>IFERROR(__xludf.DUMMYFUNCTION("""COMPUTED_VALUE"""),"Founder &amp; CEO ")</f>
        <v>Founder &amp; CEO </v>
      </c>
      <c r="D41" s="27" t="str">
        <f>IFERROR(__xludf.DUMMYFUNCTION("""COMPUTED_VALUE"""),"https://www.linkedin.com/in/rajanbajaj/?originalSubdomain=in")</f>
        <v>https://www.linkedin.com/in/rajanbajaj/?originalSubdomain=in</v>
      </c>
      <c r="E41" s="17" t="str">
        <f>IFERROR(__xludf.DUMMYFUNCTION("""COMPUTED_VALUE"""),"9900003950")</f>
        <v>9900003950</v>
      </c>
      <c r="F41" s="17" t="str">
        <f>IFERROR(__xludf.DUMMYFUNCTION("""COMPUTED_VALUE"""),"rajanbajaj1992@gmail.com rajan@slicepay.in  rajan.bajaj@sliceit.com")</f>
        <v>rajanbajaj1992@gmail.com rajan@slicepay.in  rajan.bajaj@sliceit.com</v>
      </c>
      <c r="G41" s="17"/>
      <c r="H41" s="17"/>
    </row>
    <row r="42">
      <c r="A42" s="17" t="str">
        <f>IFERROR(__xludf.DUMMYFUNCTION("""COMPUTED_VALUE"""),"Udaan, Ex CTO- Flipkart")</f>
        <v>Udaan, Ex CTO- Flipkart</v>
      </c>
      <c r="B42" s="17" t="str">
        <f>IFERROR(__xludf.DUMMYFUNCTION("""COMPUTED_VALUE""")," Amod Malviya")</f>
        <v> Amod Malviya</v>
      </c>
      <c r="C42" s="17" t="str">
        <f>IFERROR(__xludf.DUMMYFUNCTION("""COMPUTED_VALUE"""),"Co-founder")</f>
        <v>Co-founder</v>
      </c>
      <c r="D42" s="27" t="str">
        <f>IFERROR(__xludf.DUMMYFUNCTION("""COMPUTED_VALUE"""),"https://www.linkedin.com/in/amodm/?originalSubdomain=in")</f>
        <v>https://www.linkedin.com/in/amodm/?originalSubdomain=in</v>
      </c>
      <c r="E42" s="17" t="str">
        <f>IFERROR(__xludf.DUMMYFUNCTION("""COMPUTED_VALUE"""),"8095114000")</f>
        <v>8095114000</v>
      </c>
      <c r="F42" s="17" t="str">
        <f>IFERROR(__xludf.DUMMYFUNCTION("""COMPUTED_VALUE"""),"amod@pre6.ai amod@urbanyogi.in amod.malviya@gmail.com")</f>
        <v>amod@pre6.ai amod@urbanyogi.in amod.malviya@gmail.com</v>
      </c>
      <c r="G42" s="17"/>
      <c r="H42" s="17"/>
    </row>
    <row r="43">
      <c r="A43" s="17" t="str">
        <f>IFERROR(__xludf.DUMMYFUNCTION("""COMPUTED_VALUE"""),"Acko General Insurance")</f>
        <v>Acko General Insurance</v>
      </c>
      <c r="B43" s="17" t="str">
        <f>IFERROR(__xludf.DUMMYFUNCTION("""COMPUTED_VALUE"""),"Varun Dua")</f>
        <v>Varun Dua</v>
      </c>
      <c r="C43" s="17" t="str">
        <f>IFERROR(__xludf.DUMMYFUNCTION("""COMPUTED_VALUE"""),"Founder")</f>
        <v>Founder</v>
      </c>
      <c r="D43" s="27" t="str">
        <f>IFERROR(__xludf.DUMMYFUNCTION("""COMPUTED_VALUE"""),"https://www.linkedin.com/in/thevarundua/?originalSubdomain=in")</f>
        <v>https://www.linkedin.com/in/thevarundua/?originalSubdomain=in</v>
      </c>
      <c r="E43" s="17"/>
      <c r="F43" s="17" t="str">
        <f>IFERROR(__xludf.DUMMYFUNCTION("""COMPUTED_VALUE"""),"varun@acko.com  varundua25@gmail.com  duavrn@gmail.com")</f>
        <v>varun@acko.com  varundua25@gmail.com  duavrn@gmail.com</v>
      </c>
      <c r="G43" s="17"/>
      <c r="H43" s="17"/>
    </row>
    <row r="44">
      <c r="A44" s="17" t="str">
        <f>IFERROR(__xludf.DUMMYFUNCTION("""COMPUTED_VALUE"""),"Cred")</f>
        <v>Cred</v>
      </c>
      <c r="B44" s="17" t="str">
        <f>IFERROR(__xludf.DUMMYFUNCTION("""COMPUTED_VALUE"""),"Kunal Shah")</f>
        <v>Kunal Shah</v>
      </c>
      <c r="C44" s="17" t="str">
        <f>IFERROR(__xludf.DUMMYFUNCTION("""COMPUTED_VALUE"""),"Founder")</f>
        <v>Founder</v>
      </c>
      <c r="D44" s="17" t="str">
        <f>IFERROR(__xludf.DUMMYFUNCTION("""COMPUTED_VALUE"""),"(2) Kunal Shah | LinkedIn")</f>
        <v>(2) Kunal Shah | LinkedIn</v>
      </c>
      <c r="E44" s="17"/>
      <c r="F44" s="17"/>
      <c r="G44" s="17"/>
      <c r="H44" s="17"/>
    </row>
    <row r="45">
      <c r="A45" s="17" t="str">
        <f>IFERROR(__xludf.DUMMYFUNCTION("""COMPUTED_VALUE"""),"Ather")</f>
        <v>Ather</v>
      </c>
      <c r="B45" s="17" t="str">
        <f>IFERROR(__xludf.DUMMYFUNCTION("""COMPUTED_VALUE"""),"Tarun Mehta")</f>
        <v>Tarun Mehta</v>
      </c>
      <c r="C45" s="17" t="str">
        <f>IFERROR(__xludf.DUMMYFUNCTION("""COMPUTED_VALUE"""),"CEO, Co Founder")</f>
        <v>CEO, Co Founder</v>
      </c>
      <c r="D45" s="17"/>
      <c r="E45" s="17"/>
      <c r="F45" s="17" t="str">
        <f>IFERROR(__xludf.DUMMYFUNCTION("""COMPUTED_VALUE"""),"tarun.m@atherenergy.com")</f>
        <v>tarun.m@atherenergy.com</v>
      </c>
      <c r="G45" s="17"/>
      <c r="H45" s="17"/>
    </row>
    <row r="46">
      <c r="A46" s="17" t="str">
        <f>IFERROR(__xludf.DUMMYFUNCTION("""COMPUTED_VALUE"""),"Rapido")</f>
        <v>Rapido</v>
      </c>
      <c r="B46" s="17" t="str">
        <f>IFERROR(__xludf.DUMMYFUNCTION("""COMPUTED_VALUE"""),"Pavan Guntupalli")</f>
        <v>Pavan Guntupalli</v>
      </c>
      <c r="C46" s="17" t="str">
        <f>IFERROR(__xludf.DUMMYFUNCTION("""COMPUTED_VALUE"""),"Co Founder")</f>
        <v>Co Founder</v>
      </c>
      <c r="D46" s="17"/>
      <c r="E46" s="17"/>
      <c r="F46" s="17" t="str">
        <f>IFERROR(__xludf.DUMMYFUNCTION("""COMPUTED_VALUE"""),"pavan@rapido.bike")</f>
        <v>pavan@rapido.bike</v>
      </c>
      <c r="G46" s="17"/>
      <c r="H46" s="17"/>
    </row>
    <row r="47">
      <c r="A47" s="17" t="str">
        <f>IFERROR(__xludf.DUMMYFUNCTION("""COMPUTED_VALUE"""),"Infra.Market")</f>
        <v>Infra.Market</v>
      </c>
      <c r="B47" s="17" t="str">
        <f>IFERROR(__xludf.DUMMYFUNCTION("""COMPUTED_VALUE"""),"Souvik Sengupta")</f>
        <v>Souvik Sengupta</v>
      </c>
      <c r="C47" s="17" t="str">
        <f>IFERROR(__xludf.DUMMYFUNCTION("""COMPUTED_VALUE"""),"Co-founder")</f>
        <v>Co-founder</v>
      </c>
      <c r="D47" s="27" t="str">
        <f>IFERROR(__xludf.DUMMYFUNCTION("""COMPUTED_VALUE"""),"https://www.linkedin.com/in/souvik-sengupta-439699142/")</f>
        <v>https://www.linkedin.com/in/souvik-sengupta-439699142/</v>
      </c>
      <c r="E47" s="17" t="str">
        <f>IFERROR(__xludf.DUMMYFUNCTION("""COMPUTED_VALUE""")," 70215 13762")</f>
        <v> 70215 13762</v>
      </c>
      <c r="F47" s="17" t="str">
        <f>IFERROR(__xludf.DUMMYFUNCTION("""COMPUTED_VALUE"""),"souvik.sengupta@infra.market")</f>
        <v>souvik.sengupta@infra.market</v>
      </c>
      <c r="G47" s="17"/>
      <c r="H47" s="17"/>
    </row>
    <row r="48">
      <c r="A48" s="17" t="str">
        <f>IFERROR(__xludf.DUMMYFUNCTION("""COMPUTED_VALUE"""),"Durva")</f>
        <v>Durva</v>
      </c>
      <c r="B48" s="17" t="str">
        <f>IFERROR(__xludf.DUMMYFUNCTION("""COMPUTED_VALUE"""),"Jaspreet Singh")</f>
        <v>Jaspreet Singh</v>
      </c>
      <c r="C48" s="17" t="str">
        <f>IFERROR(__xludf.DUMMYFUNCTION("""COMPUTED_VALUE"""),"Co-founder")</f>
        <v>Co-founder</v>
      </c>
      <c r="D48" s="27" t="str">
        <f>IFERROR(__xludf.DUMMYFUNCTION("""COMPUTED_VALUE"""),"https://www.linkedin.com/in/jaspreets/https://www.linkedin.com/in/jaspreets/")</f>
        <v>https://www.linkedin.com/in/jaspreets/https://www.linkedin.com/in/jaspreets/</v>
      </c>
      <c r="E48" s="17" t="str">
        <f>IFERROR(__xludf.DUMMYFUNCTION("""COMPUTED_VALUE"""),"14083916403")</f>
        <v>14083916403</v>
      </c>
      <c r="F48" s="17" t="str">
        <f>IFERROR(__xludf.DUMMYFUNCTION("""COMPUTED_VALUE"""),"jaspreet.singh@druva.com")</f>
        <v>jaspreet.singh@druva.com</v>
      </c>
      <c r="G48" s="17"/>
      <c r="H48" s="17"/>
    </row>
    <row r="49">
      <c r="A49" s="17" t="str">
        <f>IFERROR(__xludf.DUMMYFUNCTION("""COMPUTED_VALUE"""),"Durva")</f>
        <v>Durva</v>
      </c>
      <c r="B49" s="17" t="str">
        <f>IFERROR(__xludf.DUMMYFUNCTION("""COMPUTED_VALUE"""),"Milind Borate")</f>
        <v>Milind Borate</v>
      </c>
      <c r="C49" s="17" t="str">
        <f>IFERROR(__xludf.DUMMYFUNCTION("""COMPUTED_VALUE"""),"Co-founder")</f>
        <v>Co-founder</v>
      </c>
      <c r="D49" s="17"/>
      <c r="E49" s="17" t="str">
        <f>IFERROR(__xludf.DUMMYFUNCTION("""COMPUTED_VALUE"""),"919860403029")</f>
        <v>919860403029</v>
      </c>
      <c r="F49" s="17" t="str">
        <f>IFERROR(__xludf.DUMMYFUNCTION("""COMPUTED_VALUE"""),"milind.borate@druva.com")</f>
        <v>milind.borate@druva.com</v>
      </c>
      <c r="G49" s="17"/>
      <c r="H49" s="17"/>
    </row>
    <row r="50">
      <c r="A50" s="17" t="str">
        <f>IFERROR(__xludf.DUMMYFUNCTION("""COMPUTED_VALUE"""),"Delhivery ")</f>
        <v>Delhivery </v>
      </c>
      <c r="B50" s="17" t="str">
        <f>IFERROR(__xludf.DUMMYFUNCTION("""COMPUTED_VALUE"""),"Sahil Barua")</f>
        <v>Sahil Barua</v>
      </c>
      <c r="C50" s="17" t="str">
        <f>IFERROR(__xludf.DUMMYFUNCTION("""COMPUTED_VALUE"""),"Co-founder")</f>
        <v>Co-founder</v>
      </c>
      <c r="D50" s="17"/>
      <c r="E50" s="17"/>
      <c r="F50" s="17" t="str">
        <f>IFERROR(__xludf.DUMMYFUNCTION("""COMPUTED_VALUE"""),"zigackly@gmail.com.  sb@delhivery.com")</f>
        <v>zigackly@gmail.com.  sb@delhivery.com</v>
      </c>
      <c r="G50" s="17"/>
      <c r="H50" s="17"/>
    </row>
    <row r="51">
      <c r="A51" s="17" t="str">
        <f>IFERROR(__xludf.DUMMYFUNCTION("""COMPUTED_VALUE"""),"Delhivery ")</f>
        <v>Delhivery </v>
      </c>
      <c r="B51" s="17" t="str">
        <f>IFERROR(__xludf.DUMMYFUNCTION("""COMPUTED_VALUE"""),"Suraj Saharan")</f>
        <v>Suraj Saharan</v>
      </c>
      <c r="C51" s="17" t="str">
        <f>IFERROR(__xludf.DUMMYFUNCTION("""COMPUTED_VALUE"""),"Co-founder")</f>
        <v>Co-founder</v>
      </c>
      <c r="D51" s="17"/>
      <c r="E51" s="17" t="str">
        <f>IFERROR(__xludf.DUMMYFUNCTION("""COMPUTED_VALUE"""),"919811228580")</f>
        <v>919811228580</v>
      </c>
      <c r="F51" s="17" t="str">
        <f>IFERROR(__xludf.DUMMYFUNCTION("""COMPUTED_VALUE"""),"suraj.saharan@delhivery.com | surajsaharan@gmail.com")</f>
        <v>suraj.saharan@delhivery.com | surajsaharan@gmail.com</v>
      </c>
      <c r="G51" s="17"/>
      <c r="H51" s="17"/>
    </row>
    <row r="52">
      <c r="A52" s="17" t="str">
        <f>IFERROR(__xludf.DUMMYFUNCTION("""COMPUTED_VALUE"""),"Delhivery ")</f>
        <v>Delhivery </v>
      </c>
      <c r="B52" s="17" t="str">
        <f>IFERROR(__xludf.DUMMYFUNCTION("""COMPUTED_VALUE"""),"Kapil Bharati")</f>
        <v>Kapil Bharati</v>
      </c>
      <c r="C52" s="17" t="str">
        <f>IFERROR(__xludf.DUMMYFUNCTION("""COMPUTED_VALUE"""),"Co-founder")</f>
        <v>Co-founder</v>
      </c>
      <c r="D52" s="17"/>
      <c r="E52" s="17" t="str">
        <f>IFERROR(__xludf.DUMMYFUNCTION("""COMPUTED_VALUE"""),"919899205817")</f>
        <v>919899205817</v>
      </c>
      <c r="F52" s="17" t="str">
        <f>IFERROR(__xludf.DUMMYFUNCTION("""COMPUTED_VALUE"""),"kbhara@gmail.com | kapil.bharati@delhivery.com")</f>
        <v>kbhara@gmail.com | kapil.bharati@delhivery.com</v>
      </c>
      <c r="G52" s="17"/>
      <c r="H52" s="17"/>
    </row>
    <row r="53">
      <c r="A53" s="17" t="str">
        <f>IFERROR(__xludf.DUMMYFUNCTION("""COMPUTED_VALUE"""),"Delhivery ")</f>
        <v>Delhivery </v>
      </c>
      <c r="B53" s="17" t="str">
        <f>IFERROR(__xludf.DUMMYFUNCTION("""COMPUTED_VALUE"""),"Mohit Tandon")</f>
        <v>Mohit Tandon</v>
      </c>
      <c r="C53" s="17" t="str">
        <f>IFERROR(__xludf.DUMMYFUNCTION("""COMPUTED_VALUE"""),"Co-founder")</f>
        <v>Co-founder</v>
      </c>
      <c r="D53" s="17"/>
      <c r="E53" s="17" t="str">
        <f>IFERROR(__xludf.DUMMYFUNCTION("""COMPUTED_VALUE"""),"919818664451")</f>
        <v>919818664451</v>
      </c>
      <c r="F53" s="17" t="str">
        <f>IFERROR(__xludf.DUMMYFUNCTION("""COMPUTED_VALUE"""),"mohittandon@gmail.com")</f>
        <v>mohittandon@gmail.com</v>
      </c>
      <c r="G53" s="17"/>
      <c r="H53" s="17"/>
    </row>
    <row r="54">
      <c r="A54" s="17" t="str">
        <f>IFERROR(__xludf.DUMMYFUNCTION("""COMPUTED_VALUE"""),"Delhivery ")</f>
        <v>Delhivery </v>
      </c>
      <c r="B54" s="17" t="str">
        <f>IFERROR(__xludf.DUMMYFUNCTION("""COMPUTED_VALUE"""),"Bhavesh Manglani")</f>
        <v>Bhavesh Manglani</v>
      </c>
      <c r="C54" s="17" t="str">
        <f>IFERROR(__xludf.DUMMYFUNCTION("""COMPUTED_VALUE"""),"Co-founder")</f>
        <v>Co-founder</v>
      </c>
      <c r="D54" s="17"/>
      <c r="E54" s="17" t="str">
        <f>IFERROR(__xludf.DUMMYFUNCTION("""COMPUTED_VALUE"""),"919910202555")</f>
        <v>919910202555</v>
      </c>
      <c r="F54" s="17" t="str">
        <f>IFERROR(__xludf.DUMMYFUNCTION("""COMPUTED_VALUE"""),"bhaveshmanglani@gmail.com")</f>
        <v>bhaveshmanglani@gmail.com</v>
      </c>
      <c r="G54" s="17"/>
      <c r="H54" s="17"/>
    </row>
    <row r="55">
      <c r="A55" s="17" t="str">
        <f>IFERROR(__xludf.DUMMYFUNCTION("""COMPUTED_VALUE"""),"Bigbasket")</f>
        <v>Bigbasket</v>
      </c>
      <c r="B55" s="17" t="str">
        <f>IFERROR(__xludf.DUMMYFUNCTION("""COMPUTED_VALUE"""),"Hari Menon")</f>
        <v>Hari Menon</v>
      </c>
      <c r="C55" s="17" t="str">
        <f>IFERROR(__xludf.DUMMYFUNCTION("""COMPUTED_VALUE"""),"Co-founder")</f>
        <v>Co-founder</v>
      </c>
      <c r="D55" s="17"/>
      <c r="E55" s="17"/>
      <c r="F55" s="17" t="str">
        <f>IFERROR(__xludf.DUMMYFUNCTION("""COMPUTED_VALUE"""),"hari@bigbasket.com")</f>
        <v>hari@bigbasket.com</v>
      </c>
      <c r="G55" s="17"/>
      <c r="H55" s="17"/>
    </row>
    <row r="56">
      <c r="A56" s="17" t="str">
        <f>IFERROR(__xludf.DUMMYFUNCTION("""COMPUTED_VALUE"""),"Bigbasket")</f>
        <v>Bigbasket</v>
      </c>
      <c r="B56" s="17" t="str">
        <f>IFERROR(__xludf.DUMMYFUNCTION("""COMPUTED_VALUE"""),"Vipul Parekh")</f>
        <v>Vipul Parekh</v>
      </c>
      <c r="C56" s="17" t="str">
        <f>IFERROR(__xludf.DUMMYFUNCTION("""COMPUTED_VALUE"""),"Co-founder")</f>
        <v>Co-founder</v>
      </c>
      <c r="D56" s="17"/>
      <c r="E56" s="17" t="str">
        <f>IFERROR(__xludf.DUMMYFUNCTION("""COMPUTED_VALUE"""),"919845030014")</f>
        <v>919845030014</v>
      </c>
      <c r="F56" s="17" t="str">
        <f>IFERROR(__xludf.DUMMYFUNCTION("""COMPUTED_VALUE"""),"vipul1000@gmail.com. vipul@bigbasket.com")</f>
        <v>vipul1000@gmail.com. vipul@bigbasket.com</v>
      </c>
      <c r="G56" s="17"/>
      <c r="H56" s="17"/>
    </row>
    <row r="57">
      <c r="A57" s="17" t="str">
        <f>IFERROR(__xludf.DUMMYFUNCTION("""COMPUTED_VALUE"""),"Bigbasket")</f>
        <v>Bigbasket</v>
      </c>
      <c r="B57" s="17" t="str">
        <f>IFERROR(__xludf.DUMMYFUNCTION("""COMPUTED_VALUE"""),"Abhinay Choudhari")</f>
        <v>Abhinay Choudhari</v>
      </c>
      <c r="C57" s="17" t="str">
        <f>IFERROR(__xludf.DUMMYFUNCTION("""COMPUTED_VALUE"""),"Co-founder")</f>
        <v>Co-founder</v>
      </c>
      <c r="D57" s="17"/>
      <c r="E57" s="17"/>
      <c r="F57" s="17" t="str">
        <f>IFERROR(__xludf.DUMMYFUNCTION("""COMPUTED_VALUE"""),"abhinay@bigbasket.com
abhinay.choudhari@gmail.com
abhinaychoudhari@yahoo.com
abhinaychoudhari@hotmail.com")</f>
        <v>abhinay@bigbasket.com
abhinay.choudhari@gmail.com
abhinaychoudhari@yahoo.com
abhinaychoudhari@hotmail.com</v>
      </c>
      <c r="G57" s="17"/>
      <c r="H57" s="17"/>
    </row>
    <row r="58">
      <c r="A58" s="17" t="str">
        <f>IFERROR(__xludf.DUMMYFUNCTION("""COMPUTED_VALUE"""),"Hike")</f>
        <v>Hike</v>
      </c>
      <c r="B58" s="17" t="str">
        <f>IFERROR(__xludf.DUMMYFUNCTION("""COMPUTED_VALUE"""),"Kavin Bharti Mittal")</f>
        <v>Kavin Bharti Mittal</v>
      </c>
      <c r="C58" s="17" t="str">
        <f>IFERROR(__xludf.DUMMYFUNCTION("""COMPUTED_VALUE"""),"Co-founder")</f>
        <v>Co-founder</v>
      </c>
      <c r="D58" s="17"/>
      <c r="E58" s="17"/>
      <c r="F58" s="17" t="str">
        <f>IFERROR(__xludf.DUMMYFUNCTION("""COMPUTED_VALUE"""),"kbm@hike.in
kavinbmittal@gmail.com")</f>
        <v>kbm@hike.in
kavinbmittal@gmail.com</v>
      </c>
      <c r="G58" s="17"/>
      <c r="H58" s="17"/>
    </row>
    <row r="59">
      <c r="A59" s="17" t="str">
        <f>IFERROR(__xludf.DUMMYFUNCTION("""COMPUTED_VALUE"""),"navi")</f>
        <v>navi</v>
      </c>
      <c r="B59" s="17" t="str">
        <f>IFERROR(__xludf.DUMMYFUNCTION("""COMPUTED_VALUE"""),"Sachin Bansal")</f>
        <v>Sachin Bansal</v>
      </c>
      <c r="C59" s="17" t="str">
        <f>IFERROR(__xludf.DUMMYFUNCTION("""COMPUTED_VALUE"""),"Co-founder")</f>
        <v>Co-founder</v>
      </c>
      <c r="D59" s="17"/>
      <c r="E59" s="17"/>
      <c r="F59" s="17" t="str">
        <f>IFERROR(__xludf.DUMMYFUNCTION("""COMPUTED_VALUE"""),"sachin.bansal@navi.com
sachinbansal81@gmail.com")</f>
        <v>sachin.bansal@navi.com
sachinbansal81@gmail.com</v>
      </c>
      <c r="G59" s="17"/>
      <c r="H59" s="17"/>
    </row>
    <row r="60">
      <c r="A60" s="17" t="str">
        <f>IFERROR(__xludf.DUMMYFUNCTION("""COMPUTED_VALUE"""),"navi")</f>
        <v>navi</v>
      </c>
      <c r="B60" s="17" t="str">
        <f>IFERROR(__xludf.DUMMYFUNCTION("""COMPUTED_VALUE"""),"Hanu Siddhanth Rapeti ")</f>
        <v>Hanu Siddhanth Rapeti </v>
      </c>
      <c r="C60" s="17" t="str">
        <f>IFERROR(__xludf.DUMMYFUNCTION("""COMPUTED_VALUE"""),"cos")</f>
        <v>cos</v>
      </c>
      <c r="D60" s="17"/>
      <c r="E60" s="17" t="str">
        <f>IFERROR(__xludf.DUMMYFUNCTION("""COMPUTED_VALUE"""),"hanu.rapeti@navi.com")</f>
        <v>hanu.rapeti@navi.com</v>
      </c>
      <c r="F60" s="17"/>
      <c r="G60" s="17"/>
      <c r="H60" s="17"/>
    </row>
    <row r="61">
      <c r="A61" s="17" t="str">
        <f>IFERROR(__xludf.DUMMYFUNCTION("""COMPUTED_VALUE"""),"zepto")</f>
        <v>zepto</v>
      </c>
      <c r="B61" s="17" t="str">
        <f>IFERROR(__xludf.DUMMYFUNCTION("""COMPUTED_VALUE"""),"Aadit Palicha ")</f>
        <v>Aadit Palicha </v>
      </c>
      <c r="C61" s="17" t="str">
        <f>IFERROR(__xludf.DUMMYFUNCTION("""COMPUTED_VALUE"""),"Co Founder &amp; CEO ")</f>
        <v>Co Founder &amp; CEO </v>
      </c>
      <c r="D61" s="17"/>
      <c r="E61" s="17" t="str">
        <f>IFERROR(__xludf.DUMMYFUNCTION("""COMPUTED_VALUE"""),"971507883200")</f>
        <v>971507883200</v>
      </c>
      <c r="F61" s="17" t="str">
        <f>IFERROR(__xludf.DUMMYFUNCTION("""COMPUTED_VALUE"""),"aaditpalicha@gmail.com")</f>
        <v>aaditpalicha@gmail.com</v>
      </c>
      <c r="G61" s="17"/>
      <c r="H61" s="17"/>
    </row>
    <row r="62">
      <c r="A62" s="17" t="str">
        <f>IFERROR(__xludf.DUMMYFUNCTION("""COMPUTED_VALUE"""),"zepto")</f>
        <v>zepto</v>
      </c>
      <c r="B62" s="17" t="str">
        <f>IFERROR(__xludf.DUMMYFUNCTION("""COMPUTED_VALUE"""),"Kaivalya V. ")</f>
        <v>Kaivalya V. </v>
      </c>
      <c r="C62" s="17" t="str">
        <f>IFERROR(__xludf.DUMMYFUNCTION("""COMPUTED_VALUE"""),"Co Founder ")</f>
        <v>Co Founder </v>
      </c>
      <c r="D62" s="17"/>
      <c r="E62" s="17"/>
      <c r="F62" s="17" t="str">
        <f>IFERROR(__xludf.DUMMYFUNCTION("""COMPUTED_VALUE"""),"kaivalyavohra@gmail.com, kaivalya@zeptonow.com")</f>
        <v>kaivalyavohra@gmail.com, kaivalya@zeptonow.com</v>
      </c>
      <c r="G62" s="17"/>
      <c r="H62" s="17"/>
    </row>
    <row r="63">
      <c r="A63" s="17" t="str">
        <f>IFERROR(__xludf.DUMMYFUNCTION("""COMPUTED_VALUE"""),"zepto")</f>
        <v>zepto</v>
      </c>
      <c r="B63" s="17" t="str">
        <f>IFERROR(__xludf.DUMMYFUNCTION("""COMPUTED_VALUE"""),"Sneha Arora")</f>
        <v>Sneha Arora</v>
      </c>
      <c r="C63" s="17" t="str">
        <f>IFERROR(__xludf.DUMMYFUNCTION("""COMPUTED_VALUE"""),"Chief Human Resources Officer")</f>
        <v>Chief Human Resources Officer</v>
      </c>
      <c r="D63" s="27" t="str">
        <f>IFERROR(__xludf.DUMMYFUNCTION("""COMPUTED_VALUE"""),"https://www.linkedin.com/in/arora-sneha/")</f>
        <v>https://www.linkedin.com/in/arora-sneha/</v>
      </c>
      <c r="E63" s="17"/>
      <c r="F63" s="17" t="str">
        <f>IFERROR(__xludf.DUMMYFUNCTION("""COMPUTED_VALUE"""),"sneha.arora@zeptonow.com")</f>
        <v>sneha.arora@zeptonow.com</v>
      </c>
      <c r="G63" s="17" t="str">
        <f>IFERROR(__xludf.DUMMYFUNCTION("""COMPUTED_VALUE"""),"sneha.arora@getsimpl.com")</f>
        <v>sneha.arora@getsimpl.com</v>
      </c>
      <c r="H63" s="17" t="str">
        <f>IFERROR(__xludf.DUMMYFUNCTION("""COMPUTED_VALUE"""),"sneha.arora@gmail.com")</f>
        <v>sneha.arora@gmail.com</v>
      </c>
    </row>
    <row r="64">
      <c r="A64" s="17" t="str">
        <f>IFERROR(__xludf.DUMMYFUNCTION("""COMPUTED_VALUE"""),"glance")</f>
        <v>glance</v>
      </c>
      <c r="B64" s="17" t="str">
        <f>IFERROR(__xludf.DUMMYFUNCTION("""COMPUTED_VALUE"""),"Naveen Tewari")</f>
        <v>Naveen Tewari</v>
      </c>
      <c r="C64" s="17" t="str">
        <f>IFERROR(__xludf.DUMMYFUNCTION("""COMPUTED_VALUE"""),"founder")</f>
        <v>founder</v>
      </c>
      <c r="D64" s="17"/>
      <c r="E64" s="17" t="str">
        <f>IFERROR(__xludf.DUMMYFUNCTION("""COMPUTED_VALUE"""),"8065834445")</f>
        <v>8065834445</v>
      </c>
      <c r="F64" s="17" t="str">
        <f>IFERROR(__xludf.DUMMYFUNCTION("""COMPUTED_VALUE"""),"naveen.tewari@inmobi.com")</f>
        <v>naveen.tewari@inmobi.com</v>
      </c>
      <c r="G64" s="17"/>
      <c r="H64" s="17"/>
    </row>
    <row r="65">
      <c r="A65" s="17" t="str">
        <f>IFERROR(__xludf.DUMMYFUNCTION("""COMPUTED_VALUE"""),"glance")</f>
        <v>glance</v>
      </c>
      <c r="B65" s="17" t="str">
        <f>IFERROR(__xludf.DUMMYFUNCTION("""COMPUTED_VALUE"""),"Shefali Rai")</f>
        <v>Shefali Rai</v>
      </c>
      <c r="C65" s="17" t="str">
        <f>IFERROR(__xludf.DUMMYFUNCTION("""COMPUTED_VALUE"""),"Chief of staff")</f>
        <v>Chief of staff</v>
      </c>
      <c r="D65" s="27" t="str">
        <f>IFERROR(__xludf.DUMMYFUNCTION("""COMPUTED_VALUE"""),"https://www.linkedin.com/in/shefalirai/")</f>
        <v>https://www.linkedin.com/in/shefalirai/</v>
      </c>
      <c r="E65" s="17"/>
      <c r="F65" s="17" t="str">
        <f>IFERROR(__xludf.DUMMYFUNCTION("""COMPUTED_VALUE"""),"shefali.rai@inmobi.com")</f>
        <v>shefali.rai@inmobi.com</v>
      </c>
      <c r="G65" s="17" t="str">
        <f>IFERROR(__xludf.DUMMYFUNCTION("""COMPUTED_VALUE"""),"shefali.rai@glance.com")</f>
        <v>shefali.rai@glance.com</v>
      </c>
      <c r="H65" s="17" t="str">
        <f>IFERROR(__xludf.DUMMYFUNCTION("""COMPUTED_VALUE"""),"shefali.rai@gmail.com")</f>
        <v>shefali.rai@gmail.com</v>
      </c>
    </row>
    <row r="66">
      <c r="A66" s="17" t="str">
        <f>IFERROR(__xludf.DUMMYFUNCTION("""COMPUTED_VALUE"""),"raise")</f>
        <v>raise</v>
      </c>
      <c r="B66" s="17" t="str">
        <f>IFERROR(__xludf.DUMMYFUNCTION("""COMPUTED_VALUE"""),"Alok Pandey")</f>
        <v>Alok Pandey</v>
      </c>
      <c r="C66" s="17" t="str">
        <f>IFERROR(__xludf.DUMMYFUNCTION("""COMPUTED_VALUE"""),"founder")</f>
        <v>founder</v>
      </c>
      <c r="D66" s="17"/>
      <c r="E66" s="17" t="str">
        <f>IFERROR(__xludf.DUMMYFUNCTION("""COMPUTED_VALUE"""),"9833122482")</f>
        <v>9833122482</v>
      </c>
      <c r="F66" s="17" t="str">
        <f>IFERROR(__xludf.DUMMYFUNCTION("""COMPUTED_VALUE"""),"alok@raiseholding.co")</f>
        <v>alok@raiseholding.co</v>
      </c>
      <c r="G66" s="17"/>
      <c r="H66" s="17"/>
    </row>
    <row r="67">
      <c r="A67" s="17" t="str">
        <f>IFERROR(__xludf.DUMMYFUNCTION("""COMPUTED_VALUE"""),"raise")</f>
        <v>raise</v>
      </c>
      <c r="B67" s="17" t="str">
        <f>IFERROR(__xludf.DUMMYFUNCTION("""COMPUTED_VALUE"""),"Kathleen Anderl")</f>
        <v>Kathleen Anderl</v>
      </c>
      <c r="C67" s="17" t="str">
        <f>IFERROR(__xludf.DUMMYFUNCTION("""COMPUTED_VALUE"""),"Chief of Staff")</f>
        <v>Chief of Staff</v>
      </c>
      <c r="D67" s="27" t="str">
        <f>IFERROR(__xludf.DUMMYFUNCTION("""COMPUTED_VALUE"""),"https://www.linkedin.com/in/kathleen-anderl/")</f>
        <v>https://www.linkedin.com/in/kathleen-anderl/</v>
      </c>
      <c r="E67" s="17"/>
      <c r="F67" s="17" t="str">
        <f>IFERROR(__xludf.DUMMYFUNCTION("""COMPUTED_VALUE"""),"katieanderl@gmail.com")</f>
        <v>katieanderl@gmail.com</v>
      </c>
      <c r="G67" s="17" t="str">
        <f>IFERROR(__xludf.DUMMYFUNCTION("""COMPUTED_VALUE"""),"k8te01@hotmail.com")</f>
        <v>k8te01@hotmail.com</v>
      </c>
      <c r="H67" s="17"/>
    </row>
    <row r="68">
      <c r="A68" s="17" t="str">
        <f>IFERROR(__xludf.DUMMYFUNCTION("""COMPUTED_VALUE"""),"upGrad")</f>
        <v>upGrad</v>
      </c>
      <c r="B68" s="17" t="str">
        <f>IFERROR(__xludf.DUMMYFUNCTION("""COMPUTED_VALUE"""),"Ronnie Screwvala")</f>
        <v>Ronnie Screwvala</v>
      </c>
      <c r="C68" s="17" t="str">
        <f>IFERROR(__xludf.DUMMYFUNCTION("""COMPUTED_VALUE"""),"Chairperson &amp; Co-Founder")</f>
        <v>Chairperson &amp; Co-Founder</v>
      </c>
      <c r="D68" s="27" t="str">
        <f>IFERROR(__xludf.DUMMYFUNCTION("""COMPUTED_VALUE"""),"https://in.linkedin.com/in/ronniescrewvala")</f>
        <v>https://in.linkedin.com/in/ronniescrewvala</v>
      </c>
      <c r="E68" s="17"/>
      <c r="F68" s="17" t="str">
        <f>IFERROR(__xludf.DUMMYFUNCTION("""COMPUTED_VALUE"""),"ronniescrewvala@gmail.com")</f>
        <v>ronniescrewvala@gmail.com</v>
      </c>
      <c r="G68" s="17"/>
      <c r="H68" s="17"/>
    </row>
    <row r="69">
      <c r="A69" s="17" t="str">
        <f>IFERROR(__xludf.DUMMYFUNCTION("""COMPUTED_VALUE"""),"Inmobi")</f>
        <v>Inmobi</v>
      </c>
      <c r="B69" s="17" t="str">
        <f>IFERROR(__xludf.DUMMYFUNCTION("""COMPUTED_VALUE"""),"Naveen Tewari")</f>
        <v>Naveen Tewari</v>
      </c>
      <c r="C69" s="17" t="str">
        <f>IFERROR(__xludf.DUMMYFUNCTION("""COMPUTED_VALUE"""),"Founder")</f>
        <v>Founder</v>
      </c>
      <c r="D69" s="17"/>
      <c r="E69" s="17"/>
      <c r="F69" s="17" t="str">
        <f>IFERROR(__xludf.DUMMYFUNCTION("""COMPUTED_VALUE"""),"naveen.tewari@inmobi.com")</f>
        <v>naveen.tewari@inmobi.com</v>
      </c>
      <c r="G69" s="17"/>
      <c r="H69" s="17"/>
    </row>
    <row r="70">
      <c r="A70" s="17" t="str">
        <f>IFERROR(__xludf.DUMMYFUNCTION("""COMPUTED_VALUE"""),"Inmobi")</f>
        <v>Inmobi</v>
      </c>
      <c r="B70" s="17" t="str">
        <f>IFERROR(__xludf.DUMMYFUNCTION("""COMPUTED_VALUE"""),"Shefali Rai")</f>
        <v>Shefali Rai</v>
      </c>
      <c r="C70" s="17" t="str">
        <f>IFERROR(__xludf.DUMMYFUNCTION("""COMPUTED_VALUE"""),"Chief of staff")</f>
        <v>Chief of staff</v>
      </c>
      <c r="D70" s="27" t="str">
        <f>IFERROR(__xludf.DUMMYFUNCTION("""COMPUTED_VALUE"""),"https://www.linkedin.com/in/shefalirai/")</f>
        <v>https://www.linkedin.com/in/shefalirai/</v>
      </c>
      <c r="E70" s="17"/>
      <c r="F70" s="17" t="str">
        <f>IFERROR(__xludf.DUMMYFUNCTION("""COMPUTED_VALUE"""),"shefali.rai@inmobi.com")</f>
        <v>shefali.rai@inmobi.com</v>
      </c>
      <c r="G70" s="17" t="str">
        <f>IFERROR(__xludf.DUMMYFUNCTION("""COMPUTED_VALUE"""),"shefali.rai@glance.com")</f>
        <v>shefali.rai@glance.com</v>
      </c>
      <c r="H70" s="17" t="str">
        <f>IFERROR(__xludf.DUMMYFUNCTION("""COMPUTED_VALUE"""),"shefali.rai@gmail.com")</f>
        <v>shefali.rai@gmail.com</v>
      </c>
    </row>
    <row r="71">
      <c r="A71" s="17" t="str">
        <f>IFERROR(__xludf.DUMMYFUNCTION("""COMPUTED_VALUE"""),"Quickr")</f>
        <v>Quickr</v>
      </c>
      <c r="B71" s="17" t="str">
        <f>IFERROR(__xludf.DUMMYFUNCTION("""COMPUTED_VALUE"""),"Pranay Chulet")</f>
        <v>Pranay Chulet</v>
      </c>
      <c r="C71" s="17" t="str">
        <f>IFERROR(__xludf.DUMMYFUNCTION("""COMPUTED_VALUE"""),"founder")</f>
        <v>founder</v>
      </c>
      <c r="D71" s="17"/>
      <c r="E71" s="17"/>
      <c r="F71" s="17" t="str">
        <f>IFERROR(__xludf.DUMMYFUNCTION("""COMPUTED_VALUE"""),"pranay@quikr.com")</f>
        <v>pranay@quikr.com</v>
      </c>
      <c r="G71" s="17"/>
      <c r="H71" s="17"/>
    </row>
    <row r="72">
      <c r="A72" s="17" t="str">
        <f>IFERROR(__xludf.DUMMYFUNCTION("""COMPUTED_VALUE"""),"physicswallah")</f>
        <v>physicswallah</v>
      </c>
      <c r="B72" s="17" t="str">
        <f>IFERROR(__xludf.DUMMYFUNCTION("""COMPUTED_VALUE"""),"Alakh pandey ")</f>
        <v>Alakh pandey </v>
      </c>
      <c r="C72" s="17" t="str">
        <f>IFERROR(__xludf.DUMMYFUNCTION("""COMPUTED_VALUE"""),"founder")</f>
        <v>founder</v>
      </c>
      <c r="D72" s="17"/>
      <c r="E72" s="17"/>
      <c r="F72" s="17" t="str">
        <f>IFERROR(__xludf.DUMMYFUNCTION("""COMPUTED_VALUE"""),"alakh@pw.live")</f>
        <v>alakh@pw.live</v>
      </c>
      <c r="G72" s="17"/>
      <c r="H72" s="17"/>
    </row>
    <row r="73">
      <c r="A73" s="17" t="str">
        <f>IFERROR(__xludf.DUMMYFUNCTION("""COMPUTED_VALUE"""),"meesho")</f>
        <v>meesho</v>
      </c>
      <c r="B73" s="17" t="str">
        <f>IFERROR(__xludf.DUMMYFUNCTION("""COMPUTED_VALUE"""),"Utkarsh Garg")</f>
        <v>Utkarsh Garg</v>
      </c>
      <c r="C73" s="17" t="str">
        <f>IFERROR(__xludf.DUMMYFUNCTION("""COMPUTED_VALUE"""),"Chief of staff")</f>
        <v>Chief of staff</v>
      </c>
      <c r="D73" s="27" t="str">
        <f>IFERROR(__xludf.DUMMYFUNCTION("""COMPUTED_VALUE"""),"https://www.linkedin.com/in/utkarshgarg/")</f>
        <v>https://www.linkedin.com/in/utkarshgarg/</v>
      </c>
      <c r="E73" s="17"/>
      <c r="F73" s="17" t="str">
        <f>IFERROR(__xludf.DUMMYFUNCTION("""COMPUTED_VALUE"""),"utkarsh@meesho.com")</f>
        <v>utkarsh@meesho.com</v>
      </c>
      <c r="G73" s="17" t="str">
        <f>IFERROR(__xludf.DUMMYFUNCTION("""COMPUTED_VALUE"""),"utkarshgarg1994@gmail.com")</f>
        <v>utkarshgarg1994@gmail.com</v>
      </c>
      <c r="H73" s="17"/>
    </row>
    <row r="74">
      <c r="A74" s="17" t="str">
        <f>IFERROR(__xludf.DUMMYFUNCTION("""COMPUTED_VALUE"""),"meesho")</f>
        <v>meesho</v>
      </c>
      <c r="B74" s="17" t="str">
        <f>IFERROR(__xludf.DUMMYFUNCTION("""COMPUTED_VALUE"""),"Sanjeev Barnwal")</f>
        <v>Sanjeev Barnwal</v>
      </c>
      <c r="C74" s="17" t="str">
        <f>IFERROR(__xludf.DUMMYFUNCTION("""COMPUTED_VALUE"""),"Co-founder")</f>
        <v>Co-founder</v>
      </c>
      <c r="D74" s="17"/>
      <c r="E74" s="17"/>
      <c r="F74" s="17" t="str">
        <f>IFERROR(__xludf.DUMMYFUNCTION("""COMPUTED_VALUE"""),"reachsanjeev5@gmail.com")</f>
        <v>reachsanjeev5@gmail.com</v>
      </c>
      <c r="G74" s="17"/>
      <c r="H74" s="17"/>
    </row>
    <row r="75">
      <c r="A75" s="17" t="str">
        <f>IFERROR(__xludf.DUMMYFUNCTION("""COMPUTED_VALUE"""),"Purplle")</f>
        <v>Purplle</v>
      </c>
      <c r="B75" s="17" t="str">
        <f>IFERROR(__xludf.DUMMYFUNCTION("""COMPUTED_VALUE"""),"Manish Taneja")</f>
        <v>Manish Taneja</v>
      </c>
      <c r="C75" s="17" t="str">
        <f>IFERROR(__xludf.DUMMYFUNCTION("""COMPUTED_VALUE"""),"Co-Founder")</f>
        <v>Co-Founder</v>
      </c>
      <c r="D75" s="27" t="str">
        <f>IFERROR(__xludf.DUMMYFUNCTION("""COMPUTED_VALUE"""),"https://www.linkedin.com/in/manish-taneja-64657116/")</f>
        <v>https://www.linkedin.com/in/manish-taneja-64657116/</v>
      </c>
      <c r="E75" s="17" t="str">
        <f>IFERROR(__xludf.DUMMYFUNCTION("""COMPUTED_VALUE"""),"919987763360")</f>
        <v>919987763360</v>
      </c>
      <c r="F75" s="17" t="str">
        <f>IFERROR(__xludf.DUMMYFUNCTION("""COMPUTED_VALUE"""),"manishtaneja@gmail.com")</f>
        <v>manishtaneja@gmail.com</v>
      </c>
      <c r="G75" s="17" t="str">
        <f>IFERROR(__xludf.DUMMYFUNCTION("""COMPUTED_VALUE"""),"manish.taneja@purplle.com")</f>
        <v>manish.taneja@purplle.com</v>
      </c>
      <c r="H75" s="17"/>
    </row>
    <row r="76">
      <c r="A76" s="17" t="str">
        <f>IFERROR(__xludf.DUMMYFUNCTION("""COMPUTED_VALUE"""),"Purplle")</f>
        <v>Purplle</v>
      </c>
      <c r="B76" s="17" t="str">
        <f>IFERROR(__xludf.DUMMYFUNCTION("""COMPUTED_VALUE"""),"Varun Kejriwal")</f>
        <v>Varun Kejriwal</v>
      </c>
      <c r="C76" s="17" t="str">
        <f>IFERROR(__xludf.DUMMYFUNCTION("""COMPUTED_VALUE"""),"Chief Of staff")</f>
        <v>Chief Of staff</v>
      </c>
      <c r="D76" s="27" t="str">
        <f>IFERROR(__xludf.DUMMYFUNCTION("""COMPUTED_VALUE"""),"https://www.linkedin.com/in/varunkejriwal/")</f>
        <v>https://www.linkedin.com/in/varunkejriwal/</v>
      </c>
      <c r="E76" s="17"/>
      <c r="F76" s="17" t="str">
        <f>IFERROR(__xludf.DUMMYFUNCTION("""COMPUTED_VALUE"""),"varun.kejriwal@purplle.com")</f>
        <v>varun.kejriwal@purplle.com</v>
      </c>
      <c r="G76" s="17" t="str">
        <f>IFERROR(__xludf.DUMMYFUNCTION("""COMPUTED_VALUE"""),"varun@ivfa.com")</f>
        <v>varun@ivfa.com</v>
      </c>
      <c r="H76" s="17" t="str">
        <f>IFERROR(__xludf.DUMMYFUNCTION("""COMPUTED_VALUE"""),"varun.kejriwal@gmail.com")</f>
        <v>varun.kejriwal@gmail.com</v>
      </c>
    </row>
    <row r="77">
      <c r="A77" s="17" t="str">
        <f>IFERROR(__xludf.DUMMYFUNCTION("""COMPUTED_VALUE"""),"Policy Bazaar ")</f>
        <v>Policy Bazaar </v>
      </c>
      <c r="B77" s="17" t="str">
        <f>IFERROR(__xludf.DUMMYFUNCTION("""COMPUTED_VALUE"""),"Tarun Mathur")</f>
        <v>Tarun Mathur</v>
      </c>
      <c r="C77" s="17" t="str">
        <f>IFERROR(__xludf.DUMMYFUNCTION("""COMPUTED_VALUE"""),"Co-Founder &amp; Chief Business Officer")</f>
        <v>Co-Founder &amp; Chief Business Officer</v>
      </c>
      <c r="D77" s="17"/>
      <c r="E77" s="17"/>
      <c r="F77" s="17" t="str">
        <f>IFERROR(__xludf.DUMMYFUNCTION("""COMPUTED_VALUE"""),"tarun@policybazaar.com")</f>
        <v>tarun@policybazaar.com</v>
      </c>
      <c r="G77" s="17"/>
      <c r="H77" s="17"/>
    </row>
    <row r="78">
      <c r="A78" s="17" t="str">
        <f>IFERROR(__xludf.DUMMYFUNCTION("""COMPUTED_VALUE"""),"Policy Bazaar ")</f>
        <v>Policy Bazaar </v>
      </c>
      <c r="B78" s="17" t="str">
        <f>IFERROR(__xludf.DUMMYFUNCTION("""COMPUTED_VALUE"""),"Avaneesh Nirjar")</f>
        <v>Avaneesh Nirjar</v>
      </c>
      <c r="C78" s="17" t="str">
        <f>IFERROR(__xludf.DUMMYFUNCTION("""COMPUTED_VALUE"""),"Co-Founder &amp; Chief Operating Officer")</f>
        <v>Co-Founder &amp; Chief Operating Officer</v>
      </c>
      <c r="D78" s="17"/>
      <c r="E78" s="17"/>
      <c r="F78" s="17" t="str">
        <f>IFERROR(__xludf.DUMMYFUNCTION("""COMPUTED_VALUE"""),"avaneesh@policybazaar.com")</f>
        <v>avaneesh@policybazaar.com</v>
      </c>
      <c r="G78" s="17"/>
      <c r="H78" s="17"/>
    </row>
    <row r="79">
      <c r="A79" s="17" t="str">
        <f>IFERROR(__xludf.DUMMYFUNCTION("""COMPUTED_VALUE"""),"BYJU’S")</f>
        <v>BYJU’S</v>
      </c>
      <c r="B79" s="17" t="str">
        <f>IFERROR(__xludf.DUMMYFUNCTION("""COMPUTED_VALUE"""),"Byju Raveendran")</f>
        <v>Byju Raveendran</v>
      </c>
      <c r="C79" s="17" t="str">
        <f>IFERROR(__xludf.DUMMYFUNCTION("""COMPUTED_VALUE"""),"Founder")</f>
        <v>Founder</v>
      </c>
      <c r="D79" s="17"/>
      <c r="E79" s="17" t="str">
        <f>IFERROR(__xludf.DUMMYFUNCTION("""COMPUTED_VALUE"""),"91 99000 63740")</f>
        <v>91 99000 63740</v>
      </c>
      <c r="F79" s="17" t="str">
        <f>IFERROR(__xludf.DUMMYFUNCTION("""COMPUTED_VALUE"""),"byju.raveendran@byjus.com")</f>
        <v>byju.raveendran@byjus.com</v>
      </c>
      <c r="G79" s="17"/>
      <c r="H79" s="17"/>
    </row>
    <row r="80">
      <c r="A80" s="17" t="str">
        <f>IFERROR(__xludf.DUMMYFUNCTION("""COMPUTED_VALUE"""),"Flipkart")</f>
        <v>Flipkart</v>
      </c>
      <c r="B80" s="17" t="str">
        <f>IFERROR(__xludf.DUMMYFUNCTION("""COMPUTED_VALUE"""),"Sachin Bansal")</f>
        <v>Sachin Bansal</v>
      </c>
      <c r="C80" s="17" t="str">
        <f>IFERROR(__xludf.DUMMYFUNCTION("""COMPUTED_VALUE"""),"Co-Founder")</f>
        <v>Co-Founder</v>
      </c>
      <c r="D80" s="27" t="str">
        <f>IFERROR(__xludf.DUMMYFUNCTION("""COMPUTED_VALUE"""),"https://www.linkedin.com/in/sachinbansal/?originalSubdomain=in")</f>
        <v>https://www.linkedin.com/in/sachinbansal/?originalSubdomain=in</v>
      </c>
      <c r="E80" s="17" t="str">
        <f>IFERROR(__xludf.DUMMYFUNCTION("""COMPUTED_VALUE"""),"99454 78489")</f>
        <v>99454 78489</v>
      </c>
      <c r="F80" s="17" t="str">
        <f>IFERROR(__xludf.DUMMYFUNCTION("""COMPUTED_VALUE"""),"sachin.bansal@navi.com")</f>
        <v>sachin.bansal@navi.com</v>
      </c>
      <c r="G80" s="17"/>
      <c r="H80" s="17"/>
    </row>
    <row r="81">
      <c r="A81" s="17" t="str">
        <f>IFERROR(__xludf.DUMMYFUNCTION("""COMPUTED_VALUE"""),"Flipkart")</f>
        <v>Flipkart</v>
      </c>
      <c r="B81" s="17" t="str">
        <f>IFERROR(__xludf.DUMMYFUNCTION("""COMPUTED_VALUE"""),"Binny Bansal")</f>
        <v>Binny Bansal</v>
      </c>
      <c r="C81" s="17" t="str">
        <f>IFERROR(__xludf.DUMMYFUNCTION("""COMPUTED_VALUE"""),"Co-Founder")</f>
        <v>Co-Founder</v>
      </c>
      <c r="D81" s="27" t="str">
        <f>IFERROR(__xludf.DUMMYFUNCTION("""COMPUTED_VALUE"""),"https://www.linkedin.com/in/binnybansal/?originalSubdomain=sg")</f>
        <v>https://www.linkedin.com/in/binnybansal/?originalSubdomain=sg</v>
      </c>
      <c r="E81" s="17" t="str">
        <f>IFERROR(__xludf.DUMMYFUNCTION("""COMPUTED_VALUE"""),"96110 77833")</f>
        <v>96110 77833</v>
      </c>
      <c r="F81" s="17" t="str">
        <f>IFERROR(__xludf.DUMMYFUNCTION("""COMPUTED_VALUE"""),"binny.bansal@flipkart.com")</f>
        <v>binny.bansal@flipkart.com</v>
      </c>
      <c r="G81" s="17"/>
      <c r="H81" s="17"/>
    </row>
    <row r="82">
      <c r="A82" s="17" t="str">
        <f>IFERROR(__xludf.DUMMYFUNCTION("""COMPUTED_VALUE"""),"Lenskart")</f>
        <v>Lenskart</v>
      </c>
      <c r="B82" s="17" t="str">
        <f>IFERROR(__xludf.DUMMYFUNCTION("""COMPUTED_VALUE"""),"Peyush Bansal
  ")</f>
        <v>Peyush Bansal
  </v>
      </c>
      <c r="C82" s="17" t="str">
        <f>IFERROR(__xludf.DUMMYFUNCTION("""COMPUTED_VALUE"""),"CEO &amp; Co-founder")</f>
        <v>CEO &amp; Co-founder</v>
      </c>
      <c r="D82" s="27" t="str">
        <f>IFERROR(__xludf.DUMMYFUNCTION("""COMPUTED_VALUE"""),"https://www.linkedin.com/in/peyushbansal/")</f>
        <v>https://www.linkedin.com/in/peyushbansal/</v>
      </c>
      <c r="E82" s="17"/>
      <c r="F82" s="17" t="str">
        <f>IFERROR(__xludf.DUMMYFUNCTION("""COMPUTED_VALUE"""),"peyush.bansal@lenskart.com/peyush.bansal@gmail.com")</f>
        <v>peyush.bansal@lenskart.com/peyush.bansal@gmail.com</v>
      </c>
      <c r="G82" s="17"/>
      <c r="H82" s="17"/>
    </row>
    <row r="83">
      <c r="A83" s="17" t="str">
        <f>IFERROR(__xludf.DUMMYFUNCTION("""COMPUTED_VALUE"""),"ShopClues")</f>
        <v>ShopClues</v>
      </c>
      <c r="B83" s="17" t="str">
        <f>IFERROR(__xludf.DUMMYFUNCTION("""COMPUTED_VALUE"""),"Sanjay Sethi")</f>
        <v>Sanjay Sethi</v>
      </c>
      <c r="C83" s="17" t="str">
        <f>IFERROR(__xludf.DUMMYFUNCTION("""COMPUTED_VALUE"""),"Co-founder &amp; CEO")</f>
        <v>Co-founder &amp; CEO</v>
      </c>
      <c r="D83" s="27" t="str">
        <f>IFERROR(__xludf.DUMMYFUNCTION("""COMPUTED_VALUE"""),"https://www.linkedin.com/in/sethisanjay/")</f>
        <v>https://www.linkedin.com/in/sethisanjay/</v>
      </c>
      <c r="E83" s="17"/>
      <c r="F83" s="17" t="str">
        <f>IFERROR(__xludf.DUMMYFUNCTION("""COMPUTED_VALUE"""),"sanjay@shopclues.com")</f>
        <v>sanjay@shopclues.com</v>
      </c>
      <c r="G83" s="17"/>
      <c r="H83" s="17"/>
    </row>
    <row r="84">
      <c r="A84" s="17" t="str">
        <f>IFERROR(__xludf.DUMMYFUNCTION("""COMPUTED_VALUE"""),"Moglix")</f>
        <v>Moglix</v>
      </c>
      <c r="B84" s="17" t="str">
        <f>IFERROR(__xludf.DUMMYFUNCTION("""COMPUTED_VALUE"""),"Rahul Garg")</f>
        <v>Rahul Garg</v>
      </c>
      <c r="C84" s="17" t="str">
        <f>IFERROR(__xludf.DUMMYFUNCTION("""COMPUTED_VALUE"""),"Founder &amp; CEO")</f>
        <v>Founder &amp; CEO</v>
      </c>
      <c r="D84" s="27" t="str">
        <f>IFERROR(__xludf.DUMMYFUNCTION("""COMPUTED_VALUE"""),"https://www.linkedin.com/in/rahulgarg/")</f>
        <v>https://www.linkedin.com/in/rahulgarg/</v>
      </c>
      <c r="E84" s="17"/>
      <c r="F84" s="17" t="str">
        <f>IFERROR(__xludf.DUMMYFUNCTION("""COMPUTED_VALUE"""),"rahul@moglix.com")</f>
        <v>rahul@moglix.com</v>
      </c>
      <c r="G84" s="17" t="str">
        <f>IFERROR(__xludf.DUMMYFUNCTION("""COMPUTED_VALUE"""),"rahul@moglix.com")</f>
        <v>rahul@moglix.com</v>
      </c>
      <c r="H84" s="17"/>
    </row>
    <row r="85">
      <c r="A85" s="17" t="str">
        <f>IFERROR(__xludf.DUMMYFUNCTION("""COMPUTED_VALUE"""),"Acko")</f>
        <v>Acko</v>
      </c>
      <c r="B85" s="17" t="str">
        <f>IFERROR(__xludf.DUMMYFUNCTION("""COMPUTED_VALUE"""),"Varun Dua")</f>
        <v>Varun Dua</v>
      </c>
      <c r="C85" s="17" t="str">
        <f>IFERROR(__xludf.DUMMYFUNCTION("""COMPUTED_VALUE"""),"Founder &amp; CEO")</f>
        <v>Founder &amp; CEO</v>
      </c>
      <c r="D85" s="27" t="str">
        <f>IFERROR(__xludf.DUMMYFUNCTION("""COMPUTED_VALUE"""),"https://www.linkedin.com/in/thevarundua/")</f>
        <v>https://www.linkedin.com/in/thevarundua/</v>
      </c>
      <c r="E85" s="17"/>
      <c r="F85" s="17" t="str">
        <f>IFERROR(__xludf.DUMMYFUNCTION("""COMPUTED_VALUE"""),"varun@acko.com")</f>
        <v>varun@acko.com</v>
      </c>
      <c r="G85" s="17"/>
      <c r="H85" s="17"/>
    </row>
    <row r="86">
      <c r="A86" s="17" t="str">
        <f>IFERROR(__xludf.DUMMYFUNCTION("""COMPUTED_VALUE"""),"InCred")</f>
        <v>InCred</v>
      </c>
      <c r="B86" s="17" t="str">
        <f>IFERROR(__xludf.DUMMYFUNCTION("""COMPUTED_VALUE"""),"Bhupinder Singh")</f>
        <v>Bhupinder Singh</v>
      </c>
      <c r="C86" s="17" t="str">
        <f>IFERROR(__xludf.DUMMYFUNCTION("""COMPUTED_VALUE"""),"Founder &amp; Group CEO")</f>
        <v>Founder &amp; Group CEO</v>
      </c>
      <c r="D86" s="27" t="str">
        <f>IFERROR(__xludf.DUMMYFUNCTION("""COMPUTED_VALUE"""),"linkedin.com/in/bhupindersingh-incred")</f>
        <v>linkedin.com/in/bhupindersingh-incred</v>
      </c>
      <c r="E86" s="17"/>
      <c r="F86" s="17" t="str">
        <f>IFERROR(__xludf.DUMMYFUNCTION("""COMPUTED_VALUE"""),"bhupinisha@gmail.com")</f>
        <v>bhupinisha@gmail.com</v>
      </c>
      <c r="G86" s="17" t="str">
        <f>IFERROR(__xludf.DUMMYFUNCTION("""COMPUTED_VALUE""")," ")</f>
        <v> </v>
      </c>
      <c r="H86" s="17"/>
    </row>
    <row r="87">
      <c r="A87" s="17" t="str">
        <f>IFERROR(__xludf.DUMMYFUNCTION("""COMPUTED_VALUE"""),"Zeta")</f>
        <v>Zeta</v>
      </c>
      <c r="B87" s="17" t="str">
        <f>IFERROR(__xludf.DUMMYFUNCTION("""COMPUTED_VALUE"""),"Prakash Gorjilla")</f>
        <v>Prakash Gorjilla</v>
      </c>
      <c r="C87" s="17" t="str">
        <f>IFERROR(__xludf.DUMMYFUNCTION("""COMPUTED_VALUE"""),"Founder &amp; Chief People &amp; Product Officer")</f>
        <v>Founder &amp; Chief People &amp; Product Officer</v>
      </c>
      <c r="D87" s="27" t="str">
        <f>IFERROR(__xludf.DUMMYFUNCTION("""COMPUTED_VALUE"""),"https://www.linkedin.com/in/prakash-gorjilla-15081123/")</f>
        <v>https://www.linkedin.com/in/prakash-gorjilla-15081123/</v>
      </c>
      <c r="E87" s="17" t="str">
        <f>IFERROR(__xludf.DUMMYFUNCTION("""COMPUTED_VALUE"""),"919743300030")</f>
        <v>919743300030</v>
      </c>
      <c r="F87" s="17" t="str">
        <f>IFERROR(__xludf.DUMMYFUNCTION("""COMPUTED_VALUE"""),"pgorjilla@zetaglobal.com")</f>
        <v>pgorjilla@zetaglobal.com</v>
      </c>
      <c r="G87" s="17" t="str">
        <f>IFERROR(__xludf.DUMMYFUNCTION("""COMPUTED_VALUE"""),"prakashgjc@gmail.com")</f>
        <v>prakashgjc@gmail.com</v>
      </c>
      <c r="H87" s="17"/>
    </row>
    <row r="88">
      <c r="A88" s="17" t="str">
        <f>IFERROR(__xludf.DUMMYFUNCTION("""COMPUTED_VALUE"""),"Mu Sigma")</f>
        <v>Mu Sigma</v>
      </c>
      <c r="B88" s="17" t="str">
        <f>IFERROR(__xludf.DUMMYFUNCTION("""COMPUTED_VALUE"""),"Dhiraj C. Rajaram")</f>
        <v>Dhiraj C. Rajaram</v>
      </c>
      <c r="C88" s="17" t="str">
        <f>IFERROR(__xludf.DUMMYFUNCTION("""COMPUTED_VALUE"""),"Founder &amp; CEO")</f>
        <v>Founder &amp; CEO</v>
      </c>
      <c r="D88" s="17"/>
      <c r="E88" s="17"/>
      <c r="F88" s="17" t="str">
        <f>IFERROR(__xludf.DUMMYFUNCTION("""COMPUTED_VALUE"""),"dhiraj.rajaram@mu-sigma.com")</f>
        <v>dhiraj.rajaram@mu-sigma.com</v>
      </c>
      <c r="G88" s="17"/>
      <c r="H88" s="17"/>
    </row>
    <row r="89">
      <c r="A89" s="17" t="str">
        <f>IFERROR(__xludf.DUMMYFUNCTION("""COMPUTED_VALUE"""),"Paytm")</f>
        <v>Paytm</v>
      </c>
      <c r="B89" s="17" t="str">
        <f>IFERROR(__xludf.DUMMYFUNCTION("""COMPUTED_VALUE"""),"Vijay Shekhar Sharma")</f>
        <v>Vijay Shekhar Sharma</v>
      </c>
      <c r="C89" s="17" t="str">
        <f>IFERROR(__xludf.DUMMYFUNCTION("""COMPUTED_VALUE"""),"Founder &amp; CEO")</f>
        <v>Founder &amp; CEO</v>
      </c>
      <c r="D89" s="17"/>
      <c r="E89" s="17"/>
      <c r="F89" s="17" t="str">
        <f>IFERROR(__xludf.DUMMYFUNCTION("""COMPUTED_VALUE"""),"vijayshekhar@gmail.com")</f>
        <v>vijayshekhar@gmail.com</v>
      </c>
      <c r="G89" s="17" t="str">
        <f>IFERROR(__xludf.DUMMYFUNCTION("""COMPUTED_VALUE"""),"9810098197")</f>
        <v>9810098197</v>
      </c>
      <c r="H89" s="17"/>
    </row>
    <row r="90">
      <c r="A90" s="17" t="str">
        <f>IFERROR(__xludf.DUMMYFUNCTION("""COMPUTED_VALUE"""),"PolicyBazaar")</f>
        <v>PolicyBazaar</v>
      </c>
      <c r="B90" s="17" t="str">
        <f>IFERROR(__xludf.DUMMYFUNCTION("""COMPUTED_VALUE"""),"Alok Bansal")</f>
        <v>Alok Bansal</v>
      </c>
      <c r="C90" s="17" t="str">
        <f>IFERROR(__xludf.DUMMYFUNCTION("""COMPUTED_VALUE"""),"Founder &amp; CEO")</f>
        <v>Founder &amp; CEO</v>
      </c>
      <c r="D90" s="27" t="str">
        <f>IFERROR(__xludf.DUMMYFUNCTION("""COMPUTED_VALUE"""),"https://www.linkedin.com/in/alok-bansal-23b04a4/")</f>
        <v>https://www.linkedin.com/in/alok-bansal-23b04a4/</v>
      </c>
      <c r="E90" s="17"/>
      <c r="F90" s="17" t="str">
        <f>IFERROR(__xludf.DUMMYFUNCTION("""COMPUTED_VALUE"""),"alok@policybazaar.com")</f>
        <v>alok@policybazaar.com</v>
      </c>
      <c r="G90" s="17"/>
      <c r="H90" s="17"/>
    </row>
    <row r="91">
      <c r="A91" s="17" t="str">
        <f>IFERROR(__xludf.DUMMYFUNCTION("""COMPUTED_VALUE"""),"PolicyBazaar")</f>
        <v>PolicyBazaar</v>
      </c>
      <c r="B91" s="17" t="str">
        <f>IFERROR(__xludf.DUMMYFUNCTION("""COMPUTED_VALUE"""),"Avaneesh Nirjar")</f>
        <v>Avaneesh Nirjar</v>
      </c>
      <c r="C91" s="17" t="str">
        <f>IFERROR(__xludf.DUMMYFUNCTION("""COMPUTED_VALUE"""),"Founder &amp; CEO")</f>
        <v>Founder &amp; CEO</v>
      </c>
      <c r="D91" s="27" t="str">
        <f>IFERROR(__xludf.DUMMYFUNCTION("""COMPUTED_VALUE"""),"https://www.linkedin.com/in/avaneesh-nirjar-b447991/")</f>
        <v>https://www.linkedin.com/in/avaneesh-nirjar-b447991/</v>
      </c>
      <c r="E91" s="17"/>
      <c r="F91" s="17" t="str">
        <f>IFERROR(__xludf.DUMMYFUNCTION("""COMPUTED_VALUE"""),"anirjar@gmail.com")</f>
        <v>anirjar@gmail.com</v>
      </c>
      <c r="G91" s="17"/>
      <c r="H91" s="17"/>
    </row>
    <row r="92">
      <c r="A92" s="17" t="str">
        <f>IFERROR(__xludf.DUMMYFUNCTION("""COMPUTED_VALUE"""),"PolicyBazaar")</f>
        <v>PolicyBazaar</v>
      </c>
      <c r="B92" s="17" t="str">
        <f>IFERROR(__xludf.DUMMYFUNCTION("""COMPUTED_VALUE"""),"Manoj Sharma")</f>
        <v>Manoj Sharma</v>
      </c>
      <c r="C92" s="17" t="str">
        <f>IFERROR(__xludf.DUMMYFUNCTION("""COMPUTED_VALUE"""),"Founder &amp; CEO")</f>
        <v>Founder &amp; CEO</v>
      </c>
      <c r="D92" s="27" t="str">
        <f>IFERROR(__xludf.DUMMYFUNCTION("""COMPUTED_VALUE"""),"https://www.linkedin.com/in/manoj-sharma-8ab030a/")</f>
        <v>https://www.linkedin.com/in/manoj-sharma-8ab030a/</v>
      </c>
      <c r="E92" s="17"/>
      <c r="F92" s="17" t="str">
        <f>IFERROR(__xludf.DUMMYFUNCTION("""COMPUTED_VALUE"""),"manoj@policybazaar.com")</f>
        <v>manoj@policybazaar.com</v>
      </c>
      <c r="G92" s="17"/>
      <c r="H92" s="17"/>
    </row>
    <row r="93">
      <c r="A93" s="17" t="str">
        <f>IFERROR(__xludf.DUMMYFUNCTION("""COMPUTED_VALUE"""),"PolicyBazaar")</f>
        <v>PolicyBazaar</v>
      </c>
      <c r="B93" s="17" t="str">
        <f>IFERROR(__xludf.DUMMYFUNCTION("""COMPUTED_VALUE"""),"Tarun Mathur")</f>
        <v>Tarun Mathur</v>
      </c>
      <c r="C93" s="17" t="str">
        <f>IFERROR(__xludf.DUMMYFUNCTION("""COMPUTED_VALUE"""),"Founder &amp; CEO")</f>
        <v>Founder &amp; CEO</v>
      </c>
      <c r="D93" s="27" t="str">
        <f>IFERROR(__xludf.DUMMYFUNCTION("""COMPUTED_VALUE"""),"https://www.linkedin.com/in/tarun-mathur-58abb49/")</f>
        <v>https://www.linkedin.com/in/tarun-mathur-58abb49/</v>
      </c>
      <c r="E93" s="17"/>
      <c r="F93" s="17" t="str">
        <f>IFERROR(__xludf.DUMMYFUNCTION("""COMPUTED_VALUE"""),"tarun.mathur@policybazaar.com")</f>
        <v>tarun.mathur@policybazaar.com</v>
      </c>
      <c r="G93" s="17"/>
      <c r="H93" s="17"/>
    </row>
    <row r="94">
      <c r="A94" s="17" t="str">
        <f>IFERROR(__xludf.DUMMYFUNCTION("""COMPUTED_VALUE"""),"PolicyBazaar")</f>
        <v>PolicyBazaar</v>
      </c>
      <c r="B94" s="17" t="str">
        <f>IFERROR(__xludf.DUMMYFUNCTION("""COMPUTED_VALUE"""),"Yashish Dahiya")</f>
        <v>Yashish Dahiya</v>
      </c>
      <c r="C94" s="17" t="str">
        <f>IFERROR(__xludf.DUMMYFUNCTION("""COMPUTED_VALUE"""),"Founder &amp; CEO")</f>
        <v>Founder &amp; CEO</v>
      </c>
      <c r="D94" s="27" t="str">
        <f>IFERROR(__xludf.DUMMYFUNCTION("""COMPUTED_VALUE"""),"https://www.linkedin.com/in/yashish-dahiya-145495261/")</f>
        <v>https://www.linkedin.com/in/yashish-dahiya-145495261/</v>
      </c>
      <c r="E94" s="17"/>
      <c r="F94" s="17" t="str">
        <f>IFERROR(__xludf.DUMMYFUNCTION("""COMPUTED_VALUE"""),"yashish@policybazaar.com")</f>
        <v>yashish@policybazaar.com</v>
      </c>
      <c r="G94" s="17"/>
      <c r="H94" s="17"/>
    </row>
    <row r="95">
      <c r="A95" s="17" t="str">
        <f>IFERROR(__xludf.DUMMYFUNCTION("""COMPUTED_VALUE"""),"Freshworks")</f>
        <v>Freshworks</v>
      </c>
      <c r="B95" s="17" t="str">
        <f>IFERROR(__xludf.DUMMYFUNCTION("""COMPUTED_VALUE"""),"Girish Mathrubootham")</f>
        <v>Girish Mathrubootham</v>
      </c>
      <c r="C95" s="17" t="str">
        <f>IFERROR(__xludf.DUMMYFUNCTION("""COMPUTED_VALUE"""),"Founder &amp; CEO")</f>
        <v>Founder &amp; CEO</v>
      </c>
      <c r="D95" s="27" t="str">
        <f>IFERROR(__xludf.DUMMYFUNCTION("""COMPUTED_VALUE"""),"https://www.linkedin.com/in/girish1/")</f>
        <v>https://www.linkedin.com/in/girish1/</v>
      </c>
      <c r="E95" s="17"/>
      <c r="F95" s="17" t="str">
        <f>IFERROR(__xludf.DUMMYFUNCTION("""COMPUTED_VALUE"""),"girish@freshworks.com")</f>
        <v>girish@freshworks.com</v>
      </c>
      <c r="G95" s="17"/>
      <c r="H95" s="17"/>
    </row>
    <row r="96">
      <c r="A96" s="17" t="str">
        <f>IFERROR(__xludf.DUMMYFUNCTION("""COMPUTED_VALUE"""),"Zoho Corporation")</f>
        <v>Zoho Corporation</v>
      </c>
      <c r="B96" s="17" t="str">
        <f>IFERROR(__xludf.DUMMYFUNCTION("""COMPUTED_VALUE"""),"Sridhar Vembu")</f>
        <v>Sridhar Vembu</v>
      </c>
      <c r="C96" s="17" t="str">
        <f>IFERROR(__xludf.DUMMYFUNCTION("""COMPUTED_VALUE"""),"Founder &amp; CEO")</f>
        <v>Founder &amp; CEO</v>
      </c>
      <c r="D96" s="17"/>
      <c r="E96" s="17"/>
      <c r="F96" s="17" t="str">
        <f>IFERROR(__xludf.DUMMYFUNCTION("""COMPUTED_VALUE"""),"sridhar.vembu@gmail.com, svembu@zoho.com")</f>
        <v>sridhar.vembu@gmail.com, svembu@zoho.com</v>
      </c>
      <c r="G96" s="17"/>
      <c r="H96" s="17"/>
    </row>
    <row r="97">
      <c r="A97" s="17" t="str">
        <f>IFERROR(__xludf.DUMMYFUNCTION("""COMPUTED_VALUE"""),"Rivigo")</f>
        <v>Rivigo</v>
      </c>
      <c r="B97" s="17" t="str">
        <f>IFERROR(__xludf.DUMMYFUNCTION("""COMPUTED_VALUE"""),"Deepak Garg ")</f>
        <v>Deepak Garg </v>
      </c>
      <c r="C97" s="17" t="str">
        <f>IFERROR(__xludf.DUMMYFUNCTION("""COMPUTED_VALUE"""),"Founder &amp; CEO")</f>
        <v>Founder &amp; CEO</v>
      </c>
      <c r="D97" s="17"/>
      <c r="E97" s="17"/>
      <c r="F97" s="17" t="str">
        <f>IFERROR(__xludf.DUMMYFUNCTION("""COMPUTED_VALUE"""),"dgargdeepak@gmail.com")</f>
        <v>dgargdeepak@gmail.com</v>
      </c>
      <c r="G97" s="17" t="str">
        <f>IFERROR(__xludf.DUMMYFUNCTION("""COMPUTED_VALUE"""),"832-444-3417")</f>
        <v>832-444-3417</v>
      </c>
      <c r="H97" s="17"/>
    </row>
    <row r="98">
      <c r="A98" s="17" t="str">
        <f>IFERROR(__xludf.DUMMYFUNCTION("""COMPUTED_VALUE"""),"FirstCry")</f>
        <v>FirstCry</v>
      </c>
      <c r="B98" s="17" t="str">
        <f>IFERROR(__xludf.DUMMYFUNCTION("""COMPUTED_VALUE"""),"Supam Maheshwari")</f>
        <v>Supam Maheshwari</v>
      </c>
      <c r="C98" s="17" t="str">
        <f>IFERROR(__xludf.DUMMYFUNCTION("""COMPUTED_VALUE"""),"Founder &amp; CEO")</f>
        <v>Founder &amp; CEO</v>
      </c>
      <c r="D98" s="27" t="str">
        <f>IFERROR(__xludf.DUMMYFUNCTION("""COMPUTED_VALUE"""),"https://www.linkedin.com/in/supam-maheshwari-a735a5/")</f>
        <v>https://www.linkedin.com/in/supam-maheshwari-a735a5/</v>
      </c>
      <c r="E98" s="17"/>
      <c r="F98" s="17" t="str">
        <f>IFERROR(__xludf.DUMMYFUNCTION("""COMPUTED_VALUE"""),"supam@firstcry.com")</f>
        <v>supam@firstcry.com</v>
      </c>
      <c r="G98" s="17"/>
      <c r="H98" s="17"/>
    </row>
    <row r="99">
      <c r="A99" s="17" t="str">
        <f>IFERROR(__xludf.DUMMYFUNCTION("""COMPUTED_VALUE"""),"Postman")</f>
        <v>Postman</v>
      </c>
      <c r="B99" s="17" t="str">
        <f>IFERROR(__xludf.DUMMYFUNCTION("""COMPUTED_VALUE"""),"Abhinav Asthana")</f>
        <v>Abhinav Asthana</v>
      </c>
      <c r="C99" s="17" t="str">
        <f>IFERROR(__xludf.DUMMYFUNCTION("""COMPUTED_VALUE"""),"Founder &amp; CEO")</f>
        <v>Founder &amp; CEO</v>
      </c>
      <c r="D99" s="17"/>
      <c r="E99" s="17"/>
      <c r="F99" s="17" t="str">
        <f>IFERROR(__xludf.DUMMYFUNCTION("""COMPUTED_VALUE"""),"abhinav@rickreation.com, abhinav@getpostman.com	(992) 397-5697")</f>
        <v>abhinav@rickreation.com, abhinav@getpostman.com	(992) 397-5697</v>
      </c>
      <c r="G99" s="17"/>
      <c r="H99" s="17"/>
    </row>
    <row r="100">
      <c r="A100" s="17" t="str">
        <f>IFERROR(__xludf.DUMMYFUNCTION("""COMPUTED_VALUE"""),"Unacademy")</f>
        <v>Unacademy</v>
      </c>
      <c r="B100" s="17" t="str">
        <f>IFERROR(__xludf.DUMMYFUNCTION("""COMPUTED_VALUE"""),"Gaurav Munjal")</f>
        <v>Gaurav Munjal</v>
      </c>
      <c r="C100" s="17" t="str">
        <f>IFERROR(__xludf.DUMMYFUNCTION("""COMPUTED_VALUE"""),"Founder &amp; CEO")</f>
        <v>Founder &amp; CEO</v>
      </c>
      <c r="D100" s="27" t="str">
        <f>IFERROR(__xludf.DUMMYFUNCTION("""COMPUTED_VALUE"""),"https://www.linkedin.com/in/gauravmunjal8/")</f>
        <v>https://www.linkedin.com/in/gauravmunjal8/</v>
      </c>
      <c r="E100" s="17"/>
      <c r="F100" s="17" t="str">
        <f>IFERROR(__xludf.DUMMYFUNCTION("""COMPUTED_VALUE"""),"gaurav@unacademy.com")</f>
        <v>gaurav@unacademy.com</v>
      </c>
      <c r="G100" s="17"/>
      <c r="H100" s="17"/>
    </row>
    <row r="101">
      <c r="A101" s="17" t="str">
        <f>IFERROR(__xludf.DUMMYFUNCTION("""COMPUTED_VALUE"""),"Unacademy")</f>
        <v>Unacademy</v>
      </c>
      <c r="B101" s="17" t="str">
        <f>IFERROR(__xludf.DUMMYFUNCTION("""COMPUTED_VALUE"""),"Roman Saini")</f>
        <v>Roman Saini</v>
      </c>
      <c r="C101" s="17" t="str">
        <f>IFERROR(__xludf.DUMMYFUNCTION("""COMPUTED_VALUE"""),"Founder &amp; CEO")</f>
        <v>Founder &amp; CEO</v>
      </c>
      <c r="D101" s="27" t="str">
        <f>IFERROR(__xludf.DUMMYFUNCTION("""COMPUTED_VALUE"""),"https://www.linkedin.com/in/romansaini/")</f>
        <v>https://www.linkedin.com/in/romansaini/</v>
      </c>
      <c r="E101" s="17"/>
      <c r="F101" s="17" t="str">
        <f>IFERROR(__xludf.DUMMYFUNCTION("""COMPUTED_VALUE"""),"roman@unacademy.com")</f>
        <v>roman@unacademy.com</v>
      </c>
      <c r="G101" s="17"/>
      <c r="H101" s="17"/>
    </row>
    <row r="102">
      <c r="A102" s="17" t="str">
        <f>IFERROR(__xludf.DUMMYFUNCTION("""COMPUTED_VALUE"""),"Unacademy")</f>
        <v>Unacademy</v>
      </c>
      <c r="B102" s="17" t="str">
        <f>IFERROR(__xludf.DUMMYFUNCTION("""COMPUTED_VALUE"""),"Hemesh Singh")</f>
        <v>Hemesh Singh</v>
      </c>
      <c r="C102" s="17" t="str">
        <f>IFERROR(__xludf.DUMMYFUNCTION("""COMPUTED_VALUE"""),"Founder &amp; CEO")</f>
        <v>Founder &amp; CEO</v>
      </c>
      <c r="D102" s="27" t="str">
        <f>IFERROR(__xludf.DUMMYFUNCTION("""COMPUTED_VALUE"""),"https://www.linkedin.com/in/hemesh-singh/")</f>
        <v>https://www.linkedin.com/in/hemesh-singh/</v>
      </c>
      <c r="E102" s="17"/>
      <c r="F102" s="17" t="str">
        <f>IFERROR(__xludf.DUMMYFUNCTION("""COMPUTED_VALUE"""),"hemesh@unacademy.com")</f>
        <v>hemesh@unacademy.com</v>
      </c>
      <c r="G102" s="17"/>
      <c r="H102" s="17"/>
    </row>
    <row r="103">
      <c r="A103" s="17" t="str">
        <f>IFERROR(__xludf.DUMMYFUNCTION("""COMPUTED_VALUE"""),"Razorpay")</f>
        <v>Razorpay</v>
      </c>
      <c r="B103" s="17" t="str">
        <f>IFERROR(__xludf.DUMMYFUNCTION("""COMPUTED_VALUE"""),"Shashank Kumar")</f>
        <v>Shashank Kumar</v>
      </c>
      <c r="C103" s="17" t="str">
        <f>IFERROR(__xludf.DUMMYFUNCTION("""COMPUTED_VALUE"""),"Founder &amp; CEO")</f>
        <v>Founder &amp; CEO</v>
      </c>
      <c r="D103" s="27" t="str">
        <f>IFERROR(__xludf.DUMMYFUNCTION("""COMPUTED_VALUE"""),"https://www.google.com/url?sa=t&amp;source=web&amp;rct=https://in.linkedin.com/in/kumarshashank")</f>
        <v>https://www.google.com/url?sa=t&amp;source=web&amp;rct=https://in.linkedin.com/in/kumarshashank</v>
      </c>
      <c r="E103" s="17"/>
      <c r="F103" s="17" t="str">
        <f>IFERROR(__xludf.DUMMYFUNCTION("""COMPUTED_VALUE"""),"shashank@razorpay.com")</f>
        <v>shashank@razorpay.com</v>
      </c>
      <c r="G103" s="17"/>
      <c r="H103" s="17"/>
    </row>
    <row r="104">
      <c r="A104" s="17" t="str">
        <f>IFERROR(__xludf.DUMMYFUNCTION("""COMPUTED_VALUE"""),"Razorpay")</f>
        <v>Razorpay</v>
      </c>
      <c r="B104" s="17" t="str">
        <f>IFERROR(__xludf.DUMMYFUNCTION("""COMPUTED_VALUE"""),"Harshil Mathur")</f>
        <v>Harshil Mathur</v>
      </c>
      <c r="C104" s="17" t="str">
        <f>IFERROR(__xludf.DUMMYFUNCTION("""COMPUTED_VALUE"""),"Founder &amp; CEO")</f>
        <v>Founder &amp; CEO</v>
      </c>
      <c r="D104" s="27" t="str">
        <f>IFERROR(__xludf.DUMMYFUNCTION("""COMPUTED_VALUE"""),"https://in.linkedin.com/in/harshilmathur")</f>
        <v>https://in.linkedin.com/in/harshilmathur</v>
      </c>
      <c r="E104" s="17"/>
      <c r="F104" s="17" t="str">
        <f>IFERROR(__xludf.DUMMYFUNCTION("""COMPUTED_VALUE"""),"harshil@razorpay.com")</f>
        <v>harshil@razorpay.com</v>
      </c>
      <c r="G104" s="17"/>
      <c r="H104" s="17"/>
    </row>
    <row r="105">
      <c r="A105" s="17" t="str">
        <f>IFERROR(__xludf.DUMMYFUNCTION("""COMPUTED_VALUE"""),"Groww")</f>
        <v>Groww</v>
      </c>
      <c r="B105" s="17" t="str">
        <f>IFERROR(__xludf.DUMMYFUNCTION("""COMPUTED_VALUE"""),"Harsh Jain")</f>
        <v>Harsh Jain</v>
      </c>
      <c r="C105" s="17" t="str">
        <f>IFERROR(__xludf.DUMMYFUNCTION("""COMPUTED_VALUE"""),"Founder &amp; CEO")</f>
        <v>Founder &amp; CEO</v>
      </c>
      <c r="D105" s="27" t="str">
        <f>IFERROR(__xludf.DUMMYFUNCTION("""COMPUTED_VALUE"""),"https://www.linkedin.com/in/heyharsh/")</f>
        <v>https://www.linkedin.com/in/heyharsh/</v>
      </c>
      <c r="E105" s="17"/>
      <c r="F105" s="17" t="str">
        <f>IFERROR(__xludf.DUMMYFUNCTION("""COMPUTED_VALUE"""),"harsh@groww.in")</f>
        <v>harsh@groww.in</v>
      </c>
      <c r="G105" s="17"/>
      <c r="H105" s="17"/>
    </row>
    <row r="106">
      <c r="A106" s="17" t="str">
        <f>IFERROR(__xludf.DUMMYFUNCTION("""COMPUTED_VALUE"""),"Groww")</f>
        <v>Groww</v>
      </c>
      <c r="B106" s="17" t="str">
        <f>IFERROR(__xludf.DUMMYFUNCTION("""COMPUTED_VALUE"""),"Lalit Keshre")</f>
        <v>Lalit Keshre</v>
      </c>
      <c r="C106" s="17" t="str">
        <f>IFERROR(__xludf.DUMMYFUNCTION("""COMPUTED_VALUE"""),"Founder &amp; CEO")</f>
        <v>Founder &amp; CEO</v>
      </c>
      <c r="D106" s="27" t="str">
        <f>IFERROR(__xludf.DUMMYFUNCTION("""COMPUTED_VALUE"""),"https://linkedin.com/in/lalitkeshre")</f>
        <v>https://linkedin.com/in/lalitkeshre</v>
      </c>
      <c r="E106" s="17"/>
      <c r="F106" s="17" t="str">
        <f>IFERROR(__xludf.DUMMYFUNCTION("""COMPUTED_VALUE"""),"lalit@groww.in")</f>
        <v>lalit@groww.in</v>
      </c>
      <c r="G106" s="17"/>
      <c r="H106" s="17"/>
    </row>
    <row r="107">
      <c r="A107" s="17" t="str">
        <f>IFERROR(__xludf.DUMMYFUNCTION("""COMPUTED_VALUE"""),"Groww")</f>
        <v>Groww</v>
      </c>
      <c r="B107" s="17" t="str">
        <f>IFERROR(__xludf.DUMMYFUNCTION("""COMPUTED_VALUE"""),"Neeraj Singh")</f>
        <v>Neeraj Singh</v>
      </c>
      <c r="C107" s="17" t="str">
        <f>IFERROR(__xludf.DUMMYFUNCTION("""COMPUTED_VALUE"""),"Founder &amp; CEO")</f>
        <v>Founder &amp; CEO</v>
      </c>
      <c r="D107" s="17"/>
      <c r="E107" s="17"/>
      <c r="F107" s="17"/>
      <c r="G107" s="17"/>
      <c r="H107" s="17"/>
    </row>
    <row r="108">
      <c r="A108" s="17" t="str">
        <f>IFERROR(__xludf.DUMMYFUNCTION("""COMPUTED_VALUE"""),"Gupshup")</f>
        <v>Gupshup</v>
      </c>
      <c r="B108" s="17" t="str">
        <f>IFERROR(__xludf.DUMMYFUNCTION("""COMPUTED_VALUE"""),"Beerud Sheth")</f>
        <v>Beerud Sheth</v>
      </c>
      <c r="C108" s="17" t="str">
        <f>IFERROR(__xludf.DUMMYFUNCTION("""COMPUTED_VALUE"""),"Founder &amp; CEO")</f>
        <v>Founder &amp; CEO</v>
      </c>
      <c r="D108" s="17"/>
      <c r="E108" s="17"/>
      <c r="F108" s="17" t="str">
        <f>IFERROR(__xludf.DUMMYFUNCTION("""COMPUTED_VALUE"""),"beerud@gupshup.io, beerud@gmail.co")</f>
        <v>beerud@gupshup.io, beerud@gmail.co</v>
      </c>
      <c r="G108" s="17"/>
      <c r="H108" s="17"/>
    </row>
    <row r="109">
      <c r="A109" s="17" t="str">
        <f>IFERROR(__xludf.DUMMYFUNCTION("""COMPUTED_VALUE"""),"Blackbuck")</f>
        <v>Blackbuck</v>
      </c>
      <c r="B109" s="17" t="str">
        <f>IFERROR(__xludf.DUMMYFUNCTION("""COMPUTED_VALUE"""),"Rajesh Yabaji")</f>
        <v>Rajesh Yabaji</v>
      </c>
      <c r="C109" s="17" t="str">
        <f>IFERROR(__xludf.DUMMYFUNCTION("""COMPUTED_VALUE"""),"Founder &amp; CEO")</f>
        <v>Founder &amp; CEO</v>
      </c>
      <c r="D109" s="17"/>
      <c r="E109" s="17"/>
      <c r="F109" s="17"/>
      <c r="G109" s="17"/>
      <c r="H109" s="17"/>
    </row>
    <row r="110">
      <c r="A110" s="17" t="str">
        <f>IFERROR(__xludf.DUMMYFUNCTION("""COMPUTED_VALUE"""),"Blackbuck")</f>
        <v>Blackbuck</v>
      </c>
      <c r="B110" s="17" t="str">
        <f>IFERROR(__xludf.DUMMYFUNCTION("""COMPUTED_VALUE"""),"Chanakya Hridaya")</f>
        <v>Chanakya Hridaya</v>
      </c>
      <c r="C110" s="17" t="str">
        <f>IFERROR(__xludf.DUMMYFUNCTION("""COMPUTED_VALUE"""),"Founder &amp; CEO")</f>
        <v>Founder &amp; CEO</v>
      </c>
      <c r="D110" s="17"/>
      <c r="E110" s="17"/>
      <c r="F110" s="17"/>
      <c r="G110" s="17"/>
      <c r="H110" s="17"/>
    </row>
    <row r="111">
      <c r="A111" s="17" t="str">
        <f>IFERROR(__xludf.DUMMYFUNCTION("""COMPUTED_VALUE"""),"Blackbuck")</f>
        <v>Blackbuck</v>
      </c>
      <c r="B111" s="17" t="str">
        <f>IFERROR(__xludf.DUMMYFUNCTION("""COMPUTED_VALUE"""),"Rama Subramaniam")</f>
        <v>Rama Subramaniam</v>
      </c>
      <c r="C111" s="17" t="str">
        <f>IFERROR(__xludf.DUMMYFUNCTION("""COMPUTED_VALUE"""),"Founder &amp; CEO")</f>
        <v>Founder &amp; CEO</v>
      </c>
      <c r="D111" s="17"/>
      <c r="E111" s="17"/>
      <c r="F111" s="17"/>
      <c r="G111" s="17"/>
      <c r="H111" s="17"/>
    </row>
    <row r="112">
      <c r="A112" s="17" t="str">
        <f>IFERROR(__xludf.DUMMYFUNCTION("""COMPUTED_VALUE"""),"Droom")</f>
        <v>Droom</v>
      </c>
      <c r="B112" s="17" t="str">
        <f>IFERROR(__xludf.DUMMYFUNCTION("""COMPUTED_VALUE"""),"Sandeep Aggarwal")</f>
        <v>Sandeep Aggarwal</v>
      </c>
      <c r="C112" s="17" t="str">
        <f>IFERROR(__xludf.DUMMYFUNCTION("""COMPUTED_VALUE"""),"Founder &amp; CEO")</f>
        <v>Founder &amp; CEO</v>
      </c>
      <c r="D112" s="27" t="str">
        <f>IFERROR(__xludf.DUMMYFUNCTION("""COMPUTED_VALUE"""),"https://www.linkedin.com/in/sandeepaggarwal/")</f>
        <v>https://www.linkedin.com/in/sandeepaggarwal/</v>
      </c>
      <c r="E112" s="17"/>
      <c r="F112" s="17" t="str">
        <f>IFERROR(__xludf.DUMMYFUNCTION("""COMPUTED_VALUE"""),"sandeep@droom.in")</f>
        <v>sandeep@droom.in</v>
      </c>
      <c r="G112" s="17"/>
      <c r="H112" s="17"/>
    </row>
    <row r="113">
      <c r="A113" s="17" t="str">
        <f>IFERROR(__xludf.DUMMYFUNCTION("""COMPUTED_VALUE"""),"Droom technology ")</f>
        <v>Droom technology </v>
      </c>
      <c r="B113" s="17" t="str">
        <f>IFERROR(__xludf.DUMMYFUNCTION("""COMPUTED_VALUE"""),"Sandeep Aggarwal")</f>
        <v>Sandeep Aggarwal</v>
      </c>
      <c r="C113" s="17" t="str">
        <f>IFERROR(__xludf.DUMMYFUNCTION("""COMPUTED_VALUE"""),"Founder &amp; CEO")</f>
        <v>Founder &amp; CEO</v>
      </c>
      <c r="D113" s="17"/>
      <c r="E113" s="17"/>
      <c r="F113" s="17" t="str">
        <f>IFERROR(__xludf.DUMMYFUNCTION("""COMPUTED_VALUE"""),"sandeepvision@gmail.com")</f>
        <v>sandeepvision@gmail.com</v>
      </c>
      <c r="G113" s="17"/>
      <c r="H113" s="17"/>
    </row>
    <row r="114">
      <c r="A114" s="17" t="str">
        <f>IFERROR(__xludf.DUMMYFUNCTION("""COMPUTED_VALUE"""),"BharatPe")</f>
        <v>BharatPe</v>
      </c>
      <c r="B114" s="17" t="str">
        <f>IFERROR(__xludf.DUMMYFUNCTION("""COMPUTED_VALUE"""),"Shashvat Nakrani")</f>
        <v>Shashvat Nakrani</v>
      </c>
      <c r="C114" s="17" t="str">
        <f>IFERROR(__xludf.DUMMYFUNCTION("""COMPUTED_VALUE"""),"Founder &amp; CEO")</f>
        <v>Founder &amp; CEO</v>
      </c>
      <c r="D114" s="17"/>
      <c r="E114" s="17"/>
      <c r="F114" s="17" t="str">
        <f>IFERROR(__xludf.DUMMYFUNCTION("""COMPUTED_VALUE"""),"shashvat@bharatpe.com")</f>
        <v>shashvat@bharatpe.com</v>
      </c>
      <c r="G114" s="17"/>
      <c r="H114" s="17"/>
    </row>
    <row r="115">
      <c r="A115" s="17" t="str">
        <f>IFERROR(__xludf.DUMMYFUNCTION("""COMPUTED_VALUE"""),"BharatPe")</f>
        <v>BharatPe</v>
      </c>
      <c r="B115" s="17" t="str">
        <f>IFERROR(__xludf.DUMMYFUNCTION("""COMPUTED_VALUE"""),"Ashneer Grover ")</f>
        <v>Ashneer Grover </v>
      </c>
      <c r="C115" s="17" t="str">
        <f>IFERROR(__xludf.DUMMYFUNCTION("""COMPUTED_VALUE"""),"Founder &amp; CEO")</f>
        <v>Founder &amp; CEO</v>
      </c>
      <c r="D115" s="27" t="str">
        <f>IFERROR(__xludf.DUMMYFUNCTION("""COMPUTED_VALUE"""),"https://www.linkedin.com/in/ashneer/")</f>
        <v>https://www.linkedin.com/in/ashneer/</v>
      </c>
      <c r="E115" s="17"/>
      <c r="F115" s="17" t="str">
        <f>IFERROR(__xludf.DUMMYFUNCTION("""COMPUTED_VALUE"""),"Co-Founder &amp; MD ")</f>
        <v>Co-Founder &amp; MD </v>
      </c>
      <c r="G115" s="17" t="str">
        <f>IFERROR(__xludf.DUMMYFUNCTION("""COMPUTED_VALUE"""),"9811144892")</f>
        <v>9811144892</v>
      </c>
      <c r="H115" s="17"/>
    </row>
    <row r="116">
      <c r="A116" s="17" t="str">
        <f>IFERROR(__xludf.DUMMYFUNCTION("""COMPUTED_VALUE"""),"BharatPe")</f>
        <v>BharatPe</v>
      </c>
      <c r="B116" s="17" t="str">
        <f>IFERROR(__xludf.DUMMYFUNCTION("""COMPUTED_VALUE"""),"Bhavik Koladiya ")</f>
        <v>Bhavik Koladiya </v>
      </c>
      <c r="C116" s="17" t="str">
        <f>IFERROR(__xludf.DUMMYFUNCTION("""COMPUTED_VALUE"""),"Founder &amp; CEO")</f>
        <v>Founder &amp; CEO</v>
      </c>
      <c r="D116" s="27" t="str">
        <f>IFERROR(__xludf.DUMMYFUNCTION("""COMPUTED_VALUE"""),"https://linkedin.com/in/koladiya/")</f>
        <v>https://linkedin.com/in/koladiya/</v>
      </c>
      <c r="E116" s="17"/>
      <c r="F116" s="17" t="str">
        <f>IFERROR(__xludf.DUMMYFUNCTION("""COMPUTED_VALUE"""),"Co-Founder")</f>
        <v>Co-Founder</v>
      </c>
      <c r="G116" s="17" t="str">
        <f>IFERROR(__xludf.DUMMYFUNCTION("""COMPUTED_VALUE"""),"2051736149")</f>
        <v>2051736149</v>
      </c>
      <c r="H116" s="17"/>
    </row>
    <row r="117">
      <c r="A117" s="17" t="str">
        <f>IFERROR(__xludf.DUMMYFUNCTION("""COMPUTED_VALUE"""),"Jumbotail")</f>
        <v>Jumbotail</v>
      </c>
      <c r="B117" s="17" t="str">
        <f>IFERROR(__xludf.DUMMYFUNCTION("""COMPUTED_VALUE"""),"Karthik Venkateswaran")</f>
        <v>Karthik Venkateswaran</v>
      </c>
      <c r="C117" s="17" t="str">
        <f>IFERROR(__xludf.DUMMYFUNCTION("""COMPUTED_VALUE"""),"Founder &amp; CEO")</f>
        <v>Founder &amp; CEO</v>
      </c>
      <c r="D117" s="17"/>
      <c r="E117" s="17"/>
      <c r="F117" s="17"/>
      <c r="G117" s="17"/>
      <c r="H117" s="17"/>
    </row>
    <row r="118">
      <c r="A118" s="17" t="str">
        <f>IFERROR(__xludf.DUMMYFUNCTION("""COMPUTED_VALUE"""),"Livspace")</f>
        <v>Livspace</v>
      </c>
      <c r="B118" s="17" t="str">
        <f>IFERROR(__xludf.DUMMYFUNCTION("""COMPUTED_VALUE"""),"Ramakant Sharma")</f>
        <v>Ramakant Sharma</v>
      </c>
      <c r="C118" s="17" t="str">
        <f>IFERROR(__xludf.DUMMYFUNCTION("""COMPUTED_VALUE"""),"Founder &amp; CEO")</f>
        <v>Founder &amp; CEO</v>
      </c>
      <c r="D118" s="17"/>
      <c r="E118" s="17"/>
      <c r="F118" s="17" t="str">
        <f>IFERROR(__xludf.DUMMYFUNCTION("""COMPUTED_VALUE"""),"contact@livspace.com")</f>
        <v>contact@livspace.com</v>
      </c>
      <c r="G118" s="17"/>
      <c r="H118" s="17"/>
    </row>
    <row r="119">
      <c r="A119" s="17" t="str">
        <f>IFERROR(__xludf.DUMMYFUNCTION("""COMPUTED_VALUE"""),"Mamaearth")</f>
        <v>Mamaearth</v>
      </c>
      <c r="B119" s="17" t="str">
        <f>IFERROR(__xludf.DUMMYFUNCTION("""COMPUTED_VALUE"""),"Ghazal Alagh")</f>
        <v>Ghazal Alagh</v>
      </c>
      <c r="C119" s="17" t="str">
        <f>IFERROR(__xludf.DUMMYFUNCTION("""COMPUTED_VALUE"""),"Founder &amp; CEO")</f>
        <v>Founder &amp; CEO</v>
      </c>
      <c r="D119" s="27" t="str">
        <f>IFERROR(__xludf.DUMMYFUNCTION("""COMPUTED_VALUE"""),"https://www.linkedin.com/in/ghazal-alagh-9755a0128/")</f>
        <v>https://www.linkedin.com/in/ghazal-alagh-9755a0128/</v>
      </c>
      <c r="E119" s="17"/>
      <c r="F119" s="17" t="str">
        <f>IFERROR(__xludf.DUMMYFUNCTION("""COMPUTED_VALUE"""),"ghazal@mamaearth.in")</f>
        <v>ghazal@mamaearth.in</v>
      </c>
      <c r="G119" s="17"/>
      <c r="H119" s="17"/>
    </row>
    <row r="120">
      <c r="A120" s="17" t="str">
        <f>IFERROR(__xludf.DUMMYFUNCTION("""COMPUTED_VALUE"""),"Mamaearth")</f>
        <v>Mamaearth</v>
      </c>
      <c r="B120" s="17" t="str">
        <f>IFERROR(__xludf.DUMMYFUNCTION("""COMPUTED_VALUE"""),"Varun Alagh")</f>
        <v>Varun Alagh</v>
      </c>
      <c r="C120" s="17" t="str">
        <f>IFERROR(__xludf.DUMMYFUNCTION("""COMPUTED_VALUE"""),"Founder &amp; CEO")</f>
        <v>Founder &amp; CEO</v>
      </c>
      <c r="D120" s="27" t="str">
        <f>IFERROR(__xludf.DUMMYFUNCTION("""COMPUTED_VALUE"""),"https://www.linkedin.com/in/varunalagh84/")</f>
        <v>https://www.linkedin.com/in/varunalagh84/</v>
      </c>
      <c r="E120" s="17"/>
      <c r="F120" s="17" t="str">
        <f>IFERROR(__xludf.DUMMYFUNCTION("""COMPUTED_VALUE"""),"varun@mamaearth.in")</f>
        <v>varun@mamaearth.in</v>
      </c>
      <c r="G120" s="17"/>
      <c r="H120" s="17"/>
    </row>
    <row r="121">
      <c r="A121" s="17" t="str">
        <f>IFERROR(__xludf.DUMMYFUNCTION("""COMPUTED_VALUE"""),"Pristyn Care")</f>
        <v>Pristyn Care</v>
      </c>
      <c r="B121" s="17" t="str">
        <f>IFERROR(__xludf.DUMMYFUNCTION("""COMPUTED_VALUE"""),"Garima Sawhney")</f>
        <v>Garima Sawhney</v>
      </c>
      <c r="C121" s="17" t="str">
        <f>IFERROR(__xludf.DUMMYFUNCTION("""COMPUTED_VALUE"""),"Founder &amp; CEO")</f>
        <v>Founder &amp; CEO</v>
      </c>
      <c r="D121" s="17"/>
      <c r="E121" s="17"/>
      <c r="F121" s="17"/>
      <c r="G121" s="17"/>
      <c r="H121" s="17"/>
    </row>
    <row r="122">
      <c r="A122" s="17" t="str">
        <f>IFERROR(__xludf.DUMMYFUNCTION("""COMPUTED_VALUE"""),"JUSPAY")</f>
        <v>JUSPAY</v>
      </c>
      <c r="B122" s="17" t="str">
        <f>IFERROR(__xludf.DUMMYFUNCTION("""COMPUTED_VALUE"""),"Sheetal")</f>
        <v>Sheetal</v>
      </c>
      <c r="C122" s="17" t="str">
        <f>IFERROR(__xludf.DUMMYFUNCTION("""COMPUTED_VALUE"""),"Founder &amp; CEO")</f>
        <v>Founder &amp; CEO</v>
      </c>
      <c r="D122" s="27" t="str">
        <f>IFERROR(__xludf.DUMMYFUNCTION("""COMPUTED_VALUE"""),"https://www.linkedin.com/in/sheetalchainraj/")</f>
        <v>https://www.linkedin.com/in/sheetalchainraj/</v>
      </c>
      <c r="E122" s="17"/>
      <c r="F122" s="17" t="str">
        <f>IFERROR(__xludf.DUMMYFUNCTION("""COMPUTED_VALUE"""),"Co-founder &amp; Chief Operating Officer")</f>
        <v>Co-founder &amp; Chief Operating Officer</v>
      </c>
      <c r="G122" s="17" t="str">
        <f>IFERROR(__xludf.DUMMYFUNCTION("""COMPUTED_VALUE"""),"81052 28842")</f>
        <v>81052 28842</v>
      </c>
      <c r="H122" s="17"/>
    </row>
    <row r="123">
      <c r="A123" s="17" t="str">
        <f>IFERROR(__xludf.DUMMYFUNCTION("""COMPUTED_VALUE"""),"OneCard")</f>
        <v>OneCard</v>
      </c>
      <c r="B123" s="17" t="str">
        <f>IFERROR(__xludf.DUMMYFUNCTION("""COMPUTED_VALUE"""),"Anurag Sinha")</f>
        <v>Anurag Sinha</v>
      </c>
      <c r="C123" s="17" t="str">
        <f>IFERROR(__xludf.DUMMYFUNCTION("""COMPUTED_VALUE"""),"Founder &amp; CEO")</f>
        <v>Founder &amp; CEO</v>
      </c>
      <c r="D123" s="27" t="str">
        <f>IFERROR(__xludf.DUMMYFUNCTION("""COMPUTED_VALUE"""),"https://linkedin.com/in/anuragsinha2")</f>
        <v>https://linkedin.com/in/anuragsinha2</v>
      </c>
      <c r="E123" s="17"/>
      <c r="F123" s="17" t="str">
        <f>IFERROR(__xludf.DUMMYFUNCTION("""COMPUTED_VALUE"""),"anurag.sinha@onescore.app")</f>
        <v>anurag.sinha@onescore.app</v>
      </c>
      <c r="G123" s="17" t="str">
        <f>IFERROR(__xludf.DUMMYFUNCTION("""COMPUTED_VALUE"""),"18504386758 / 18504854267")</f>
        <v>18504386758 / 18504854267</v>
      </c>
      <c r="H123" s="17"/>
    </row>
    <row r="124">
      <c r="A124" s="17" t="str">
        <f>IFERROR(__xludf.DUMMYFUNCTION("""COMPUTED_VALUE"""),"Open Financial Technologies")</f>
        <v>Open Financial Technologies</v>
      </c>
      <c r="B124" s="17" t="str">
        <f>IFERROR(__xludf.DUMMYFUNCTION("""COMPUTED_VALUE"""),"Deena Jacob")</f>
        <v>Deena Jacob</v>
      </c>
      <c r="C124" s="17" t="str">
        <f>IFERROR(__xludf.DUMMYFUNCTION("""COMPUTED_VALUE"""),"Founder &amp; CEO")</f>
        <v>Founder &amp; CEO</v>
      </c>
      <c r="D124" s="17"/>
      <c r="E124" s="17"/>
      <c r="F124" s="17" t="str">
        <f>IFERROR(__xludf.DUMMYFUNCTION("""COMPUTED_VALUE"""),"letstalk@open.money; deena@bankopen.co")</f>
        <v>letstalk@open.money; deena@bankopen.co</v>
      </c>
      <c r="G124" s="17"/>
      <c r="H124" s="17"/>
    </row>
    <row r="125">
      <c r="A125" s="17" t="str">
        <f>IFERROR(__xludf.DUMMYFUNCTION("""COMPUTED_VALUE"""),"Open Financial Technologies")</f>
        <v>Open Financial Technologies</v>
      </c>
      <c r="B125" s="17" t="str">
        <f>IFERROR(__xludf.DUMMYFUNCTION("""COMPUTED_VALUE"""),"Mabel Chacko")</f>
        <v>Mabel Chacko</v>
      </c>
      <c r="C125" s="17" t="str">
        <f>IFERROR(__xludf.DUMMYFUNCTION("""COMPUTED_VALUE"""),"Founder &amp; CEO")</f>
        <v>Founder &amp; CEO</v>
      </c>
      <c r="D125" s="17"/>
      <c r="E125" s="17"/>
      <c r="F125" s="17" t="str">
        <f>IFERROR(__xludf.DUMMYFUNCTION("""COMPUTED_VALUE"""),"mabel.chacko@gmail.com, mchacko@open.money")</f>
        <v>mabel.chacko@gmail.com, mchacko@open.money</v>
      </c>
      <c r="G125" s="17"/>
      <c r="H125" s="17"/>
    </row>
    <row r="126">
      <c r="A126" s="17" t="str">
        <f>IFERROR(__xludf.DUMMYFUNCTION("""COMPUTED_VALUE"""),"ElasticRun")</f>
        <v>ElasticRun</v>
      </c>
      <c r="B126" s="17" t="str">
        <f>IFERROR(__xludf.DUMMYFUNCTION("""COMPUTED_VALUE"""),"Sandeep Deshmukh")</f>
        <v>Sandeep Deshmukh</v>
      </c>
      <c r="C126" s="17" t="str">
        <f>IFERROR(__xludf.DUMMYFUNCTION("""COMPUTED_VALUE"""),"Founder &amp; CEO")</f>
        <v>Founder &amp; CEO</v>
      </c>
      <c r="D126" s="17"/>
      <c r="E126" s="17"/>
      <c r="F126" s="17" t="str">
        <f>IFERROR(__xludf.DUMMYFUNCTION("""COMPUTED_VALUE"""),"sandeep.deshmukh@elastic.run")</f>
        <v>sandeep.deshmukh@elastic.run</v>
      </c>
      <c r="G126" s="17" t="str">
        <f>IFERROR(__xludf.DUMMYFUNCTION("""COMPUTED_VALUE"""),"8600143125 || 8722072111")</f>
        <v>8600143125 || 8722072111</v>
      </c>
      <c r="H126" s="17"/>
    </row>
    <row r="127">
      <c r="A127" s="17" t="str">
        <f>IFERROR(__xludf.DUMMYFUNCTION("""COMPUTED_VALUE"""),"LEAD School")</f>
        <v>LEAD School</v>
      </c>
      <c r="B127" s="17" t="str">
        <f>IFERROR(__xludf.DUMMYFUNCTION("""COMPUTED_VALUE"""),"Smita Deorah")</f>
        <v>Smita Deorah</v>
      </c>
      <c r="C127" s="17" t="str">
        <f>IFERROR(__xludf.DUMMYFUNCTION("""COMPUTED_VALUE"""),"Founder &amp; CEO")</f>
        <v>Founder &amp; CEO</v>
      </c>
      <c r="D127" s="17"/>
      <c r="E127" s="17"/>
      <c r="F127" s="17" t="str">
        <f>IFERROR(__xludf.DUMMYFUNCTION("""COMPUTED_VALUE"""),"smita.d@gmail.com, smitad@gmail.com, smita@leadschool.in")</f>
        <v>smita.d@gmail.com, smitad@gmail.com, smita@leadschool.in</v>
      </c>
      <c r="G127" s="17"/>
      <c r="H127" s="17"/>
    </row>
    <row r="128">
      <c r="A128" s="17" t="str">
        <f>IFERROR(__xludf.DUMMYFUNCTION("""COMPUTED_VALUE"""),"Upstox")</f>
        <v>Upstox</v>
      </c>
      <c r="B128" s="17" t="str">
        <f>IFERROR(__xludf.DUMMYFUNCTION("""COMPUTED_VALUE"""),"Vidit Bhargava")</f>
        <v>Vidit Bhargava</v>
      </c>
      <c r="C128" s="17" t="str">
        <f>IFERROR(__xludf.DUMMYFUNCTION("""COMPUTED_VALUE"""),"Founder &amp; CEO")</f>
        <v>Founder &amp; CEO</v>
      </c>
      <c r="D128" s="17"/>
      <c r="E128" s="17"/>
      <c r="F128" s="17"/>
      <c r="G128" s="17"/>
      <c r="H128" s="17"/>
    </row>
    <row r="129">
      <c r="A129" s="17" t="str">
        <f>IFERROR(__xludf.DUMMYFUNCTION("""COMPUTED_VALUE"""),"Upstox")</f>
        <v>Upstox</v>
      </c>
      <c r="B129" s="17" t="str">
        <f>IFERROR(__xludf.DUMMYFUNCTION("""COMPUTED_VALUE"""),"Shrinivas Viswanath")</f>
        <v>Shrinivas Viswanath</v>
      </c>
      <c r="C129" s="17" t="str">
        <f>IFERROR(__xludf.DUMMYFUNCTION("""COMPUTED_VALUE"""),"Founder &amp; CEO")</f>
        <v>Founder &amp; CEO</v>
      </c>
      <c r="D129" s="17"/>
      <c r="E129" s="17"/>
      <c r="F129" s="17"/>
      <c r="G129" s="17"/>
      <c r="H129" s="17"/>
    </row>
    <row r="130">
      <c r="A130" s="17" t="str">
        <f>IFERROR(__xludf.DUMMYFUNCTION("""COMPUTED_VALUE"""),"Upstox")</f>
        <v>Upstox</v>
      </c>
      <c r="B130" s="17" t="str">
        <f>IFERROR(__xludf.DUMMYFUNCTION("""COMPUTED_VALUE"""),"Raghu Kumar")</f>
        <v>Raghu Kumar</v>
      </c>
      <c r="C130" s="17" t="str">
        <f>IFERROR(__xludf.DUMMYFUNCTION("""COMPUTED_VALUE"""),"Founder &amp; CEO")</f>
        <v>Founder &amp; CEO</v>
      </c>
      <c r="D130" s="17"/>
      <c r="E130" s="17"/>
      <c r="F130" s="17"/>
      <c r="G130" s="17"/>
      <c r="H130" s="17"/>
    </row>
    <row r="131">
      <c r="A131" s="17" t="str">
        <f>IFERROR(__xludf.DUMMYFUNCTION("""COMPUTED_VALUE"""),"Upstox")</f>
        <v>Upstox</v>
      </c>
      <c r="B131" s="17" t="str">
        <f>IFERROR(__xludf.DUMMYFUNCTION("""COMPUTED_VALUE"""),"Ravi Kumar")</f>
        <v>Ravi Kumar</v>
      </c>
      <c r="C131" s="17" t="str">
        <f>IFERROR(__xludf.DUMMYFUNCTION("""COMPUTED_VALUE"""),"Founder &amp; CEO")</f>
        <v>Founder &amp; CEO</v>
      </c>
      <c r="D131" s="27" t="str">
        <f>IFERROR(__xludf.DUMMYFUNCTION("""COMPUTED_VALUE"""),"linkedin.com/in/ravi-kumar-b7698171")</f>
        <v>linkedin.com/in/ravi-kumar-b7698171</v>
      </c>
      <c r="E131" s="17"/>
      <c r="F131" s="17" t="str">
        <f>IFERROR(__xludf.DUMMYFUNCTION("""COMPUTED_VALUE"""),"sandy_kumar83@yahoo.com ravi.kumar@rksv.in ravi.kumar@upstox.com")</f>
        <v>sandy_kumar83@yahoo.com ravi.kumar@rksv.in ravi.kumar@upstox.com</v>
      </c>
      <c r="G131" s="17" t="str">
        <f>IFERROR(__xludf.DUMMYFUNCTION("""COMPUTED_VALUE""")," ")</f>
        <v> </v>
      </c>
      <c r="H131" s="17"/>
    </row>
    <row r="132">
      <c r="A132" s="17" t="str">
        <f>IFERROR(__xludf.DUMMYFUNCTION("""COMPUTED_VALUE"""),"Apna ")</f>
        <v>Apna </v>
      </c>
      <c r="B132" s="17" t="str">
        <f>IFERROR(__xludf.DUMMYFUNCTION("""COMPUTED_VALUE"""),"Nirmit Parikh")</f>
        <v>Nirmit Parikh</v>
      </c>
      <c r="C132" s="17" t="str">
        <f>IFERROR(__xludf.DUMMYFUNCTION("""COMPUTED_VALUE"""),"Founder &amp; CEO")</f>
        <v>Founder &amp; CEO</v>
      </c>
      <c r="D132" s="17"/>
      <c r="E132" s="17"/>
      <c r="F132" s="17" t="str">
        <f>IFERROR(__xludf.DUMMYFUNCTION("""COMPUTED_VALUE"""),"nirmitp87@gmail.com")</f>
        <v>nirmitp87@gmail.com</v>
      </c>
      <c r="G132" s="17"/>
      <c r="H132" s="17"/>
    </row>
    <row r="133">
      <c r="A133" s="27" t="str">
        <f>IFERROR(__xludf.DUMMYFUNCTION("""COMPUTED_VALUE"""),"NoBroker.com")</f>
        <v>NoBroker.com</v>
      </c>
      <c r="B133" s="17" t="str">
        <f>IFERROR(__xludf.DUMMYFUNCTION("""COMPUTED_VALUE"""),"Amit Kumar Agarwal")</f>
        <v>Amit Kumar Agarwal</v>
      </c>
      <c r="C133" s="17" t="str">
        <f>IFERROR(__xludf.DUMMYFUNCTION("""COMPUTED_VALUE"""),"Founder &amp; CEO")</f>
        <v>Founder &amp; CEO</v>
      </c>
      <c r="D133" s="17"/>
      <c r="E133" s="17"/>
      <c r="F133" s="17" t="str">
        <f>IFERROR(__xludf.DUMMYFUNCTION("""COMPUTED_VALUE"""),"amit@nobroker.in")</f>
        <v>amit@nobroker.in</v>
      </c>
      <c r="G133" s="17"/>
      <c r="H133" s="17"/>
    </row>
    <row r="134">
      <c r="A134" s="27" t="str">
        <f>IFERROR(__xludf.DUMMYFUNCTION("""COMPUTED_VALUE"""),"NoBroker.com")</f>
        <v>NoBroker.com</v>
      </c>
      <c r="B134" s="17" t="str">
        <f>IFERROR(__xludf.DUMMYFUNCTION("""COMPUTED_VALUE"""),"Saurabh Garg")</f>
        <v>Saurabh Garg</v>
      </c>
      <c r="C134" s="17" t="str">
        <f>IFERROR(__xludf.DUMMYFUNCTION("""COMPUTED_VALUE"""),"Founder &amp; CEO")</f>
        <v>Founder &amp; CEO</v>
      </c>
      <c r="D134" s="17"/>
      <c r="E134" s="17"/>
      <c r="F134" s="17" t="str">
        <f>IFERROR(__xludf.DUMMYFUNCTION("""COMPUTED_VALUE"""),"saurabh@nobroker.in")</f>
        <v>saurabh@nobroker.in</v>
      </c>
      <c r="G134" s="17"/>
      <c r="H134" s="17"/>
    </row>
    <row r="135">
      <c r="A135" s="17" t="str">
        <f>IFERROR(__xludf.DUMMYFUNCTION("""COMPUTED_VALUE"""),"NoBroker")</f>
        <v>NoBroker</v>
      </c>
      <c r="B135" s="17" t="str">
        <f>IFERROR(__xludf.DUMMYFUNCTION("""COMPUTED_VALUE"""),"Akhil Gupta")</f>
        <v>Akhil Gupta</v>
      </c>
      <c r="C135" s="17" t="str">
        <f>IFERROR(__xludf.DUMMYFUNCTION("""COMPUTED_VALUE"""),"Founder &amp; CEO")</f>
        <v>Founder &amp; CEO</v>
      </c>
      <c r="D135" s="17"/>
      <c r="E135" s="17"/>
      <c r="F135" s="17" t="str">
        <f>IFERROR(__xludf.DUMMYFUNCTION("""COMPUTED_VALUE"""),"akhil@nobroker.in")</f>
        <v>akhil@nobroker.in</v>
      </c>
      <c r="G135" s="17"/>
      <c r="H135" s="17"/>
    </row>
    <row r="136">
      <c r="A136" s="17" t="str">
        <f>IFERROR(__xludf.DUMMYFUNCTION("""COMPUTED_VALUE"""),"LeadSquared")</f>
        <v>LeadSquared</v>
      </c>
      <c r="B136" s="17" t="str">
        <f>IFERROR(__xludf.DUMMYFUNCTION("""COMPUTED_VALUE"""),"Prashant Singh")</f>
        <v>Prashant Singh</v>
      </c>
      <c r="C136" s="17" t="str">
        <f>IFERROR(__xludf.DUMMYFUNCTION("""COMPUTED_VALUE"""),"Founder &amp; CEO")</f>
        <v>Founder &amp; CEO</v>
      </c>
      <c r="D136" s="17"/>
      <c r="E136" s="17"/>
      <c r="F136" s="17" t="str">
        <f>IFERROR(__xludf.DUMMYFUNCTION("""COMPUTED_VALUE"""),"prashant@leadsquared.com")</f>
        <v>prashant@leadsquared.com</v>
      </c>
      <c r="G136" s="17"/>
      <c r="H136" s="17"/>
    </row>
    <row r="137">
      <c r="A137" s="17" t="str">
        <f>IFERROR(__xludf.DUMMYFUNCTION("""COMPUTED_VALUE"""),"LeadSquared")</f>
        <v>LeadSquared</v>
      </c>
      <c r="B137" s="17" t="str">
        <f>IFERROR(__xludf.DUMMYFUNCTION("""COMPUTED_VALUE"""),"Nilesh Patel")</f>
        <v>Nilesh Patel</v>
      </c>
      <c r="C137" s="17" t="str">
        <f>IFERROR(__xludf.DUMMYFUNCTION("""COMPUTED_VALUE"""),"Founder &amp; CEO")</f>
        <v>Founder &amp; CEO</v>
      </c>
      <c r="D137" s="17"/>
      <c r="E137" s="17"/>
      <c r="F137" s="17" t="str">
        <f>IFERROR(__xludf.DUMMYFUNCTION("""COMPUTED_VALUE"""),"nilesh@leadsquared.com")</f>
        <v>nilesh@leadsquared.com</v>
      </c>
      <c r="G137" s="17"/>
      <c r="H137" s="17"/>
    </row>
    <row r="138">
      <c r="A138" s="17" t="str">
        <f>IFERROR(__xludf.DUMMYFUNCTION("""COMPUTED_VALUE"""),"CoinSwitch Kuber")</f>
        <v>CoinSwitch Kuber</v>
      </c>
      <c r="B138" s="17" t="str">
        <f>IFERROR(__xludf.DUMMYFUNCTION("""COMPUTED_VALUE"""),"Ashish Singhal")</f>
        <v>Ashish Singhal</v>
      </c>
      <c r="C138" s="17" t="str">
        <f>IFERROR(__xludf.DUMMYFUNCTION("""COMPUTED_VALUE"""),"Founder &amp; CEO")</f>
        <v>Founder &amp; CEO</v>
      </c>
      <c r="D138" s="17"/>
      <c r="E138" s="17"/>
      <c r="F138" s="17" t="str">
        <f>IFERROR(__xludf.DUMMYFUNCTION("""COMPUTED_VALUE"""),"singhalashish343@gmail.com, ashish@coinswitch.co	+91-9663892522")</f>
        <v>singhalashish343@gmail.com, ashish@coinswitch.co	+91-9663892522</v>
      </c>
      <c r="G138" s="17"/>
      <c r="H138" s="17"/>
    </row>
    <row r="139">
      <c r="A139" s="17" t="str">
        <f>IFERROR(__xludf.DUMMYFUNCTION("""COMPUTED_VALUE"""),"CoinSwitch Kuber")</f>
        <v>CoinSwitch Kuber</v>
      </c>
      <c r="B139" s="17" t="str">
        <f>IFERROR(__xludf.DUMMYFUNCTION("""COMPUTED_VALUE"""),"Govind Soni")</f>
        <v>Govind Soni</v>
      </c>
      <c r="C139" s="17" t="str">
        <f>IFERROR(__xludf.DUMMYFUNCTION("""COMPUTED_VALUE"""),"Founder &amp; CEO")</f>
        <v>Founder &amp; CEO</v>
      </c>
      <c r="D139" s="17"/>
      <c r="E139" s="17"/>
      <c r="F139" s="17" t="str">
        <f>IFERROR(__xludf.DUMMYFUNCTION("""COMPUTED_VALUE"""),"govindnsit07@gmail.com, govind@coinswitch.co")</f>
        <v>govindnsit07@gmail.com, govind@coinswitch.co</v>
      </c>
      <c r="G139" s="17"/>
      <c r="H139" s="17"/>
    </row>
    <row r="140">
      <c r="A140" s="17" t="str">
        <f>IFERROR(__xludf.DUMMYFUNCTION("""COMPUTED_VALUE"""),"CoinSwitch Kuber")</f>
        <v>CoinSwitch Kuber</v>
      </c>
      <c r="B140" s="17" t="str">
        <f>IFERROR(__xludf.DUMMYFUNCTION("""COMPUTED_VALUE"""),"Vimal Sagar Tiwari")</f>
        <v>Vimal Sagar Tiwari</v>
      </c>
      <c r="C140" s="17" t="str">
        <f>IFERROR(__xludf.DUMMYFUNCTION("""COMPUTED_VALUE"""),"Founder &amp; CEO")</f>
        <v>Founder &amp; CEO</v>
      </c>
      <c r="D140" s="17"/>
      <c r="E140" s="17"/>
      <c r="F140" s="17" t="str">
        <f>IFERROR(__xludf.DUMMYFUNCTION("""COMPUTED_VALUE"""),"vimalsagartiwari@gmail.com, vimal@coinswitch.co")</f>
        <v>vimalsagartiwari@gmail.com, vimal@coinswitch.co</v>
      </c>
      <c r="G140" s="17"/>
      <c r="H140" s="17"/>
    </row>
    <row r="141">
      <c r="A141" s="17" t="str">
        <f>IFERROR(__xludf.DUMMYFUNCTION("""COMPUTED_VALUE"""),"Licious")</f>
        <v>Licious</v>
      </c>
      <c r="B141" s="17" t="str">
        <f>IFERROR(__xludf.DUMMYFUNCTION("""COMPUTED_VALUE"""),"Vivek Gupta")</f>
        <v>Vivek Gupta</v>
      </c>
      <c r="C141" s="17" t="str">
        <f>IFERROR(__xludf.DUMMYFUNCTION("""COMPUTED_VALUE"""),"Founder &amp; CEO")</f>
        <v>Founder &amp; CEO</v>
      </c>
      <c r="D141" s="27" t="str">
        <f>IFERROR(__xludf.DUMMYFUNCTION("""COMPUTED_VALUE"""),"https://www.linkedin.com/in/vivek-gupta-licious/")</f>
        <v>https://www.linkedin.com/in/vivek-gupta-licious/</v>
      </c>
      <c r="E141" s="17"/>
      <c r="F141" s="17" t="str">
        <f>IFERROR(__xludf.DUMMYFUNCTION("""COMPUTED_VALUE"""),"vivek@licious.in")</f>
        <v>vivek@licious.in</v>
      </c>
      <c r="G141" s="17"/>
      <c r="H141" s="17"/>
    </row>
    <row r="142">
      <c r="A142" s="17" t="str">
        <f>IFERROR(__xludf.DUMMYFUNCTION("""COMPUTED_VALUE"""),"Vedantu")</f>
        <v>Vedantu</v>
      </c>
      <c r="B142" s="17" t="str">
        <f>IFERROR(__xludf.DUMMYFUNCTION("""COMPUTED_VALUE"""),"Vamsi Krishna")</f>
        <v>Vamsi Krishna</v>
      </c>
      <c r="C142" s="17" t="str">
        <f>IFERROR(__xludf.DUMMYFUNCTION("""COMPUTED_VALUE"""),"Founder &amp; CEO")</f>
        <v>Founder &amp; CEO</v>
      </c>
      <c r="D142" s="27" t="str">
        <f>IFERROR(__xludf.DUMMYFUNCTION("""COMPUTED_VALUE"""),"https://www.linkedin.com/in/profilevamsikrishna/")</f>
        <v>https://www.linkedin.com/in/profilevamsikrishna/</v>
      </c>
      <c r="E142" s="17"/>
      <c r="F142" s="17" t="str">
        <f>IFERROR(__xludf.DUMMYFUNCTION("""COMPUTED_VALUE"""),"vamsi@vedantu.com")</f>
        <v>vamsi@vedantu.com</v>
      </c>
      <c r="G142" s="17"/>
      <c r="H142" s="17"/>
    </row>
    <row r="143">
      <c r="A143" s="17" t="str">
        <f>IFERROR(__xludf.DUMMYFUNCTION("""COMPUTED_VALUE"""),"Vedantu")</f>
        <v>Vedantu</v>
      </c>
      <c r="B143" s="17" t="str">
        <f>IFERROR(__xludf.DUMMYFUNCTION("""COMPUTED_VALUE"""),"Pulkit Jain")</f>
        <v>Pulkit Jain</v>
      </c>
      <c r="C143" s="17" t="str">
        <f>IFERROR(__xludf.DUMMYFUNCTION("""COMPUTED_VALUE"""),"Founder &amp; CEO")</f>
        <v>Founder &amp; CEO</v>
      </c>
      <c r="D143" s="27" t="str">
        <f>IFERROR(__xludf.DUMMYFUNCTION("""COMPUTED_VALUE"""),"https://www.linkedin.com/in/jainpulkit/")</f>
        <v>https://www.linkedin.com/in/jainpulkit/</v>
      </c>
      <c r="E143" s="17"/>
      <c r="F143" s="17" t="str">
        <f>IFERROR(__xludf.DUMMYFUNCTION("""COMPUTED_VALUE"""),"pulkit@vedantu.com")</f>
        <v>pulkit@vedantu.com</v>
      </c>
      <c r="G143" s="17"/>
      <c r="H143" s="17"/>
    </row>
    <row r="144">
      <c r="A144" s="17" t="str">
        <f>IFERROR(__xludf.DUMMYFUNCTION("""COMPUTED_VALUE"""),"Mindtickle")</f>
        <v>Mindtickle</v>
      </c>
      <c r="B144" s="17" t="str">
        <f>IFERROR(__xludf.DUMMYFUNCTION("""COMPUTED_VALUE"""),"Krishna Gopal Depura")</f>
        <v>Krishna Gopal Depura</v>
      </c>
      <c r="C144" s="17" t="str">
        <f>IFERROR(__xludf.DUMMYFUNCTION("""COMPUTED_VALUE"""),"Founder &amp; CEO")</f>
        <v>Founder &amp; CEO</v>
      </c>
      <c r="D144" s="27" t="str">
        <f>IFERROR(__xludf.DUMMYFUNCTION("""COMPUTED_VALUE"""),"linkedin.com/in/krishna-gopal-depura-344630")</f>
        <v>linkedin.com/in/krishna-gopal-depura-344630</v>
      </c>
      <c r="E144" s="17"/>
      <c r="F144" s="17" t="str">
        <f>IFERROR(__xludf.DUMMYFUNCTION("""COMPUTED_VALUE"""),"krishna.depura@mindtickle.com")</f>
        <v>krishna.depura@mindtickle.com</v>
      </c>
      <c r="G144" s="17" t="str">
        <f>IFERROR(__xludf.DUMMYFUNCTION("""COMPUTED_VALUE"""),"9011079735")</f>
        <v>9011079735</v>
      </c>
      <c r="H144" s="17"/>
    </row>
    <row r="145">
      <c r="A145" s="17" t="str">
        <f>IFERROR(__xludf.DUMMYFUNCTION("""COMPUTED_VALUE"""),"BrowserStack")</f>
        <v>BrowserStack</v>
      </c>
      <c r="B145" s="17" t="str">
        <f>IFERROR(__xludf.DUMMYFUNCTION("""COMPUTED_VALUE"""),"Ritesh Arora")</f>
        <v>Ritesh Arora</v>
      </c>
      <c r="C145" s="17" t="str">
        <f>IFERROR(__xludf.DUMMYFUNCTION("""COMPUTED_VALUE"""),"Founder &amp; CEO")</f>
        <v>Founder &amp; CEO</v>
      </c>
      <c r="D145" s="27" t="str">
        <f>IFERROR(__xludf.DUMMYFUNCTION("""COMPUTED_VALUE"""),"https://www.linkedin.com/in/ritesh-arora-88937b7/")</f>
        <v>https://www.linkedin.com/in/ritesh-arora-88937b7/</v>
      </c>
      <c r="E145" s="17"/>
      <c r="F145" s="17" t="str">
        <f>IFERROR(__xludf.DUMMYFUNCTION("""COMPUTED_VALUE"""),"ritesh@browserstack.com")</f>
        <v>ritesh@browserstack.com</v>
      </c>
      <c r="G145" s="17" t="str">
        <f>IFERROR(__xludf.DUMMYFUNCTION("""COMPUTED_VALUE"""),"91 91676 63006")</f>
        <v>91 91676 63006</v>
      </c>
      <c r="H145" s="17"/>
    </row>
    <row r="146">
      <c r="A146" s="17" t="str">
        <f>IFERROR(__xludf.DUMMYFUNCTION("""COMPUTED_VALUE"""),"Games24x7")</f>
        <v>Games24x7</v>
      </c>
      <c r="B146" s="17" t="str">
        <f>IFERROR(__xludf.DUMMYFUNCTION("""COMPUTED_VALUE"""),"Bhavin Pandya")</f>
        <v>Bhavin Pandya</v>
      </c>
      <c r="C146" s="17" t="str">
        <f>IFERROR(__xludf.DUMMYFUNCTION("""COMPUTED_VALUE"""),"Founder &amp; CEO")</f>
        <v>Founder &amp; CEO</v>
      </c>
      <c r="D146" s="17"/>
      <c r="E146" s="17"/>
      <c r="F146" s="17" t="str">
        <f>IFERROR(__xludf.DUMMYFUNCTION("""COMPUTED_VALUE"""),"bp@games24x7.com consultvin@gmail.com")</f>
        <v>bp@games24x7.com consultvin@gmail.com</v>
      </c>
      <c r="G146" s="17"/>
      <c r="H146" s="17"/>
    </row>
    <row r="147">
      <c r="A147" s="17" t="str">
        <f>IFERROR(__xludf.DUMMYFUNCTION("""COMPUTED_VALUE"""),"Games24x7")</f>
        <v>Games24x7</v>
      </c>
      <c r="B147" s="17" t="str">
        <f>IFERROR(__xludf.DUMMYFUNCTION("""COMPUTED_VALUE"""),"Trivikraman Thampy")</f>
        <v>Trivikraman Thampy</v>
      </c>
      <c r="C147" s="17" t="str">
        <f>IFERROR(__xludf.DUMMYFUNCTION("""COMPUTED_VALUE"""),"Founder &amp; CEO")</f>
        <v>Founder &amp; CEO</v>
      </c>
      <c r="D147" s="17"/>
      <c r="E147" s="17"/>
      <c r="F147" s="17"/>
      <c r="G147" s="17"/>
      <c r="H147" s="17"/>
    </row>
    <row r="148">
      <c r="A148" s="17" t="str">
        <f>IFERROR(__xludf.DUMMYFUNCTION("""COMPUTED_VALUE"""),"Fractal Analytics")</f>
        <v>Fractal Analytics</v>
      </c>
      <c r="B148" s="17" t="str">
        <f>IFERROR(__xludf.DUMMYFUNCTION("""COMPUTED_VALUE"""),"Pranay Agrawal")</f>
        <v>Pranay Agrawal</v>
      </c>
      <c r="C148" s="17" t="str">
        <f>IFERROR(__xludf.DUMMYFUNCTION("""COMPUTED_VALUE"""),"Founder &amp; CEO")</f>
        <v>Founder &amp; CEO</v>
      </c>
      <c r="D148" s="17"/>
      <c r="E148" s="17"/>
      <c r="F148" s="17"/>
      <c r="G148" s="17"/>
      <c r="H148" s="17"/>
    </row>
    <row r="149">
      <c r="A149" s="17" t="str">
        <f>IFERROR(__xludf.DUMMYFUNCTION("""COMPUTED_VALUE"""),"Fractal Analytics")</f>
        <v>Fractal Analytics</v>
      </c>
      <c r="B149" s="17" t="str">
        <f>IFERROR(__xludf.DUMMYFUNCTION("""COMPUTED_VALUE"""),"Srikanth Velamakanni")</f>
        <v>Srikanth Velamakanni</v>
      </c>
      <c r="C149" s="17" t="str">
        <f>IFERROR(__xludf.DUMMYFUNCTION("""COMPUTED_VALUE"""),"Founder &amp; CEO")</f>
        <v>Founder &amp; CEO</v>
      </c>
      <c r="D149" s="17"/>
      <c r="E149" s="17"/>
      <c r="F149" s="17"/>
      <c r="G149" s="17"/>
      <c r="H149" s="17"/>
    </row>
    <row r="150">
      <c r="A150" s="17" t="str">
        <f>IFERROR(__xludf.DUMMYFUNCTION("""COMPUTED_VALUE"""),"VerSe Innovation")</f>
        <v>VerSe Innovation</v>
      </c>
      <c r="B150" s="17" t="str">
        <f>IFERROR(__xludf.DUMMYFUNCTION("""COMPUTED_VALUE"""),"Umang Bedi")</f>
        <v>Umang Bedi</v>
      </c>
      <c r="C150" s="17" t="str">
        <f>IFERROR(__xludf.DUMMYFUNCTION("""COMPUTED_VALUE"""),"Founder &amp; CEO")</f>
        <v>Founder &amp; CEO</v>
      </c>
      <c r="D150" s="17"/>
      <c r="E150" s="17"/>
      <c r="F150" s="17" t="str">
        <f>IFERROR(__xludf.DUMMYFUNCTION("""COMPUTED_VALUE"""),"umang.bedi@gmail.com, umang.bedi@verse.in")</f>
        <v>umang.bedi@gmail.com, umang.bedi@verse.in</v>
      </c>
      <c r="G150" s="17"/>
      <c r="H150" s="17"/>
    </row>
    <row r="151">
      <c r="A151" s="17" t="str">
        <f>IFERROR(__xludf.DUMMYFUNCTION("""COMPUTED_VALUE"""),"VerSe Innovation")</f>
        <v>VerSe Innovation</v>
      </c>
      <c r="B151" s="17" t="str">
        <f>IFERROR(__xludf.DUMMYFUNCTION("""COMPUTED_VALUE"""),"Virendra Gupta")</f>
        <v>Virendra Gupta</v>
      </c>
      <c r="C151" s="17" t="str">
        <f>IFERROR(__xludf.DUMMYFUNCTION("""COMPUTED_VALUE"""),"Founder &amp; CEO")</f>
        <v>Founder &amp; CEO</v>
      </c>
      <c r="D151" s="17"/>
      <c r="E151" s="17"/>
      <c r="F151" s="17"/>
      <c r="G151" s="17"/>
      <c r="H151" s="17"/>
    </row>
    <row r="152">
      <c r="A152" s="17" t="str">
        <f>IFERROR(__xludf.DUMMYFUNCTION("""COMPUTED_VALUE"""),"CarDekho")</f>
        <v>CarDekho</v>
      </c>
      <c r="B152" s="17" t="str">
        <f>IFERROR(__xludf.DUMMYFUNCTION("""COMPUTED_VALUE"""),"Amit Jain")</f>
        <v>Amit Jain</v>
      </c>
      <c r="C152" s="17" t="str">
        <f>IFERROR(__xludf.DUMMYFUNCTION("""COMPUTED_VALUE"""),"Founder &amp; CEO")</f>
        <v>Founder &amp; CEO</v>
      </c>
      <c r="D152" s="17"/>
      <c r="E152" s="17"/>
      <c r="F152" s="17" t="str">
        <f>IFERROR(__xludf.DUMMYFUNCTION("""COMPUTED_VALUE"""),"amitjain01@gmail.com, amit@girnarsoft.com, am****@girnarsoft.com	(141) 262-0451, +91-1414224400")</f>
        <v>amitjain01@gmail.com, amit@girnarsoft.com, am****@girnarsoft.com	(141) 262-0451, +91-1414224400</v>
      </c>
      <c r="G152" s="17"/>
      <c r="H152" s="17"/>
    </row>
    <row r="153">
      <c r="A153" s="17" t="str">
        <f>IFERROR(__xludf.DUMMYFUNCTION("""COMPUTED_VALUE"""),"Vivriti Capital")</f>
        <v>Vivriti Capital</v>
      </c>
      <c r="B153" s="17" t="str">
        <f>IFERROR(__xludf.DUMMYFUNCTION("""COMPUTED_VALUE"""),"Vineet Sukumar")</f>
        <v>Vineet Sukumar</v>
      </c>
      <c r="C153" s="17" t="str">
        <f>IFERROR(__xludf.DUMMYFUNCTION("""COMPUTED_VALUE"""),"Founder &amp; CEO")</f>
        <v>Founder &amp; CEO</v>
      </c>
      <c r="D153" s="27" t="str">
        <f>IFERROR(__xludf.DUMMYFUNCTION("""COMPUTED_VALUE"""),"https://www.linkedin.com/in/vineetsukumar/")</f>
        <v>https://www.linkedin.com/in/vineetsukumar/</v>
      </c>
      <c r="E153" s="17"/>
      <c r="F153" s="17" t="str">
        <f>IFERROR(__xludf.DUMMYFUNCTION("""COMPUTED_VALUE"""),"vineetsukumar@gmail.com")</f>
        <v>vineetsukumar@gmail.com</v>
      </c>
      <c r="G153" s="17" t="str">
        <f>IFERROR(__xludf.DUMMYFUNCTION("""COMPUTED_VALUE"""),"919500042049")</f>
        <v>919500042049</v>
      </c>
      <c r="H153" s="17"/>
    </row>
    <row r="154">
      <c r="A154" s="17" t="str">
        <f>IFERROR(__xludf.DUMMYFUNCTION("""COMPUTED_VALUE"""),"Vivriti Capital")</f>
        <v>Vivriti Capital</v>
      </c>
      <c r="B154" s="17" t="str">
        <f>IFERROR(__xludf.DUMMYFUNCTION("""COMPUTED_VALUE"""),"Gaurav Kumar")</f>
        <v>Gaurav Kumar</v>
      </c>
      <c r="C154" s="17" t="str">
        <f>IFERROR(__xludf.DUMMYFUNCTION("""COMPUTED_VALUE"""),"Founder &amp; CEO")</f>
        <v>Founder &amp; CEO</v>
      </c>
      <c r="D154" s="27" t="str">
        <f>IFERROR(__xludf.DUMMYFUNCTION("""COMPUTED_VALUE"""),"https://www.linkedin.com/in/gaurav-kumar-2a465114/")</f>
        <v>https://www.linkedin.com/in/gaurav-kumar-2a465114/</v>
      </c>
      <c r="E154" s="17"/>
      <c r="F154" s="17" t="str">
        <f>IFERROR(__xludf.DUMMYFUNCTION("""COMPUTED_VALUE"""),"gauravirma@gmail.com")</f>
        <v>gauravirma@gmail.com</v>
      </c>
      <c r="G154" s="17" t="str">
        <f>IFERROR(__xludf.DUMMYFUNCTION("""COMPUTED_VALUE"""),"919790998016")</f>
        <v>919790998016</v>
      </c>
      <c r="H154" s="17"/>
    </row>
    <row r="155">
      <c r="A155" s="17" t="str">
        <f>IFERROR(__xludf.DUMMYFUNCTION("""COMPUTED_VALUE"""),"Zetwerk")</f>
        <v>Zetwerk</v>
      </c>
      <c r="B155" s="17" t="str">
        <f>IFERROR(__xludf.DUMMYFUNCTION("""COMPUTED_VALUE"""),"Amrit Acharya")</f>
        <v>Amrit Acharya</v>
      </c>
      <c r="C155" s="17" t="str">
        <f>IFERROR(__xludf.DUMMYFUNCTION("""COMPUTED_VALUE"""),"Founder &amp; CEO")</f>
        <v>Founder &amp; CEO</v>
      </c>
      <c r="D155" s="27" t="str">
        <f>IFERROR(__xludf.DUMMYFUNCTION("""COMPUTED_VALUE"""),"https://www.linkedin.com/in/amrit-acharya/")</f>
        <v>https://www.linkedin.com/in/amrit-acharya/</v>
      </c>
      <c r="E155" s="17"/>
      <c r="F155" s="17" t="str">
        <f>IFERROR(__xludf.DUMMYFUNCTION("""COMPUTED_VALUE"""),"amrit@zetwerk.com")</f>
        <v>amrit@zetwerk.com</v>
      </c>
      <c r="G155" s="17"/>
      <c r="H155" s="17"/>
    </row>
    <row r="156">
      <c r="A156" s="17" t="str">
        <f>IFERROR(__xludf.DUMMYFUNCTION("""COMPUTED_VALUE"""),"Eruditus")</f>
        <v>Eruditus</v>
      </c>
      <c r="B156" s="17" t="str">
        <f>IFERROR(__xludf.DUMMYFUNCTION("""COMPUTED_VALUE"""),"Chaitanya Kalipatnapu")</f>
        <v>Chaitanya Kalipatnapu</v>
      </c>
      <c r="C156" s="17" t="str">
        <f>IFERROR(__xludf.DUMMYFUNCTION("""COMPUTED_VALUE"""),"Founder &amp; CEO")</f>
        <v>Founder &amp; CEO</v>
      </c>
      <c r="D156" s="17"/>
      <c r="E156" s="17"/>
      <c r="F156" s="17"/>
      <c r="G156" s="17"/>
      <c r="H156" s="17"/>
    </row>
    <row r="157">
      <c r="A157" s="17" t="str">
        <f>IFERROR(__xludf.DUMMYFUNCTION("""COMPUTED_VALUE"""),"CoinDCX")</f>
        <v>CoinDCX</v>
      </c>
      <c r="B157" s="17" t="str">
        <f>IFERROR(__xludf.DUMMYFUNCTION("""COMPUTED_VALUE"""),"Sumit Gupta")</f>
        <v>Sumit Gupta</v>
      </c>
      <c r="C157" s="17" t="str">
        <f>IFERROR(__xludf.DUMMYFUNCTION("""COMPUTED_VALUE"""),"Founder &amp; CEO")</f>
        <v>Founder &amp; CEO</v>
      </c>
      <c r="D157" s="17"/>
      <c r="E157" s="17"/>
      <c r="F157" s="17"/>
      <c r="G157" s="17"/>
      <c r="H157" s="17"/>
    </row>
    <row r="158">
      <c r="A158" s="17" t="str">
        <f>IFERROR(__xludf.DUMMYFUNCTION("""COMPUTED_VALUE"""),"CoinDCX")</f>
        <v>CoinDCX</v>
      </c>
      <c r="B158" s="17" t="str">
        <f>IFERROR(__xludf.DUMMYFUNCTION("""COMPUTED_VALUE"""),"Neeraj Khandelwal")</f>
        <v>Neeraj Khandelwal</v>
      </c>
      <c r="C158" s="17" t="str">
        <f>IFERROR(__xludf.DUMMYFUNCTION("""COMPUTED_VALUE"""),"Founder &amp; CEO")</f>
        <v>Founder &amp; CEO</v>
      </c>
      <c r="D158" s="17"/>
      <c r="E158" s="17"/>
      <c r="F158" s="17"/>
      <c r="G158" s="17" t="str">
        <f>IFERROR(__xludf.DUMMYFUNCTION("""COMPUTED_VALUE"""),"919015853951")</f>
        <v>919015853951</v>
      </c>
      <c r="H158" s="17"/>
    </row>
    <row r="159">
      <c r="A159" s="17" t="str">
        <f>IFERROR(__xludf.DUMMYFUNCTION("""COMPUTED_VALUE"""),"Dream Sports")</f>
        <v>Dream Sports</v>
      </c>
      <c r="B159" s="17" t="str">
        <f>IFERROR(__xludf.DUMMYFUNCTION("""COMPUTED_VALUE"""),"Harsh Jain")</f>
        <v>Harsh Jain</v>
      </c>
      <c r="C159" s="17" t="str">
        <f>IFERROR(__xludf.DUMMYFUNCTION("""COMPUTED_VALUE"""),"Founder &amp; CEO")</f>
        <v>Founder &amp; CEO</v>
      </c>
      <c r="D159" s="27" t="str">
        <f>IFERROR(__xludf.DUMMYFUNCTION("""COMPUTED_VALUE"""),"linkedin.com/in/harshj22")</f>
        <v>linkedin.com/in/harshj22</v>
      </c>
      <c r="E159" s="17"/>
      <c r="F159" s="17" t="str">
        <f>IFERROR(__xludf.DUMMYFUNCTION("""COMPUTED_VALUE"""),"harshj22@gmail.com")</f>
        <v>harshj22@gmail.com</v>
      </c>
      <c r="G159" s="17" t="str">
        <f>IFERROR(__xludf.DUMMYFUNCTION("""COMPUTED_VALUE""")," ")</f>
        <v> </v>
      </c>
      <c r="H159" s="17"/>
    </row>
    <row r="160">
      <c r="A160" s="17" t="str">
        <f>IFERROR(__xludf.DUMMYFUNCTION("""COMPUTED_VALUE"""),"Dream Sports")</f>
        <v>Dream Sports</v>
      </c>
      <c r="B160" s="17" t="str">
        <f>IFERROR(__xludf.DUMMYFUNCTION("""COMPUTED_VALUE"""),"Bhavit Sheth")</f>
        <v>Bhavit Sheth</v>
      </c>
      <c r="C160" s="17" t="str">
        <f>IFERROR(__xludf.DUMMYFUNCTION("""COMPUTED_VALUE"""),"Founder &amp; CEO")</f>
        <v>Founder &amp; CEO</v>
      </c>
      <c r="D160" s="27" t="str">
        <f>IFERROR(__xludf.DUMMYFUNCTION("""COMPUTED_VALUE"""),"linkedin.com/in/bhavitsheth")</f>
        <v>linkedin.com/in/bhavitsheth</v>
      </c>
      <c r="E160" s="17"/>
      <c r="F160" s="17" t="str">
        <f>IFERROR(__xludf.DUMMYFUNCTION("""COMPUTED_VALUE"""),"bhavitsheth@gmail.com")</f>
        <v>bhavitsheth@gmail.com</v>
      </c>
      <c r="G160" s="17" t="str">
        <f>IFERROR(__xludf.DUMMYFUNCTION("""COMPUTED_VALUE""")," ")</f>
        <v> </v>
      </c>
      <c r="H160" s="17"/>
    </row>
    <row r="161">
      <c r="A161" s="17" t="str">
        <f>IFERROR(__xludf.DUMMYFUNCTION("""COMPUTED_VALUE"""),"Company name ")</f>
        <v>Company name </v>
      </c>
      <c r="B161" s="17" t="str">
        <f>IFERROR(__xludf.DUMMYFUNCTION("""COMPUTED_VALUE"""),"Name")</f>
        <v>Name</v>
      </c>
      <c r="C161" s="17" t="str">
        <f>IFERROR(__xludf.DUMMYFUNCTION("""COMPUTED_VALUE"""),"Designation")</f>
        <v>Designation</v>
      </c>
      <c r="D161" s="17" t="str">
        <f>IFERROR(__xludf.DUMMYFUNCTION("""COMPUTED_VALUE"""),"Linkedin ID")</f>
        <v>Linkedin ID</v>
      </c>
      <c r="E161" s="17" t="str">
        <f>IFERROR(__xludf.DUMMYFUNCTION("""COMPUTED_VALUE"""),"Contact No.")</f>
        <v>Contact No.</v>
      </c>
      <c r="F161" s="17" t="str">
        <f>IFERROR(__xludf.DUMMYFUNCTION("""COMPUTED_VALUE"""),"Email")</f>
        <v>Email</v>
      </c>
      <c r="G161" s="17"/>
      <c r="H161" s="17"/>
    </row>
    <row r="162">
      <c r="A162" s="17" t="str">
        <f>IFERROR(__xludf.DUMMYFUNCTION("""COMPUTED_VALUE""")," TMRW House of Brands")</f>
        <v> TMRW House of Brands</v>
      </c>
      <c r="B162" s="17" t="str">
        <f>IFERROR(__xludf.DUMMYFUNCTION("""COMPUTED_VALUE"""),"Prashanth Aluru ")</f>
        <v>Prashanth Aluru </v>
      </c>
      <c r="C162" s="17" t="str">
        <f>IFERROR(__xludf.DUMMYFUNCTION("""COMPUTED_VALUE"""),"CEO &amp; Co-Founder")</f>
        <v>CEO &amp; Co-Founder</v>
      </c>
      <c r="D162" s="27" t="str">
        <f>IFERROR(__xludf.DUMMYFUNCTION("""COMPUTED_VALUE"""),"https://www.linkedin.com/in/prashanthaluru/?originalSubdomain=in")</f>
        <v>https://www.linkedin.com/in/prashanthaluru/?originalSubdomain=in</v>
      </c>
      <c r="E162" s="17" t="str">
        <f>IFERROR(__xludf.DUMMYFUNCTION("""COMPUTED_VALUE"""),"919901466855")</f>
        <v>919901466855</v>
      </c>
      <c r="F162" s="17" t="str">
        <f>IFERROR(__xludf.DUMMYFUNCTION("""COMPUTED_VALUE"""),"prashanthaluru@gmail.com")</f>
        <v>prashanthaluru@gmail.com</v>
      </c>
      <c r="G162" s="17"/>
      <c r="H162" s="17"/>
    </row>
    <row r="163">
      <c r="A163" s="17" t="str">
        <f>IFERROR(__xludf.DUMMYFUNCTION("""COMPUTED_VALUE""")," TMRW House of Brands")</f>
        <v> TMRW House of Brands</v>
      </c>
      <c r="B163" s="17" t="str">
        <f>IFERROR(__xludf.DUMMYFUNCTION("""COMPUTED_VALUE"""),"Veena B")</f>
        <v>Veena B</v>
      </c>
      <c r="C163" s="17" t="str">
        <f>IFERROR(__xludf.DUMMYFUNCTION("""COMPUTED_VALUE"""),"Executive Assistant")</f>
        <v>Executive Assistant</v>
      </c>
      <c r="D163" s="27" t="str">
        <f>IFERROR(__xludf.DUMMYFUNCTION("""COMPUTED_VALUE"""),"https://www.linkedin.com/in/veena-b-90408593/?originalSubdomain=in")</f>
        <v>https://www.linkedin.com/in/veena-b-90408593/?originalSubdomain=in</v>
      </c>
      <c r="E163" s="17"/>
      <c r="F163" s="17" t="str">
        <f>IFERROR(__xludf.DUMMYFUNCTION("""COMPUTED_VALUE"""),"veeruban@gmail.com")</f>
        <v>veeruban@gmail.com</v>
      </c>
      <c r="G163" s="17"/>
      <c r="H163" s="17"/>
    </row>
    <row r="164">
      <c r="A164" s="17" t="str">
        <f>IFERROR(__xludf.DUMMYFUNCTION("""COMPUTED_VALUE""")," TMRW House of Brands")</f>
        <v> TMRW House of Brands</v>
      </c>
      <c r="B164" s="17" t="str">
        <f>IFERROR(__xludf.DUMMYFUNCTION("""COMPUTED_VALUE"""),"Florencia Quinteros")</f>
        <v>Florencia Quinteros</v>
      </c>
      <c r="C164" s="17" t="str">
        <f>IFERROR(__xludf.DUMMYFUNCTION("""COMPUTED_VALUE"""),"Chief of Staff ")</f>
        <v>Chief of Staff </v>
      </c>
      <c r="D164" s="27" t="str">
        <f>IFERROR(__xludf.DUMMYFUNCTION("""COMPUTED_VALUE"""),"https://www.linkedin.com/in/florenciaquinteros/?originalSubdomain=au")</f>
        <v>https://www.linkedin.com/in/florenciaquinteros/?originalSubdomain=au</v>
      </c>
      <c r="E164" s="17" t="str">
        <f>IFERROR(__xludf.DUMMYFUNCTION("""COMPUTED_VALUE"""),"59898301049
+61292916290
+61292210872")</f>
        <v>59898301049
+61292916290
+61292210872</v>
      </c>
      <c r="F164" s="17" t="str">
        <f>IFERROR(__xludf.DUMMYFUNCTION("""COMPUTED_VALUE"""),"quinterosflorencia@gmail.com")</f>
        <v>quinterosflorencia@gmail.com</v>
      </c>
      <c r="G164" s="17"/>
      <c r="H164" s="17"/>
    </row>
    <row r="165">
      <c r="A165" s="17" t="str">
        <f>IFERROR(__xludf.DUMMYFUNCTION("""COMPUTED_VALUE"""),"The Sleep Company ")</f>
        <v>The Sleep Company </v>
      </c>
      <c r="B165" s="17" t="str">
        <f>IFERROR(__xludf.DUMMYFUNCTION("""COMPUTED_VALUE"""),"Harshil Salot ")</f>
        <v>Harshil Salot </v>
      </c>
      <c r="C165" s="17" t="str">
        <f>IFERROR(__xludf.DUMMYFUNCTION("""COMPUTED_VALUE"""),"Co founder")</f>
        <v>Co founder</v>
      </c>
      <c r="D165" s="27" t="str">
        <f>IFERROR(__xludf.DUMMYFUNCTION("""COMPUTED_VALUE"""),"https://www.linkedin.com/in/harshil-salot-7421a16/?originalSubdomain=in")</f>
        <v>https://www.linkedin.com/in/harshil-salot-7421a16/?originalSubdomain=in</v>
      </c>
      <c r="E165" s="17" t="str">
        <f>IFERROR(__xludf.DUMMYFUNCTION("""COMPUTED_VALUE"""),"912228478782")</f>
        <v>912228478782</v>
      </c>
      <c r="F165" s="17" t="str">
        <f>IFERROR(__xludf.DUMMYFUNCTION("""COMPUTED_VALUE"""),"harshilsalot@gmail.com")</f>
        <v>harshilsalot@gmail.com</v>
      </c>
      <c r="G165" s="17"/>
      <c r="H165" s="17"/>
    </row>
    <row r="166">
      <c r="A166" s="17" t="str">
        <f>IFERROR(__xludf.DUMMYFUNCTION("""COMPUTED_VALUE"""),"The Sleep Company ")</f>
        <v>The Sleep Company </v>
      </c>
      <c r="B166" s="17" t="str">
        <f>IFERROR(__xludf.DUMMYFUNCTION("""COMPUTED_VALUE"""),"Priyanka Salot ")</f>
        <v>Priyanka Salot </v>
      </c>
      <c r="C166" s="17" t="str">
        <f>IFERROR(__xludf.DUMMYFUNCTION("""COMPUTED_VALUE"""),"Co founder")</f>
        <v>Co founder</v>
      </c>
      <c r="D166" s="27" t="str">
        <f>IFERROR(__xludf.DUMMYFUNCTION("""COMPUTED_VALUE"""),"https://www.linkedin.com/in/priyanka-salot-3ba9617/?originalSubdomain=in")</f>
        <v>https://www.linkedin.com/in/priyanka-salot-3ba9617/?originalSubdomain=in</v>
      </c>
      <c r="E166" s="17" t="str">
        <f>IFERROR(__xludf.DUMMYFUNCTION("""COMPUTED_VALUE"""),"919820193748")</f>
        <v>919820193748</v>
      </c>
      <c r="F166" s="17" t="str">
        <f>IFERROR(__xludf.DUMMYFUNCTION("""COMPUTED_VALUE"""),"priyankaiimc@gmail.com")</f>
        <v>priyankaiimc@gmail.com</v>
      </c>
      <c r="G166" s="17"/>
      <c r="H166" s="17"/>
    </row>
    <row r="167">
      <c r="A167" s="17" t="str">
        <f>IFERROR(__xludf.DUMMYFUNCTION("""COMPUTED_VALUE"""),"The Sleep Company ")</f>
        <v>The Sleep Company </v>
      </c>
      <c r="B167" s="17" t="str">
        <f>IFERROR(__xludf.DUMMYFUNCTION("""COMPUTED_VALUE"""),"Pinky Poojary ")</f>
        <v>Pinky Poojary </v>
      </c>
      <c r="C167" s="17" t="str">
        <f>IFERROR(__xludf.DUMMYFUNCTION("""COMPUTED_VALUE"""),"Executive Assistant ")</f>
        <v>Executive Assistant </v>
      </c>
      <c r="D167" s="27" t="str">
        <f>IFERROR(__xludf.DUMMYFUNCTION("""COMPUTED_VALUE"""),"https://www.linkedin.com/in/pinky-poojary/?originalSubdomain=in")</f>
        <v>https://www.linkedin.com/in/pinky-poojary/?originalSubdomain=in</v>
      </c>
      <c r="E167" s="17"/>
      <c r="F167" s="17" t="str">
        <f>IFERROR(__xludf.DUMMYFUNCTION("""COMPUTED_VALUE"""),"pinkypujari30@gmail.com")</f>
        <v>pinkypujari30@gmail.com</v>
      </c>
      <c r="G167" s="17"/>
      <c r="H167" s="17"/>
    </row>
    <row r="168">
      <c r="A168" s="17" t="str">
        <f>IFERROR(__xludf.DUMMYFUNCTION("""COMPUTED_VALUE"""),"The Sleep Company ")</f>
        <v>The Sleep Company </v>
      </c>
      <c r="B168" s="17" t="str">
        <f>IFERROR(__xludf.DUMMYFUNCTION("""COMPUTED_VALUE"""),"Brahma Dev")</f>
        <v>Brahma Dev</v>
      </c>
      <c r="C168" s="17" t="str">
        <f>IFERROR(__xludf.DUMMYFUNCTION("""COMPUTED_VALUE"""),"Executive Assistant")</f>
        <v>Executive Assistant</v>
      </c>
      <c r="D168" s="27" t="str">
        <f>IFERROR(__xludf.DUMMYFUNCTION("""COMPUTED_VALUE"""),"https://www.linkedin.com/in/brahma-dev-b28a8b360/?originalSubdomain=in")</f>
        <v>https://www.linkedin.com/in/brahma-dev-b28a8b360/?originalSubdomain=in</v>
      </c>
      <c r="E168" s="17"/>
      <c r="F168" s="17" t="str">
        <f>IFERROR(__xludf.DUMMYFUNCTION("""COMPUTED_VALUE"""),"dev@thesleepcompany.in")</f>
        <v>dev@thesleepcompany.in</v>
      </c>
      <c r="G168" s="17"/>
      <c r="H168" s="17"/>
    </row>
    <row r="169">
      <c r="A169" s="17" t="str">
        <f>IFERROR(__xludf.DUMMYFUNCTION("""COMPUTED_VALUE"""),"FinBox")</f>
        <v>FinBox</v>
      </c>
      <c r="B169" s="17" t="str">
        <f>IFERROR(__xludf.DUMMYFUNCTION("""COMPUTED_VALUE"""),"Rajat Deshpande")</f>
        <v>Rajat Deshpande</v>
      </c>
      <c r="C169" s="17" t="str">
        <f>IFERROR(__xludf.DUMMYFUNCTION("""COMPUTED_VALUE"""),"CEO")</f>
        <v>CEO</v>
      </c>
      <c r="D169" s="27" t="str">
        <f>IFERROR(__xludf.DUMMYFUNCTION("""COMPUTED_VALUE"""),"https://www.linkedin.com/in/rajatdeshpande/")</f>
        <v>https://www.linkedin.com/in/rajatdeshpande/</v>
      </c>
      <c r="E169" s="17" t="str">
        <f>IFERROR(__xludf.DUMMYFUNCTION("""COMPUTED_VALUE"""),"91 91673 38183")</f>
        <v>91 91673 38183</v>
      </c>
      <c r="F169" s="17" t="str">
        <f>IFERROR(__xludf.DUMMYFUNCTION("""COMPUTED_VALUE"""),"rajatdeshpande@gmail.com")</f>
        <v>rajatdeshpande@gmail.com</v>
      </c>
      <c r="G169" s="17"/>
      <c r="H169" s="17"/>
    </row>
    <row r="170">
      <c r="A170" s="17" t="str">
        <f>IFERROR(__xludf.DUMMYFUNCTION("""COMPUTED_VALUE"""),"FinBox")</f>
        <v>FinBox</v>
      </c>
      <c r="B170" s="17" t="str">
        <f>IFERROR(__xludf.DUMMYFUNCTION("""COMPUTED_VALUE"""),"Srijan Nagar ")</f>
        <v>Srijan Nagar </v>
      </c>
      <c r="C170" s="17" t="str">
        <f>IFERROR(__xludf.DUMMYFUNCTION("""COMPUTED_VALUE"""),"Co-Founder")</f>
        <v>Co-Founder</v>
      </c>
      <c r="D170" s="27" t="str">
        <f>IFERROR(__xludf.DUMMYFUNCTION("""COMPUTED_VALUE"""),"https://www.linkedin.com/in/srijannagar/")</f>
        <v>https://www.linkedin.com/in/srijannagar/</v>
      </c>
      <c r="E170" s="17"/>
      <c r="F170" s="17" t="str">
        <f>IFERROR(__xludf.DUMMYFUNCTION("""COMPUTED_VALUE"""),"srijannagar@gmail.com")</f>
        <v>srijannagar@gmail.com</v>
      </c>
      <c r="G170" s="17"/>
      <c r="H170" s="17"/>
    </row>
    <row r="171">
      <c r="A171" s="17" t="str">
        <f>IFERROR(__xludf.DUMMYFUNCTION("""COMPUTED_VALUE"""),"FinBox")</f>
        <v>FinBox</v>
      </c>
      <c r="B171" s="17" t="str">
        <f>IFERROR(__xludf.DUMMYFUNCTION("""COMPUTED_VALUE"""),"Anant Deshpande ")</f>
        <v>Anant Deshpande </v>
      </c>
      <c r="C171" s="17" t="str">
        <f>IFERROR(__xludf.DUMMYFUNCTION("""COMPUTED_VALUE"""),"Co-founder")</f>
        <v>Co-founder</v>
      </c>
      <c r="D171" s="27" t="str">
        <f>IFERROR(__xludf.DUMMYFUNCTION("""COMPUTED_VALUE"""),"https://www.linkedin.com/in/deshpandeanant/")</f>
        <v>https://www.linkedin.com/in/deshpandeanant/</v>
      </c>
      <c r="E171" s="17" t="str">
        <f>IFERROR(__xludf.DUMMYFUNCTION("""COMPUTED_VALUE"""),"919650628650")</f>
        <v>919650628650</v>
      </c>
      <c r="F171" s="17" t="str">
        <f>IFERROR(__xludf.DUMMYFUNCTION("""COMPUTED_VALUE"""),"anantdeshpande@gmail.com")</f>
        <v>anantdeshpande@gmail.com</v>
      </c>
      <c r="G171" s="17"/>
      <c r="H171" s="17"/>
    </row>
    <row r="172">
      <c r="A172" s="17" t="str">
        <f>IFERROR(__xludf.DUMMYFUNCTION("""COMPUTED_VALUE"""),"FinBox")</f>
        <v>FinBox</v>
      </c>
      <c r="B172" s="17" t="str">
        <f>IFERROR(__xludf.DUMMYFUNCTION("""COMPUTED_VALUE"""),"Nikhil Bhawsinka ")</f>
        <v>Nikhil Bhawsinka </v>
      </c>
      <c r="C172" s="17" t="str">
        <f>IFERROR(__xludf.DUMMYFUNCTION("""COMPUTED_VALUE"""),"Co-founder")</f>
        <v>Co-founder</v>
      </c>
      <c r="D172" s="27" t="str">
        <f>IFERROR(__xludf.DUMMYFUNCTION("""COMPUTED_VALUE"""),"https://www.linkedin.com/in/nikhil-bhawsinka/?originalSubdomain=in")</f>
        <v>https://www.linkedin.com/in/nikhil-bhawsinka/?originalSubdomain=in</v>
      </c>
      <c r="E172" s="17" t="str">
        <f>IFERROR(__xludf.DUMMYFUNCTION("""COMPUTED_VALUE"""),"918670004609")</f>
        <v>918670004609</v>
      </c>
      <c r="F172" s="17" t="str">
        <f>IFERROR(__xludf.DUMMYFUNCTION("""COMPUTED_VALUE"""),"nbhawsinka@gmail.com")</f>
        <v>nbhawsinka@gmail.com</v>
      </c>
      <c r="G172" s="17"/>
      <c r="H172" s="17"/>
    </row>
    <row r="173">
      <c r="A173" s="17" t="str">
        <f>IFERROR(__xludf.DUMMYFUNCTION("""COMPUTED_VALUE"""),"FinBox")</f>
        <v>FinBox</v>
      </c>
      <c r="B173" s="17" t="str">
        <f>IFERROR(__xludf.DUMMYFUNCTION("""COMPUTED_VALUE"""),"Foram Buch ")</f>
        <v>Foram Buch </v>
      </c>
      <c r="C173" s="17" t="str">
        <f>IFERROR(__xludf.DUMMYFUNCTION("""COMPUTED_VALUE"""),"Head of HR")</f>
        <v>Head of HR</v>
      </c>
      <c r="D173" s="27" t="str">
        <f>IFERROR(__xludf.DUMMYFUNCTION("""COMPUTED_VALUE"""),"https://www.linkedin.com/in/foram-buch-4ba726184/?originalSubdomain=in")</f>
        <v>https://www.linkedin.com/in/foram-buch-4ba726184/?originalSubdomain=in</v>
      </c>
      <c r="E173" s="17"/>
      <c r="F173" s="17" t="str">
        <f>IFERROR(__xludf.DUMMYFUNCTION("""COMPUTED_VALUE"""),"foram.buch@finbox.in")</f>
        <v>foram.buch@finbox.in</v>
      </c>
      <c r="G173" s="17"/>
      <c r="H173" s="17"/>
    </row>
    <row r="174">
      <c r="A174" s="17" t="str">
        <f>IFERROR(__xludf.DUMMYFUNCTION("""COMPUTED_VALUE"""),"AppsForBharat")</f>
        <v>AppsForBharat</v>
      </c>
      <c r="B174" s="17" t="str">
        <f>IFERROR(__xludf.DUMMYFUNCTION("""COMPUTED_VALUE"""),"Prashant Sachan")</f>
        <v>Prashant Sachan</v>
      </c>
      <c r="C174" s="17" t="str">
        <f>IFERROR(__xludf.DUMMYFUNCTION("""COMPUTED_VALUE"""),"Founder and CEO")</f>
        <v>Founder and CEO</v>
      </c>
      <c r="D174" s="27" t="str">
        <f>IFERROR(__xludf.DUMMYFUNCTION("""COMPUTED_VALUE"""),"https://www.linkedin.com/in/prashantsachan/?originalSubdomain=in")</f>
        <v>https://www.linkedin.com/in/prashantsachan/?originalSubdomain=in</v>
      </c>
      <c r="E174" s="17" t="str">
        <f>IFERROR(__xludf.DUMMYFUNCTION("""COMPUTED_VALUE"""),"919741145430")</f>
        <v>919741145430</v>
      </c>
      <c r="F174" s="17" t="str">
        <f>IFERROR(__xludf.DUMMYFUNCTION("""COMPUTED_VALUE"""),"prashant1877@gmail.com")</f>
        <v>prashant1877@gmail.com</v>
      </c>
      <c r="G174" s="17"/>
      <c r="H174" s="17"/>
    </row>
    <row r="175">
      <c r="A175" s="17" t="str">
        <f>IFERROR(__xludf.DUMMYFUNCTION("""COMPUTED_VALUE"""),"AppsForBharat")</f>
        <v>AppsForBharat</v>
      </c>
      <c r="B175" s="17" t="str">
        <f>IFERROR(__xludf.DUMMYFUNCTION("""COMPUTED_VALUE"""),"Hiran Kumar ")</f>
        <v>Hiran Kumar </v>
      </c>
      <c r="C175" s="17" t="str">
        <f>IFERROR(__xludf.DUMMYFUNCTION("""COMPUTED_VALUE"""),"Founder")</f>
        <v>Founder</v>
      </c>
      <c r="D175" s="27" t="str">
        <f>IFERROR(__xludf.DUMMYFUNCTION("""COMPUTED_VALUE"""),"https://www.linkedin.com/in/hirankumarg/?originalSubdomain=in")</f>
        <v>https://www.linkedin.com/in/hirankumarg/?originalSubdomain=in</v>
      </c>
      <c r="E175" s="17" t="str">
        <f>IFERROR(__xludf.DUMMYFUNCTION("""COMPUTED_VALUE"""),"919940170373")</f>
        <v>919940170373</v>
      </c>
      <c r="F175" s="17" t="str">
        <f>IFERROR(__xludf.DUMMYFUNCTION("""COMPUTED_VALUE"""),"hirankumar226@gmail.com")</f>
        <v>hirankumar226@gmail.com</v>
      </c>
      <c r="G175" s="17"/>
      <c r="H175" s="17"/>
    </row>
    <row r="176">
      <c r="A176" s="17" t="str">
        <f>IFERROR(__xludf.DUMMYFUNCTION("""COMPUTED_VALUE"""),"AppsForBharat")</f>
        <v>AppsForBharat</v>
      </c>
      <c r="B176" s="17" t="str">
        <f>IFERROR(__xludf.DUMMYFUNCTION("""COMPUTED_VALUE"""),"Neha Singh ")</f>
        <v>Neha Singh </v>
      </c>
      <c r="C176" s="17" t="str">
        <f>IFERROR(__xludf.DUMMYFUNCTION("""COMPUTED_VALUE"""),"Executive Assistant ")</f>
        <v>Executive Assistant </v>
      </c>
      <c r="D176" s="27" t="str">
        <f>IFERROR(__xludf.DUMMYFUNCTION("""COMPUTED_VALUE"""),"https://www.linkedin.com/in/neha-singh-7260977a/?originalSubdomain=in")</f>
        <v>https://www.linkedin.com/in/neha-singh-7260977a/?originalSubdomain=in</v>
      </c>
      <c r="E176" s="17"/>
      <c r="F176" s="17" t="str">
        <f>IFERROR(__xludf.DUMMYFUNCTION("""COMPUTED_VALUE"""),"neha_singh@intuit.com")</f>
        <v>neha_singh@intuit.com</v>
      </c>
      <c r="G176" s="17"/>
      <c r="H176" s="17"/>
    </row>
    <row r="177">
      <c r="A177" s="17" t="str">
        <f>IFERROR(__xludf.DUMMYFUNCTION("""COMPUTED_VALUE""")," Raphe mPhibr")</f>
        <v> Raphe mPhibr</v>
      </c>
      <c r="B177" s="17" t="str">
        <f>IFERROR(__xludf.DUMMYFUNCTION("""COMPUTED_VALUE"""),"Vivek Mishra ")</f>
        <v>Vivek Mishra </v>
      </c>
      <c r="C177" s="17" t="str">
        <f>IFERROR(__xludf.DUMMYFUNCTION("""COMPUTED_VALUE"""),"Co founder")</f>
        <v>Co founder</v>
      </c>
      <c r="D177" s="27" t="str">
        <f>IFERROR(__xludf.DUMMYFUNCTION("""COMPUTED_VALUE"""),"https://www.linkedin.com/in/vmishra9/?originalSubdomain=in")</f>
        <v>https://www.linkedin.com/in/vmishra9/?originalSubdomain=in</v>
      </c>
      <c r="E177" s="17" t="str">
        <f>IFERROR(__xludf.DUMMYFUNCTION("""COMPUTED_VALUE"""),"919205474066")</f>
        <v>919205474066</v>
      </c>
      <c r="F177" s="17" t="str">
        <f>IFERROR(__xludf.DUMMYFUNCTION("""COMPUTED_VALUE"""),"vkmmanit@gmail.com")</f>
        <v>vkmmanit@gmail.com</v>
      </c>
      <c r="G177" s="17"/>
      <c r="H177" s="17"/>
    </row>
    <row r="178">
      <c r="A178" s="17" t="str">
        <f>IFERROR(__xludf.DUMMYFUNCTION("""COMPUTED_VALUE""")," Raphe mPhibr")</f>
        <v> Raphe mPhibr</v>
      </c>
      <c r="B178" s="17" t="str">
        <f>IFERROR(__xludf.DUMMYFUNCTION("""COMPUTED_VALUE"""),"Nitin Katiyar")</f>
        <v>Nitin Katiyar</v>
      </c>
      <c r="C178" s="17" t="str">
        <f>IFERROR(__xludf.DUMMYFUNCTION("""COMPUTED_VALUE"""),"Co founder")</f>
        <v>Co founder</v>
      </c>
      <c r="D178" s="27" t="str">
        <f>IFERROR(__xludf.DUMMYFUNCTION("""COMPUTED_VALUE"""),"https://www.linkedin.com/in/nitin-katiyar-01615818/")</f>
        <v>https://www.linkedin.com/in/nitin-katiyar-01615818/</v>
      </c>
      <c r="E178" s="17" t="str">
        <f>IFERROR(__xludf.DUMMYFUNCTION("""COMPUTED_VALUE"""),"918527875599")</f>
        <v>918527875599</v>
      </c>
      <c r="F178" s="17" t="str">
        <f>IFERROR(__xludf.DUMMYFUNCTION("""COMPUTED_VALUE"""),"109nik@gmail.com")</f>
        <v>109nik@gmail.com</v>
      </c>
      <c r="G178" s="17"/>
      <c r="H178" s="17"/>
    </row>
    <row r="179">
      <c r="A179" s="17" t="str">
        <f>IFERROR(__xludf.DUMMYFUNCTION("""COMPUTED_VALUE""")," Raphe mPhibr")</f>
        <v> Raphe mPhibr</v>
      </c>
      <c r="B179" s="17" t="str">
        <f>IFERROR(__xludf.DUMMYFUNCTION("""COMPUTED_VALUE"""),"Ananya Sharrma")</f>
        <v>Ananya Sharrma</v>
      </c>
      <c r="C179" s="17" t="str">
        <f>IFERROR(__xludf.DUMMYFUNCTION("""COMPUTED_VALUE"""),"Executive Assistant")</f>
        <v>Executive Assistant</v>
      </c>
      <c r="D179" s="27" t="str">
        <f>IFERROR(__xludf.DUMMYFUNCTION("""COMPUTED_VALUE"""),"https://www.linkedin.com/in/ananya-sharrma-22b73914a/?originalSubdomain=in")</f>
        <v>https://www.linkedin.com/in/ananya-sharrma-22b73914a/?originalSubdomain=in</v>
      </c>
      <c r="E179" s="17" t="str">
        <f>IFERROR(__xludf.DUMMYFUNCTION("""COMPUTED_VALUE"""),"918527584737")</f>
        <v>918527584737</v>
      </c>
      <c r="F179" s="17" t="str">
        <f>IFERROR(__xludf.DUMMYFUNCTION("""COMPUTED_VALUE"""),"ananyas2311@gmail.com")</f>
        <v>ananyas2311@gmail.com</v>
      </c>
      <c r="G179" s="17"/>
      <c r="H179" s="17"/>
    </row>
    <row r="180">
      <c r="A180" s="17" t="str">
        <f>IFERROR(__xludf.DUMMYFUNCTION("""COMPUTED_VALUE""")," Recyclekaro")</f>
        <v> Recyclekaro</v>
      </c>
      <c r="B180" s="17" t="str">
        <f>IFERROR(__xludf.DUMMYFUNCTION("""COMPUTED_VALUE"""),"Prassann Daphal ")</f>
        <v>Prassann Daphal </v>
      </c>
      <c r="C180" s="17" t="str">
        <f>IFERROR(__xludf.DUMMYFUNCTION("""COMPUTED_VALUE"""),"CEO")</f>
        <v>CEO</v>
      </c>
      <c r="D180" s="27" t="str">
        <f>IFERROR(__xludf.DUMMYFUNCTION("""COMPUTED_VALUE"""),"https://www.linkedin.com/in/prassann-daphal-a2a08127/?originalSubdomain=in")</f>
        <v>https://www.linkedin.com/in/prassann-daphal-a2a08127/?originalSubdomain=in</v>
      </c>
      <c r="E180" s="17" t="str">
        <f>IFERROR(__xludf.DUMMYFUNCTION("""COMPUTED_VALUE"""),"919819421026")</f>
        <v>919819421026</v>
      </c>
      <c r="F180" s="17" t="str">
        <f>IFERROR(__xludf.DUMMYFUNCTION("""COMPUTED_VALUE"""),"prassanndaphal@gmail.com")</f>
        <v>prassanndaphal@gmail.com</v>
      </c>
      <c r="G180" s="17"/>
      <c r="H180" s="17"/>
    </row>
    <row r="181">
      <c r="A181" s="17" t="str">
        <f>IFERROR(__xludf.DUMMYFUNCTION("""COMPUTED_VALUE""")," Recyclekaro")</f>
        <v> Recyclekaro</v>
      </c>
      <c r="B181" s="17" t="str">
        <f>IFERROR(__xludf.DUMMYFUNCTION("""COMPUTED_VALUE"""),"Rajesh Gupta")</f>
        <v>Rajesh Gupta</v>
      </c>
      <c r="C181" s="17" t="str">
        <f>IFERROR(__xludf.DUMMYFUNCTION("""COMPUTED_VALUE"""),"Founder")</f>
        <v>Founder</v>
      </c>
      <c r="D181" s="27" t="str">
        <f>IFERROR(__xludf.DUMMYFUNCTION("""COMPUTED_VALUE"""),"https://www.linkedin.com/in/rajesh-gupta-recyclekaro/")</f>
        <v>https://www.linkedin.com/in/rajesh-gupta-recyclekaro/</v>
      </c>
      <c r="E181" s="17"/>
      <c r="F181" s="17" t="str">
        <f>IFERROR(__xludf.DUMMYFUNCTION("""COMPUTED_VALUE"""),"rajesh@recyclekaro.com")</f>
        <v>rajesh@recyclekaro.com</v>
      </c>
      <c r="G181" s="17"/>
      <c r="H181" s="17"/>
    </row>
    <row r="182">
      <c r="A182" s="17" t="str">
        <f>IFERROR(__xludf.DUMMYFUNCTION("""COMPUTED_VALUE""")," Recyclekaro")</f>
        <v> Recyclekaro</v>
      </c>
      <c r="B182" s="17" t="str">
        <f>IFERROR(__xludf.DUMMYFUNCTION("""COMPUTED_VALUE"""),"Vinod Lokhande")</f>
        <v>Vinod Lokhande</v>
      </c>
      <c r="C182" s="17" t="str">
        <f>IFERROR(__xludf.DUMMYFUNCTION("""COMPUTED_VALUE"""),"Executive")</f>
        <v>Executive</v>
      </c>
      <c r="D182" s="27" t="str">
        <f>IFERROR(__xludf.DUMMYFUNCTION("""COMPUTED_VALUE"""),"https://www.linkedin.com/in/vinod-lokhande-282991307/?originalSubdomain=in")</f>
        <v>https://www.linkedin.com/in/vinod-lokhande-282991307/?originalSubdomain=in</v>
      </c>
      <c r="E182" s="17"/>
      <c r="F182" s="17" t="str">
        <f>IFERROR(__xludf.DUMMYFUNCTION("""COMPUTED_VALUE"""),"vinod@recyclekaro.com")</f>
        <v>vinod@recyclekaro.com</v>
      </c>
      <c r="G182" s="17"/>
      <c r="H182" s="17"/>
    </row>
    <row r="183">
      <c r="A183" s="17" t="str">
        <f>IFERROR(__xludf.DUMMYFUNCTION("""COMPUTED_VALUE"""),"SNITCH")</f>
        <v>SNITCH</v>
      </c>
      <c r="B183" s="17" t="str">
        <f>IFERROR(__xludf.DUMMYFUNCTION("""COMPUTED_VALUE"""),"Siddharth DUNGARWAL ")</f>
        <v>Siddharth DUNGARWAL </v>
      </c>
      <c r="C183" s="17" t="str">
        <f>IFERROR(__xludf.DUMMYFUNCTION("""COMPUTED_VALUE"""),"Founder")</f>
        <v>Founder</v>
      </c>
      <c r="D183" s="27" t="str">
        <f>IFERROR(__xludf.DUMMYFUNCTION("""COMPUTED_VALUE"""),"https://www.linkedin.com/in/siddharthrdungarwal/?originalSubdomain=in")</f>
        <v>https://www.linkedin.com/in/siddharthrdungarwal/?originalSubdomain=in</v>
      </c>
      <c r="E183" s="17" t="str">
        <f>IFERROR(__xludf.DUMMYFUNCTION("""COMPUTED_VALUE"""),"919845400180")</f>
        <v>919845400180</v>
      </c>
      <c r="F183" s="17" t="str">
        <f>IFERROR(__xludf.DUMMYFUNCTION("""COMPUTED_VALUE"""),"siddharth916@gmail.com")</f>
        <v>siddharth916@gmail.com</v>
      </c>
      <c r="G183" s="17"/>
      <c r="H183" s="17"/>
    </row>
    <row r="184">
      <c r="A184" s="17" t="str">
        <f>IFERROR(__xludf.DUMMYFUNCTION("""COMPUTED_VALUE"""),"SNITCH")</f>
        <v>SNITCH</v>
      </c>
      <c r="B184" s="17" t="str">
        <f>IFERROR(__xludf.DUMMYFUNCTION("""COMPUTED_VALUE"""),"Hardik Parekh")</f>
        <v>Hardik Parekh</v>
      </c>
      <c r="C184" s="17" t="str">
        <f>IFERROR(__xludf.DUMMYFUNCTION("""COMPUTED_VALUE"""),"Chief of staff")</f>
        <v>Chief of staff</v>
      </c>
      <c r="D184" s="27" t="str">
        <f>IFERROR(__xludf.DUMMYFUNCTION("""COMPUTED_VALUE"""),"https://www.linkedin.com/in/hardik-parekh-3884a099/")</f>
        <v>https://www.linkedin.com/in/hardik-parekh-3884a099/</v>
      </c>
      <c r="E184" s="17" t="str">
        <f>IFERROR(__xludf.DUMMYFUNCTION("""COMPUTED_VALUE"""),"91 96194 66007")</f>
        <v>91 96194 66007</v>
      </c>
      <c r="F184" s="17" t="str">
        <f>IFERROR(__xludf.DUMMYFUNCTION("""COMPUTED_VALUE"""),"hardik.p@snitch.co.in")</f>
        <v>hardik.p@snitch.co.in</v>
      </c>
      <c r="G184" s="17"/>
      <c r="H184" s="17"/>
    </row>
    <row r="185">
      <c r="A185" s="17" t="str">
        <f>IFERROR(__xludf.DUMMYFUNCTION("""COMPUTED_VALUE"""),"SNITCH")</f>
        <v>SNITCH</v>
      </c>
      <c r="B185" s="17" t="str">
        <f>IFERROR(__xludf.DUMMYFUNCTION("""COMPUTED_VALUE"""),"Yash Kothari")</f>
        <v>Yash Kothari</v>
      </c>
      <c r="C185" s="17" t="str">
        <f>IFERROR(__xludf.DUMMYFUNCTION("""COMPUTED_VALUE"""),"Founder office")</f>
        <v>Founder office</v>
      </c>
      <c r="D185" s="27" t="str">
        <f>IFERROR(__xludf.DUMMYFUNCTION("""COMPUTED_VALUE"""),"https://www.linkedin.com/in/pratikagarwal11/?originalSubdomain=in")</f>
        <v>https://www.linkedin.com/in/pratikagarwal11/?originalSubdomain=in</v>
      </c>
      <c r="E185" s="17" t="str">
        <f>IFERROR(__xludf.DUMMYFUNCTION("""COMPUTED_VALUE"""),"1 610-403-2111")</f>
        <v>1 610-403-2111</v>
      </c>
      <c r="F185" s="17" t="str">
        <f>IFERROR(__xludf.DUMMYFUNCTION("""COMPUTED_VALUE"""),"pratik@snitch.co.in")</f>
        <v>pratik@snitch.co.in</v>
      </c>
      <c r="G185" s="17"/>
      <c r="H185" s="17"/>
    </row>
    <row r="186">
      <c r="A186" s="17" t="str">
        <f>IFERROR(__xludf.DUMMYFUNCTION("""COMPUTED_VALUE"""),"Farmley")</f>
        <v>Farmley</v>
      </c>
      <c r="B186" s="17" t="str">
        <f>IFERROR(__xludf.DUMMYFUNCTION("""COMPUTED_VALUE"""),"Akash Sharma ")</f>
        <v>Akash Sharma </v>
      </c>
      <c r="C186" s="17" t="str">
        <f>IFERROR(__xludf.DUMMYFUNCTION("""COMPUTED_VALUE"""),"Co Founder")</f>
        <v>Co Founder</v>
      </c>
      <c r="D186" s="27" t="str">
        <f>IFERROR(__xludf.DUMMYFUNCTION("""COMPUTED_VALUE"""),"https://www.linkedin.com/in/akash92sharma/?originalSubdomain=in")</f>
        <v>https://www.linkedin.com/in/akash92sharma/?originalSubdomain=in</v>
      </c>
      <c r="E186" s="17" t="str">
        <f>IFERROR(__xludf.DUMMYFUNCTION("""COMPUTED_VALUE"""),"91 99998 44634
+91 97187 35744")</f>
        <v>91 99998 44634
+91 97187 35744</v>
      </c>
      <c r="F186" s="17" t="str">
        <f>IFERROR(__xludf.DUMMYFUNCTION("""COMPUTED_VALUE"""),"akash92sharma@gmail.com")</f>
        <v>akash92sharma@gmail.com</v>
      </c>
      <c r="G186" s="17"/>
      <c r="H186" s="17"/>
    </row>
    <row r="187">
      <c r="A187" s="17" t="str">
        <f>IFERROR(__xludf.DUMMYFUNCTION("""COMPUTED_VALUE"""),"Farmley")</f>
        <v>Farmley</v>
      </c>
      <c r="B187" s="17" t="str">
        <f>IFERROR(__xludf.DUMMYFUNCTION("""COMPUTED_VALUE"""),"Abhishek Agarwal ")</f>
        <v>Abhishek Agarwal </v>
      </c>
      <c r="C187" s="17" t="str">
        <f>IFERROR(__xludf.DUMMYFUNCTION("""COMPUTED_VALUE"""),"Co Founder")</f>
        <v>Co Founder</v>
      </c>
      <c r="D187" s="27" t="str">
        <f>IFERROR(__xludf.DUMMYFUNCTION("""COMPUTED_VALUE"""),"https://www.linkedin.com/in/abhishek-agarwal-0b442690/?originalSubdomain=in")</f>
        <v>https://www.linkedin.com/in/abhishek-agarwal-0b442690/?originalSubdomain=in</v>
      </c>
      <c r="E187" s="17" t="str">
        <f>IFERROR(__xludf.DUMMYFUNCTION("""COMPUTED_VALUE"""),"919910707283")</f>
        <v>919910707283</v>
      </c>
      <c r="F187" s="17" t="str">
        <f>IFERROR(__xludf.DUMMYFUNCTION("""COMPUTED_VALUE"""),"agarwalabhishekiitr@gmail.com")</f>
        <v>agarwalabhishekiitr@gmail.com</v>
      </c>
      <c r="G187" s="17"/>
      <c r="H187" s="17"/>
    </row>
    <row r="188">
      <c r="A188" s="17" t="str">
        <f>IFERROR(__xludf.DUMMYFUNCTION("""COMPUTED_VALUE"""),"Farmley")</f>
        <v>Farmley</v>
      </c>
      <c r="B188" s="17" t="str">
        <f>IFERROR(__xludf.DUMMYFUNCTION("""COMPUTED_VALUE"""),"shubham kumar")</f>
        <v>shubham kumar</v>
      </c>
      <c r="C188" s="17" t="str">
        <f>IFERROR(__xludf.DUMMYFUNCTION("""COMPUTED_VALUE"""),"Assistant Operations Manager")</f>
        <v>Assistant Operations Manager</v>
      </c>
      <c r="D188" s="27" t="str">
        <f>IFERROR(__xludf.DUMMYFUNCTION("""COMPUTED_VALUE"""),"https://www.linkedin.com/in/shubham-kumar-aa2032105/?originalSubdomain=in")</f>
        <v>https://www.linkedin.com/in/shubham-kumar-aa2032105/?originalSubdomain=in</v>
      </c>
      <c r="E188" s="17"/>
      <c r="F188" s="17" t="str">
        <f>IFERROR(__xludf.DUMMYFUNCTION("""COMPUTED_VALUE"""),"shubham@farmley.com")</f>
        <v>shubham@farmley.com</v>
      </c>
      <c r="G188" s="17"/>
      <c r="H188" s="17"/>
    </row>
    <row r="189">
      <c r="A189" s="17" t="str">
        <f>IFERROR(__xludf.DUMMYFUNCTION("""COMPUTED_VALUE"""),"Flipspaces")</f>
        <v>Flipspaces</v>
      </c>
      <c r="B189" s="17" t="str">
        <f>IFERROR(__xludf.DUMMYFUNCTION("""COMPUTED_VALUE"""),"Kunal Sharma ")</f>
        <v>Kunal Sharma </v>
      </c>
      <c r="C189" s="17" t="str">
        <f>IFERROR(__xludf.DUMMYFUNCTION("""COMPUTED_VALUE"""),"Founder")</f>
        <v>Founder</v>
      </c>
      <c r="D189" s="27" t="str">
        <f>IFERROR(__xludf.DUMMYFUNCTION("""COMPUTED_VALUE"""),"https://www.linkedin.com/in/kunal-sharma-23830a9/?originalSubdomain=in")</f>
        <v>https://www.linkedin.com/in/kunal-sharma-23830a9/?originalSubdomain=in</v>
      </c>
      <c r="E189" s="17" t="str">
        <f>IFERROR(__xludf.DUMMYFUNCTION("""COMPUTED_VALUE"""),"912228238110")</f>
        <v>912228238110</v>
      </c>
      <c r="F189" s="17" t="str">
        <f>IFERROR(__xludf.DUMMYFUNCTION("""COMPUTED_VALUE"""),"kvsharma@gmail.com")</f>
        <v>kvsharma@gmail.com</v>
      </c>
      <c r="G189" s="17"/>
      <c r="H189" s="17"/>
    </row>
    <row r="190">
      <c r="A190" s="17" t="str">
        <f>IFERROR(__xludf.DUMMYFUNCTION("""COMPUTED_VALUE"""),"Flipspaces")</f>
        <v>Flipspaces</v>
      </c>
      <c r="B190" s="17" t="str">
        <f>IFERROR(__xludf.DUMMYFUNCTION("""COMPUTED_VALUE"""),"Ankur Muchhal")</f>
        <v>Ankur Muchhal</v>
      </c>
      <c r="C190" s="17" t="str">
        <f>IFERROR(__xludf.DUMMYFUNCTION("""COMPUTED_VALUE"""),"Co-Founder ")</f>
        <v>Co-Founder </v>
      </c>
      <c r="D190" s="27" t="str">
        <f>IFERROR(__xludf.DUMMYFUNCTION("""COMPUTED_VALUE"""),"https://www.linkedin.com/in/ankurmuchhal/")</f>
        <v>https://www.linkedin.com/in/ankurmuchhal/</v>
      </c>
      <c r="E190" s="17" t="str">
        <f>IFERROR(__xludf.DUMMYFUNCTION("""COMPUTED_VALUE"""),"919167755531")</f>
        <v>919167755531</v>
      </c>
      <c r="F190" s="17" t="str">
        <f>IFERROR(__xludf.DUMMYFUNCTION("""COMPUTED_VALUE"""),"ankurmuchhal@gmail.com")</f>
        <v>ankurmuchhal@gmail.com</v>
      </c>
      <c r="G190" s="17"/>
      <c r="H190" s="17"/>
    </row>
    <row r="191">
      <c r="A191" s="17" t="str">
        <f>IFERROR(__xludf.DUMMYFUNCTION("""COMPUTED_VALUE"""),"Flipspaces")</f>
        <v>Flipspaces</v>
      </c>
      <c r="B191" s="17" t="str">
        <f>IFERROR(__xludf.DUMMYFUNCTION("""COMPUTED_VALUE"""),"Tarun Kondepudi")</f>
        <v>Tarun Kondepudi</v>
      </c>
      <c r="C191" s="17" t="str">
        <f>IFERROR(__xludf.DUMMYFUNCTION("""COMPUTED_VALUE"""),"Assistant Vice President ")</f>
        <v>Assistant Vice President </v>
      </c>
      <c r="D191" s="27" t="str">
        <f>IFERROR(__xludf.DUMMYFUNCTION("""COMPUTED_VALUE"""),"https://www.linkedin.com/in/tarun-kondepudi/?originalSubdomain=in")</f>
        <v>https://www.linkedin.com/in/tarun-kondepudi/?originalSubdomain=in</v>
      </c>
      <c r="E191" s="17" t="str">
        <f>IFERROR(__xludf.DUMMYFUNCTION("""COMPUTED_VALUE"""),"919966602905")</f>
        <v>919966602905</v>
      </c>
      <c r="F191" s="17" t="str">
        <f>IFERROR(__xludf.DUMMYFUNCTION("""COMPUTED_VALUE"""),"ktarun90@gmail.com")</f>
        <v>ktarun90@gmail.com</v>
      </c>
      <c r="G191" s="17"/>
      <c r="H191" s="17"/>
    </row>
    <row r="192">
      <c r="A192" s="17" t="str">
        <f>IFERROR(__xludf.DUMMYFUNCTION("""COMPUTED_VALUE"""),"Propelld")</f>
        <v>Propelld</v>
      </c>
      <c r="B192" s="17" t="str">
        <f>IFERROR(__xludf.DUMMYFUNCTION("""COMPUTED_VALUE"""),"Victor Senapaty")</f>
        <v>Victor Senapaty</v>
      </c>
      <c r="C192" s="17" t="str">
        <f>IFERROR(__xludf.DUMMYFUNCTION("""COMPUTED_VALUE"""),"Founder")</f>
        <v>Founder</v>
      </c>
      <c r="D192" s="27" t="str">
        <f>IFERROR(__xludf.DUMMYFUNCTION("""COMPUTED_VALUE"""),"https://www.linkedin.com/in/victorsenapaty/?originalSubdomain=in")</f>
        <v>https://www.linkedin.com/in/victorsenapaty/?originalSubdomain=in</v>
      </c>
      <c r="E192" s="17" t="str">
        <f>IFERROR(__xludf.DUMMYFUNCTION("""COMPUTED_VALUE"""),"91 99201 75773")</f>
        <v>91 99201 75773</v>
      </c>
      <c r="F192" s="17" t="str">
        <f>IFERROR(__xludf.DUMMYFUNCTION("""COMPUTED_VALUE"""),"victorsenapaty@gmail.com")</f>
        <v>victorsenapaty@gmail.com</v>
      </c>
      <c r="G192" s="17"/>
      <c r="H192" s="17"/>
    </row>
    <row r="193">
      <c r="A193" s="17" t="str">
        <f>IFERROR(__xludf.DUMMYFUNCTION("""COMPUTED_VALUE"""),"Propelld")</f>
        <v>Propelld</v>
      </c>
      <c r="B193" s="17" t="str">
        <f>IFERROR(__xludf.DUMMYFUNCTION("""COMPUTED_VALUE"""),"Brijesh Samantaray")</f>
        <v>Brijesh Samantaray</v>
      </c>
      <c r="C193" s="17" t="str">
        <f>IFERROR(__xludf.DUMMYFUNCTION("""COMPUTED_VALUE"""),"Founder")</f>
        <v>Founder</v>
      </c>
      <c r="D193" s="27" t="str">
        <f>IFERROR(__xludf.DUMMYFUNCTION("""COMPUTED_VALUE"""),"https://www.linkedin.com/in/brijeshsamantaray/")</f>
        <v>https://www.linkedin.com/in/brijeshsamantaray/</v>
      </c>
      <c r="E193" s="17" t="str">
        <f>IFERROR(__xludf.DUMMYFUNCTION("""COMPUTED_VALUE"""),"913339472132")</f>
        <v>913339472132</v>
      </c>
      <c r="F193" s="17" t="str">
        <f>IFERROR(__xludf.DUMMYFUNCTION("""COMPUTED_VALUE"""),"brijesh10000@gmail.com")</f>
        <v>brijesh10000@gmail.com</v>
      </c>
      <c r="G193" s="17"/>
      <c r="H193" s="17"/>
    </row>
    <row r="194">
      <c r="A194" s="17" t="str">
        <f>IFERROR(__xludf.DUMMYFUNCTION("""COMPUTED_VALUE"""),"Propelld")</f>
        <v>Propelld</v>
      </c>
      <c r="B194" s="17" t="str">
        <f>IFERROR(__xludf.DUMMYFUNCTION("""COMPUTED_VALUE"""),"Bibhu Prasad D.")</f>
        <v>Bibhu Prasad D.</v>
      </c>
      <c r="C194" s="17" t="str">
        <f>IFERROR(__xludf.DUMMYFUNCTION("""COMPUTED_VALUE"""),"Co-founder")</f>
        <v>Co-founder</v>
      </c>
      <c r="D194" s="27" t="str">
        <f>IFERROR(__xludf.DUMMYFUNCTION("""COMPUTED_VALUE"""),"https://www.linkedin.com/in/bibhu-prasad-das-cfa/?originalSubdomain=in")</f>
        <v>https://www.linkedin.com/in/bibhu-prasad-das-cfa/?originalSubdomain=in</v>
      </c>
      <c r="E194" s="17" t="str">
        <f>IFERROR(__xludf.DUMMYFUNCTION("""COMPUTED_VALUE"""),"91 85840 74019")</f>
        <v>91 85840 74019</v>
      </c>
      <c r="F194" s="17" t="str">
        <f>IFERROR(__xludf.DUMMYFUNCTION("""COMPUTED_VALUE"""),"bibhu@propelld.com")</f>
        <v>bibhu@propelld.com</v>
      </c>
      <c r="G194" s="17"/>
      <c r="H194" s="17"/>
    </row>
    <row r="195">
      <c r="A195" s="17" t="str">
        <f>IFERROR(__xludf.DUMMYFUNCTION("""COMPUTED_VALUE"""),"Propelld")</f>
        <v>Propelld</v>
      </c>
      <c r="B195" s="17" t="str">
        <f>IFERROR(__xludf.DUMMYFUNCTION("""COMPUTED_VALUE"""),"Nagarajan Ramachandran")</f>
        <v>Nagarajan Ramachandran</v>
      </c>
      <c r="C195" s="17" t="str">
        <f>IFERROR(__xludf.DUMMYFUNCTION("""COMPUTED_VALUE"""),"Assistant Manager")</f>
        <v>Assistant Manager</v>
      </c>
      <c r="D195" s="27" t="str">
        <f>IFERROR(__xludf.DUMMYFUNCTION("""COMPUTED_VALUE"""),"https://www.linkedin.com/in/nagarajan-ramachandran-3422ba234/?originalSubdomain=in")</f>
        <v>https://www.linkedin.com/in/nagarajan-ramachandran-3422ba234/?originalSubdomain=in</v>
      </c>
      <c r="E195" s="17"/>
      <c r="F195" s="17"/>
      <c r="G195" s="17"/>
      <c r="H195" s="17"/>
    </row>
    <row r="196">
      <c r="A196" s="17" t="str">
        <f>IFERROR(__xludf.DUMMYFUNCTION("""COMPUTED_VALUE"""),"Scapia")</f>
        <v>Scapia</v>
      </c>
      <c r="B196" s="17" t="str">
        <f>IFERROR(__xludf.DUMMYFUNCTION("""COMPUTED_VALUE"""),"Anil Goteti")</f>
        <v>Anil Goteti</v>
      </c>
      <c r="C196" s="17" t="str">
        <f>IFERROR(__xludf.DUMMYFUNCTION("""COMPUTED_VALUE"""),"Founder")</f>
        <v>Founder</v>
      </c>
      <c r="D196" s="27" t="str">
        <f>IFERROR(__xludf.DUMMYFUNCTION("""COMPUTED_VALUE"""),"https://www.linkedin.com/in/anilgoteti/")</f>
        <v>https://www.linkedin.com/in/anilgoteti/</v>
      </c>
      <c r="E196" s="17" t="str">
        <f>IFERROR(__xludf.DUMMYFUNCTION("""COMPUTED_VALUE"""),"919980559944")</f>
        <v>919980559944</v>
      </c>
      <c r="F196" s="17" t="str">
        <f>IFERROR(__xludf.DUMMYFUNCTION("""COMPUTED_VALUE"""),"anilgoteti@gmail.com")</f>
        <v>anilgoteti@gmail.com</v>
      </c>
      <c r="G196" s="17"/>
      <c r="H196" s="17"/>
    </row>
    <row r="197">
      <c r="A197" s="17" t="str">
        <f>IFERROR(__xludf.DUMMYFUNCTION("""COMPUTED_VALUE"""),"Scapia")</f>
        <v>Scapia</v>
      </c>
      <c r="B197" s="17" t="str">
        <f>IFERROR(__xludf.DUMMYFUNCTION("""COMPUTED_VALUE"""),"Poonam Dugar")</f>
        <v>Poonam Dugar</v>
      </c>
      <c r="C197" s="17" t="str">
        <f>IFERROR(__xludf.DUMMYFUNCTION("""COMPUTED_VALUE"""),"Founder")</f>
        <v>Founder</v>
      </c>
      <c r="D197" s="27" t="str">
        <f>IFERROR(__xludf.DUMMYFUNCTION("""COMPUTED_VALUE"""),"https://www.linkedin.com/in/poonamdugar/?originalSubdomain=in")</f>
        <v>https://www.linkedin.com/in/poonamdugar/?originalSubdomain=in</v>
      </c>
      <c r="E197" s="17" t="str">
        <f>IFERROR(__xludf.DUMMYFUNCTION("""COMPUTED_VALUE"""),"91 98860 26906")</f>
        <v>91 98860 26906</v>
      </c>
      <c r="F197" s="17" t="str">
        <f>IFERROR(__xludf.DUMMYFUNCTION("""COMPUTED_VALUE"""),"poonamdugar1987@gmail.com")</f>
        <v>poonamdugar1987@gmail.com</v>
      </c>
      <c r="G197" s="17"/>
      <c r="H197" s="17"/>
    </row>
    <row r="198">
      <c r="A198" s="17" t="str">
        <f>IFERROR(__xludf.DUMMYFUNCTION("""COMPUTED_VALUE"""),"Scapia")</f>
        <v>Scapia</v>
      </c>
      <c r="B198" s="17" t="str">
        <f>IFERROR(__xludf.DUMMYFUNCTION("""COMPUTED_VALUE"""),"Anand Kandadai")</f>
        <v>Anand Kandadai</v>
      </c>
      <c r="C198" s="17" t="str">
        <f>IFERROR(__xludf.DUMMYFUNCTION("""COMPUTED_VALUE"""),"building scapia")</f>
        <v>building scapia</v>
      </c>
      <c r="D198" s="27" t="str">
        <f>IFERROR(__xludf.DUMMYFUNCTION("""COMPUTED_VALUE"""),"https://www.linkedin.com/in/anandkandadai/?originalSubdomain=in")</f>
        <v>https://www.linkedin.com/in/anandkandadai/?originalSubdomain=in</v>
      </c>
      <c r="E198" s="17"/>
      <c r="F198" s="17" t="str">
        <f>IFERROR(__xludf.DUMMYFUNCTION("""COMPUTED_VALUE"""),"anandkandadai@gmail.com")</f>
        <v>anandkandadai@gmail.com</v>
      </c>
      <c r="G198" s="17"/>
      <c r="H198" s="17"/>
    </row>
    <row r="199">
      <c r="A199" s="17" t="str">
        <f>IFERROR(__xludf.DUMMYFUNCTION("""COMPUTED_VALUE"""),"Pilgrim")</f>
        <v>Pilgrim</v>
      </c>
      <c r="B199" s="17" t="str">
        <f>IFERROR(__xludf.DUMMYFUNCTION("""COMPUTED_VALUE"""),"Anurag Kedia ")</f>
        <v>Anurag Kedia </v>
      </c>
      <c r="C199" s="17" t="str">
        <f>IFERROR(__xludf.DUMMYFUNCTION("""COMPUTED_VALUE"""),"Founder")</f>
        <v>Founder</v>
      </c>
      <c r="D199" s="27" t="str">
        <f>IFERROR(__xludf.DUMMYFUNCTION("""COMPUTED_VALUE"""),"https://www.linkedin.com/in/anuragkedia/?originalSubdomain=in")</f>
        <v>https://www.linkedin.com/in/anuragkedia/?originalSubdomain=in</v>
      </c>
      <c r="E199" s="17" t="str">
        <f>IFERROR(__xludf.DUMMYFUNCTION("""COMPUTED_VALUE"""),"1919967553215")</f>
        <v>1919967553215</v>
      </c>
      <c r="F199" s="17" t="str">
        <f>IFERROR(__xludf.DUMMYFUNCTION("""COMPUTED_VALUE"""),"anuragkedia@gmail.com")</f>
        <v>anuragkedia@gmail.com</v>
      </c>
      <c r="G199" s="17"/>
      <c r="H199" s="17"/>
    </row>
    <row r="200">
      <c r="A200" s="17" t="str">
        <f>IFERROR(__xludf.DUMMYFUNCTION("""COMPUTED_VALUE"""),"Pilgrim")</f>
        <v>Pilgrim</v>
      </c>
      <c r="B200" s="17" t="str">
        <f>IFERROR(__xludf.DUMMYFUNCTION("""COMPUTED_VALUE"""),"Gagandeep M. ")</f>
        <v>Gagandeep M. </v>
      </c>
      <c r="C200" s="17" t="str">
        <f>IFERROR(__xludf.DUMMYFUNCTION("""COMPUTED_VALUE"""),"Co founder")</f>
        <v>Co founder</v>
      </c>
      <c r="D200" s="27" t="str">
        <f>IFERROR(__xludf.DUMMYFUNCTION("""COMPUTED_VALUE"""),"https://www.linkedin.com/in/gaganmakker/")</f>
        <v>https://www.linkedin.com/in/gaganmakker/</v>
      </c>
      <c r="E200" s="17" t="str">
        <f>IFERROR(__xludf.DUMMYFUNCTION("""COMPUTED_VALUE"""),"918053419545")</f>
        <v>918053419545</v>
      </c>
      <c r="F200" s="17" t="str">
        <f>IFERROR(__xludf.DUMMYFUNCTION("""COMPUTED_VALUE"""),"gaganatiitb@gmail.com")</f>
        <v>gaganatiitb@gmail.com</v>
      </c>
      <c r="G200" s="17"/>
      <c r="H200" s="17"/>
    </row>
    <row r="201">
      <c r="A201" s="17" t="str">
        <f>IFERROR(__xludf.DUMMYFUNCTION("""COMPUTED_VALUE"""),"Pilgrim")</f>
        <v>Pilgrim</v>
      </c>
      <c r="B201" s="17" t="str">
        <f>IFERROR(__xludf.DUMMYFUNCTION("""COMPUTED_VALUE"""),"Joylin Dʹsilva")</f>
        <v>Joylin Dʹsilva</v>
      </c>
      <c r="C201" s="17" t="str">
        <f>IFERROR(__xludf.DUMMYFUNCTION("""COMPUTED_VALUE"""),"Executive Assistant")</f>
        <v>Executive Assistant</v>
      </c>
      <c r="D201" s="27" t="str">
        <f>IFERROR(__xludf.DUMMYFUNCTION("""COMPUTED_VALUE"""),"https://www.linkedin.com/in/joylin-d%CA%B9silva-90a5a577/?originalSubdomain=in")</f>
        <v>https://www.linkedin.com/in/joylin-d%CA%B9silva-90a5a577/?originalSubdomain=in</v>
      </c>
      <c r="E201" s="17"/>
      <c r="F201" s="17"/>
      <c r="G201" s="17"/>
      <c r="H201" s="17"/>
    </row>
    <row r="202">
      <c r="A202" s="17" t="str">
        <f>IFERROR(__xludf.DUMMYFUNCTION("""COMPUTED_VALUE"""),"75F")</f>
        <v>75F</v>
      </c>
      <c r="B202" s="17" t="str">
        <f>IFERROR(__xludf.DUMMYFUNCTION("""COMPUTED_VALUE"""),"Deepinder Singh")</f>
        <v>Deepinder Singh</v>
      </c>
      <c r="C202" s="17" t="str">
        <f>IFERROR(__xludf.DUMMYFUNCTION("""COMPUTED_VALUE"""),"CEO")</f>
        <v>CEO</v>
      </c>
      <c r="D202" s="27" t="str">
        <f>IFERROR(__xludf.DUMMYFUNCTION("""COMPUTED_VALUE"""),"https://www.linkedin.com/in/flyingsardar/")</f>
        <v>https://www.linkedin.com/in/flyingsardar/</v>
      </c>
      <c r="E202" s="17" t="str">
        <f>IFERROR(__xludf.DUMMYFUNCTION("""COMPUTED_VALUE"""),"13132046319")</f>
        <v>13132046319</v>
      </c>
      <c r="F202" s="17" t="str">
        <f>IFERROR(__xludf.DUMMYFUNCTION("""COMPUTED_VALUE"""),"deepinder_s@yahoo.com")</f>
        <v>deepinder_s@yahoo.com</v>
      </c>
      <c r="G202" s="17"/>
      <c r="H202" s="17"/>
    </row>
    <row r="203">
      <c r="A203" s="17" t="str">
        <f>IFERROR(__xludf.DUMMYFUNCTION("""COMPUTED_VALUE"""),"75F")</f>
        <v>75F</v>
      </c>
      <c r="B203" s="17" t="str">
        <f>IFERROR(__xludf.DUMMYFUNCTION("""COMPUTED_VALUE"""),"Alissa Sundstedt")</f>
        <v>Alissa Sundstedt</v>
      </c>
      <c r="C203" s="17" t="str">
        <f>IFERROR(__xludf.DUMMYFUNCTION("""COMPUTED_VALUE"""),"Executive Assistant")</f>
        <v>Executive Assistant</v>
      </c>
      <c r="D203" s="27" t="str">
        <f>IFERROR(__xludf.DUMMYFUNCTION("""COMPUTED_VALUE"""),"https://www.linkedin.com/in/alissa-sundstedt-ms-atc-otc-capm-59a67492/")</f>
        <v>https://www.linkedin.com/in/alissa-sundstedt-ms-atc-otc-capm-59a67492/</v>
      </c>
      <c r="E203" s="17" t="str">
        <f>IFERROR(__xludf.DUMMYFUNCTION("""COMPUTED_VALUE"""),"1 612-439-5529")</f>
        <v>1 612-439-5529</v>
      </c>
      <c r="F203" s="17" t="str">
        <f>IFERROR(__xludf.DUMMYFUNCTION("""COMPUTED_VALUE"""),"asundstedt@75f.io")</f>
        <v>asundstedt@75f.io</v>
      </c>
      <c r="G203" s="17"/>
      <c r="H203" s="17"/>
    </row>
    <row r="204">
      <c r="A204" s="17" t="str">
        <f>IFERROR(__xludf.DUMMYFUNCTION("""COMPUTED_VALUE"""),"Leap")</f>
        <v>Leap</v>
      </c>
      <c r="B204" s="17" t="str">
        <f>IFERROR(__xludf.DUMMYFUNCTION("""COMPUTED_VALUE"""),"Arnav Kumar")</f>
        <v>Arnav Kumar</v>
      </c>
      <c r="C204" s="17" t="str">
        <f>IFERROR(__xludf.DUMMYFUNCTION("""COMPUTED_VALUE"""),"founder")</f>
        <v>founder</v>
      </c>
      <c r="D204" s="27" t="str">
        <f>IFERROR(__xludf.DUMMYFUNCTION("""COMPUTED_VALUE"""),"https://www.linkedin.com/in/arnavk/?originalSubdomain=in")</f>
        <v>https://www.linkedin.com/in/arnavk/?originalSubdomain=in</v>
      </c>
      <c r="E204" s="17" t="str">
        <f>IFERROR(__xludf.DUMMYFUNCTION("""COMPUTED_VALUE"""),"91 72592 95504")</f>
        <v>91 72592 95504</v>
      </c>
      <c r="F204" s="17" t="str">
        <f>IFERROR(__xludf.DUMMYFUNCTION("""COMPUTED_VALUE"""),"arnav.ll@gmail.com")</f>
        <v>arnav.ll@gmail.com</v>
      </c>
      <c r="G204" s="17"/>
      <c r="H204" s="17"/>
    </row>
    <row r="205">
      <c r="A205" s="17" t="str">
        <f>IFERROR(__xludf.DUMMYFUNCTION("""COMPUTED_VALUE"""),"Leap")</f>
        <v>Leap</v>
      </c>
      <c r="B205" s="17" t="str">
        <f>IFERROR(__xludf.DUMMYFUNCTION("""COMPUTED_VALUE"""),"Rajan Chaudhary ")</f>
        <v>Rajan Chaudhary </v>
      </c>
      <c r="C205" s="17" t="str">
        <f>IFERROR(__xludf.DUMMYFUNCTION("""COMPUTED_VALUE"""),"founder")</f>
        <v>founder</v>
      </c>
      <c r="D205" s="27" t="str">
        <f>IFERROR(__xludf.DUMMYFUNCTION("""COMPUTED_VALUE"""),"https://www.linkedin.com/in/rajan-chaudhary-b3b27423/?originalSubdomain=in")</f>
        <v>https://www.linkedin.com/in/rajan-chaudhary-b3b27423/?originalSubdomain=in</v>
      </c>
      <c r="E205" s="17" t="str">
        <f>IFERROR(__xludf.DUMMYFUNCTION("""COMPUTED_VALUE"""),"919781979555")</f>
        <v>919781979555</v>
      </c>
      <c r="F205" s="17" t="str">
        <f>IFERROR(__xludf.DUMMYFUNCTION("""COMPUTED_VALUE"""),"rajansoft1@gmail.com")</f>
        <v>rajansoft1@gmail.com</v>
      </c>
      <c r="G205" s="17"/>
      <c r="H205" s="17"/>
    </row>
    <row r="206">
      <c r="A206" s="17" t="str">
        <f>IFERROR(__xludf.DUMMYFUNCTION("""COMPUTED_VALUE"""),"Leap")</f>
        <v>Leap</v>
      </c>
      <c r="B206" s="17" t="str">
        <f>IFERROR(__xludf.DUMMYFUNCTION("""COMPUTED_VALUE"""),"Preeti Tamhane")</f>
        <v>Preeti Tamhane</v>
      </c>
      <c r="C206" s="17" t="str">
        <f>IFERROR(__xludf.DUMMYFUNCTION("""COMPUTED_VALUE"""),"Executive Assistant")</f>
        <v>Executive Assistant</v>
      </c>
      <c r="D206" s="27" t="str">
        <f>IFERROR(__xludf.DUMMYFUNCTION("""COMPUTED_VALUE"""),"https://www.linkedin.com/in/preeti-tamhane-99a0a7373/?originalSubdomain=in")</f>
        <v>https://www.linkedin.com/in/preeti-tamhane-99a0a7373/?originalSubdomain=in</v>
      </c>
      <c r="E206" s="17"/>
      <c r="F206" s="17" t="str">
        <f>IFERROR(__xludf.DUMMYFUNCTION("""COMPUTED_VALUE"""),"preeti.tamhane@leapscale.com")</f>
        <v>preeti.tamhane@leapscale.com</v>
      </c>
      <c r="G206" s="17"/>
      <c r="H206" s="17"/>
    </row>
    <row r="207">
      <c r="A207" s="17" t="str">
        <f>IFERROR(__xludf.DUMMYFUNCTION("""COMPUTED_VALUE"""),"FoxTale")</f>
        <v>FoxTale</v>
      </c>
      <c r="B207" s="17" t="str">
        <f>IFERROR(__xludf.DUMMYFUNCTION("""COMPUTED_VALUE"""),"Romita Mazumdar ")</f>
        <v>Romita Mazumdar </v>
      </c>
      <c r="C207" s="17" t="str">
        <f>IFERROR(__xludf.DUMMYFUNCTION("""COMPUTED_VALUE"""),"founder")</f>
        <v>founder</v>
      </c>
      <c r="D207" s="27" t="str">
        <f>IFERROR(__xludf.DUMMYFUNCTION("""COMPUTED_VALUE"""),"https://www.linkedin.com/in/romita-mazumdar-063777a5/?originalSubdomain=in")</f>
        <v>https://www.linkedin.com/in/romita-mazumdar-063777a5/?originalSubdomain=in</v>
      </c>
      <c r="E207" s="17" t="str">
        <f>IFERROR(__xludf.DUMMYFUNCTION("""COMPUTED_VALUE"""),"91 81869 92607")</f>
        <v>91 81869 92607</v>
      </c>
      <c r="F207" s="17" t="str">
        <f>IFERROR(__xludf.DUMMYFUNCTION("""COMPUTED_VALUE"""),"romita@foxtale.in")</f>
        <v>romita@foxtale.in</v>
      </c>
      <c r="G207" s="17"/>
      <c r="H207" s="17"/>
    </row>
    <row r="208">
      <c r="A208" s="17" t="str">
        <f>IFERROR(__xludf.DUMMYFUNCTION("""COMPUTED_VALUE"""),"FoxTale")</f>
        <v>FoxTale</v>
      </c>
      <c r="B208" s="17" t="str">
        <f>IFERROR(__xludf.DUMMYFUNCTION("""COMPUTED_VALUE"""),"Abdul Aziz Ansari")</f>
        <v>Abdul Aziz Ansari</v>
      </c>
      <c r="C208" s="17" t="str">
        <f>IFERROR(__xludf.DUMMYFUNCTION("""COMPUTED_VALUE"""),"Executive Assistant ")</f>
        <v>Executive Assistant </v>
      </c>
      <c r="D208" s="27" t="str">
        <f>IFERROR(__xludf.DUMMYFUNCTION("""COMPUTED_VALUE"""),"https://www.linkedin.com/in/abdul-aziz-ansari-93519024b/?originalSubdomain=in")</f>
        <v>https://www.linkedin.com/in/abdul-aziz-ansari-93519024b/?originalSubdomain=in</v>
      </c>
      <c r="E208" s="17"/>
      <c r="F208" s="17" t="str">
        <f>IFERROR(__xludf.DUMMYFUNCTION("""COMPUTED_VALUE"""),"aziz@foxtale.in")</f>
        <v>aziz@foxtale.in</v>
      </c>
      <c r="G208" s="17"/>
      <c r="H208" s="17"/>
    </row>
    <row r="209">
      <c r="A209" s="17" t="str">
        <f>IFERROR(__xludf.DUMMYFUNCTION("""COMPUTED_VALUE"""),"FoxTale")</f>
        <v>FoxTale</v>
      </c>
      <c r="B209" s="17" t="str">
        <f>IFERROR(__xludf.DUMMYFUNCTION("""COMPUTED_VALUE"""),"Siddhanth Sanghavi ")</f>
        <v>Siddhanth Sanghavi </v>
      </c>
      <c r="C209" s="17" t="str">
        <f>IFERROR(__xludf.DUMMYFUNCTION("""COMPUTED_VALUE"""),"Chief of Staff ")</f>
        <v>Chief of Staff </v>
      </c>
      <c r="D209" s="27" t="str">
        <f>IFERROR(__xludf.DUMMYFUNCTION("""COMPUTED_VALUE"""),"https://www.linkedin.com/in/siddhanth-sanghavi/?originalSubdomain=in")</f>
        <v>https://www.linkedin.com/in/siddhanth-sanghavi/?originalSubdomain=in</v>
      </c>
      <c r="E209" s="17" t="str">
        <f>IFERROR(__xludf.DUMMYFUNCTION("""COMPUTED_VALUE"""),"918879026461")</f>
        <v>918879026461</v>
      </c>
      <c r="F209" s="17" t="str">
        <f>IFERROR(__xludf.DUMMYFUNCTION("""COMPUTED_VALUE"""),"siddhanth238@gmail.com")</f>
        <v>siddhanth238@gmail.com</v>
      </c>
      <c r="G209" s="17"/>
      <c r="H209" s="17"/>
    </row>
    <row r="210">
      <c r="A210" s="17" t="str">
        <f>IFERROR(__xludf.DUMMYFUNCTION("""COMPUTED_VALUE"""),"Snapmint")</f>
        <v>Snapmint</v>
      </c>
      <c r="B210" s="17" t="str">
        <f>IFERROR(__xludf.DUMMYFUNCTION("""COMPUTED_VALUE"""),"Nalin Agrawal ")</f>
        <v>Nalin Agrawal </v>
      </c>
      <c r="C210" s="17" t="str">
        <f>IFERROR(__xludf.DUMMYFUNCTION("""COMPUTED_VALUE"""),"Co-founder")</f>
        <v>Co-founder</v>
      </c>
      <c r="D210" s="27" t="str">
        <f>IFERROR(__xludf.DUMMYFUNCTION("""COMPUTED_VALUE"""),"https://www.linkedin.com/in/nalinagrawal/?originalSubdomain=in")</f>
        <v>https://www.linkedin.com/in/nalinagrawal/?originalSubdomain=in</v>
      </c>
      <c r="E210" s="17" t="str">
        <f>IFERROR(__xludf.DUMMYFUNCTION("""COMPUTED_VALUE"""),"919987026671")</f>
        <v>919987026671</v>
      </c>
      <c r="F210" s="17" t="str">
        <f>IFERROR(__xludf.DUMMYFUNCTION("""COMPUTED_VALUE"""),"nalin1482@gmail.com")</f>
        <v>nalin1482@gmail.com</v>
      </c>
      <c r="G210" s="17"/>
      <c r="H210" s="17"/>
    </row>
    <row r="211">
      <c r="A211" s="17" t="str">
        <f>IFERROR(__xludf.DUMMYFUNCTION("""COMPUTED_VALUE"""),"Snapmint")</f>
        <v>Snapmint</v>
      </c>
      <c r="B211" s="17" t="str">
        <f>IFERROR(__xludf.DUMMYFUNCTION("""COMPUTED_VALUE"""),"Abhineet Sawa ")</f>
        <v>Abhineet Sawa </v>
      </c>
      <c r="C211" s="17" t="str">
        <f>IFERROR(__xludf.DUMMYFUNCTION("""COMPUTED_VALUE"""),"Co-founder")</f>
        <v>Co-founder</v>
      </c>
      <c r="D211" s="27" t="str">
        <f>IFERROR(__xludf.DUMMYFUNCTION("""COMPUTED_VALUE"""),"https://www.linkedin.com/in/abhineet-sawa-31575b4/")</f>
        <v>https://www.linkedin.com/in/abhineet-sawa-31575b4/</v>
      </c>
      <c r="E211" s="17"/>
      <c r="F211" s="17" t="str">
        <f>IFERROR(__xludf.DUMMYFUNCTION("""COMPUTED_VALUE"""),"abhineetsawa@gmail.com")</f>
        <v>abhineetsawa@gmail.com</v>
      </c>
      <c r="G211" s="17"/>
      <c r="H211" s="17"/>
    </row>
    <row r="212">
      <c r="A212" s="17" t="str">
        <f>IFERROR(__xludf.DUMMYFUNCTION("""COMPUTED_VALUE"""),"Snapmint")</f>
        <v>Snapmint</v>
      </c>
      <c r="B212" s="17" t="str">
        <f>IFERROR(__xludf.DUMMYFUNCTION("""COMPUTED_VALUE"""),"Anil Gelra ")</f>
        <v>Anil Gelra </v>
      </c>
      <c r="C212" s="17" t="str">
        <f>IFERROR(__xludf.DUMMYFUNCTION("""COMPUTED_VALUE"""),"Co-founder")</f>
        <v>Co-founder</v>
      </c>
      <c r="D212" s="27" t="str">
        <f>IFERROR(__xludf.DUMMYFUNCTION("""COMPUTED_VALUE"""),"https://www.linkedin.com/in/anil-gelra-91890b4/")</f>
        <v>https://www.linkedin.com/in/anil-gelra-91890b4/</v>
      </c>
      <c r="E212" s="17" t="str">
        <f>IFERROR(__xludf.DUMMYFUNCTION("""COMPUTED_VALUE"""),"919324204995")</f>
        <v>919324204995</v>
      </c>
      <c r="F212" s="17" t="str">
        <f>IFERROR(__xludf.DUMMYFUNCTION("""COMPUTED_VALUE"""),"anilgelra@gmail.com")</f>
        <v>anilgelra@gmail.com</v>
      </c>
      <c r="G212" s="17"/>
      <c r="H212" s="17"/>
    </row>
    <row r="213">
      <c r="A213" s="17" t="str">
        <f>IFERROR(__xludf.DUMMYFUNCTION("""COMPUTED_VALUE"""),"Snapmint")</f>
        <v>Snapmint</v>
      </c>
      <c r="B213" s="17" t="str">
        <f>IFERROR(__xludf.DUMMYFUNCTION("""COMPUTED_VALUE"""),"Amitt Sharma ")</f>
        <v>Amitt Sharma </v>
      </c>
      <c r="C213" s="17" t="str">
        <f>IFERROR(__xludf.DUMMYFUNCTION("""COMPUTED_VALUE"""),"Chief Customer Officer")</f>
        <v>Chief Customer Officer</v>
      </c>
      <c r="D213" s="27" t="str">
        <f>IFERROR(__xludf.DUMMYFUNCTION("""COMPUTED_VALUE"""),"https://www.linkedin.com/in/amitsharmaam/?originalSubdomain=in")</f>
        <v>https://www.linkedin.com/in/amitsharmaam/?originalSubdomain=in</v>
      </c>
      <c r="E213" s="17" t="str">
        <f>IFERROR(__xludf.DUMMYFUNCTION("""COMPUTED_VALUE"""),"919663310792")</f>
        <v>919663310792</v>
      </c>
      <c r="F213" s="17" t="str">
        <f>IFERROR(__xludf.DUMMYFUNCTION("""COMPUTED_VALUE"""),"amit2808sharma@gmail.com")</f>
        <v>amit2808sharma@gmail.com</v>
      </c>
      <c r="G213" s="17"/>
      <c r="H213" s="17"/>
    </row>
    <row r="214">
      <c r="A214" s="17" t="str">
        <f>IFERROR(__xludf.DUMMYFUNCTION("""COMPUTED_VALUE"""),"SpotDraft")</f>
        <v>SpotDraft</v>
      </c>
      <c r="B214" s="17" t="str">
        <f>IFERROR(__xludf.DUMMYFUNCTION("""COMPUTED_VALUE"""),"Shashank Bijapur")</f>
        <v>Shashank Bijapur</v>
      </c>
      <c r="C214" s="17" t="str">
        <f>IFERROR(__xludf.DUMMYFUNCTION("""COMPUTED_VALUE"""),"CEO")</f>
        <v>CEO</v>
      </c>
      <c r="D214" s="27" t="str">
        <f>IFERROR(__xludf.DUMMYFUNCTION("""COMPUTED_VALUE"""),"https://www.linkedin.com/in/shashankbijapur/")</f>
        <v>https://www.linkedin.com/in/shashankbijapur/</v>
      </c>
      <c r="E214" s="17" t="str">
        <f>IFERROR(__xludf.DUMMYFUNCTION("""COMPUTED_VALUE"""),"911246409136")</f>
        <v>911246409136</v>
      </c>
      <c r="F214" s="17" t="str">
        <f>IFERROR(__xludf.DUMMYFUNCTION("""COMPUTED_VALUE"""),"shashankbijapur@gmail.com")</f>
        <v>shashankbijapur@gmail.com</v>
      </c>
      <c r="G214" s="17"/>
      <c r="H214" s="17"/>
    </row>
    <row r="215">
      <c r="A215" s="17" t="str">
        <f>IFERROR(__xludf.DUMMYFUNCTION("""COMPUTED_VALUE"""),"SpotDraft")</f>
        <v>SpotDraft</v>
      </c>
      <c r="B215" s="17" t="str">
        <f>IFERROR(__xludf.DUMMYFUNCTION("""COMPUTED_VALUE"""),"Madhav Bhagat")</f>
        <v>Madhav Bhagat</v>
      </c>
      <c r="C215" s="17" t="str">
        <f>IFERROR(__xludf.DUMMYFUNCTION("""COMPUTED_VALUE"""),"Co founder")</f>
        <v>Co founder</v>
      </c>
      <c r="D215" s="27" t="str">
        <f>IFERROR(__xludf.DUMMYFUNCTION("""COMPUTED_VALUE"""),"https://www.linkedin.com/in/madhavbhagat/?originalSubdomain=in")</f>
        <v>https://www.linkedin.com/in/madhavbhagat/?originalSubdomain=in</v>
      </c>
      <c r="E215" s="17"/>
      <c r="F215" s="17" t="str">
        <f>IFERROR(__xludf.DUMMYFUNCTION("""COMPUTED_VALUE"""),"madhav89@gmail.com")</f>
        <v>madhav89@gmail.com</v>
      </c>
      <c r="G215" s="17"/>
      <c r="H215" s="17"/>
    </row>
    <row r="216">
      <c r="A216" s="17" t="str">
        <f>IFERROR(__xludf.DUMMYFUNCTION("""COMPUTED_VALUE"""),"SpotDraft")</f>
        <v>SpotDraft</v>
      </c>
      <c r="B216" s="17" t="str">
        <f>IFERROR(__xludf.DUMMYFUNCTION("""COMPUTED_VALUE"""),"Saubhagya Mehta")</f>
        <v>Saubhagya Mehta</v>
      </c>
      <c r="C216" s="17" t="str">
        <f>IFERROR(__xludf.DUMMYFUNCTION("""COMPUTED_VALUE"""),"Executive Assistant")</f>
        <v>Executive Assistant</v>
      </c>
      <c r="D216" s="27" t="str">
        <f>IFERROR(__xludf.DUMMYFUNCTION("""COMPUTED_VALUE"""),"https://www.linkedin.com/in/saubhagya-mehta-m4/?originalSubdomain=in")</f>
        <v>https://www.linkedin.com/in/saubhagya-mehta-m4/?originalSubdomain=in</v>
      </c>
      <c r="E216" s="17" t="str">
        <f>IFERROR(__xludf.DUMMYFUNCTION("""COMPUTED_VALUE"""),"91 82955 58185")</f>
        <v>91 82955 58185</v>
      </c>
      <c r="F216" s="17" t="str">
        <f>IFERROR(__xludf.DUMMYFUNCTION("""COMPUTED_VALUE"""),"saubhagya@spotdraft.com")</f>
        <v>saubhagya@spotdraft.com</v>
      </c>
      <c r="G216" s="17"/>
      <c r="H216" s="17"/>
    </row>
    <row r="217">
      <c r="A217" s="17" t="str">
        <f>IFERROR(__xludf.DUMMYFUNCTION("""COMPUTED_VALUE"""),"Easy Home Finance")</f>
        <v>Easy Home Finance</v>
      </c>
      <c r="B217" s="17" t="str">
        <f>IFERROR(__xludf.DUMMYFUNCTION("""COMPUTED_VALUE"""),"Rohan Shah ")</f>
        <v>Rohan Shah </v>
      </c>
      <c r="C217" s="17" t="str">
        <f>IFERROR(__xludf.DUMMYFUNCTION("""COMPUTED_VALUE"""),"Co Founder")</f>
        <v>Co Founder</v>
      </c>
      <c r="D217" s="27" t="str">
        <f>IFERROR(__xludf.DUMMYFUNCTION("""COMPUTED_VALUE"""),"https://www.linkedin.com/in/rohan-shah-3bb45489/?originalSubdomain=in")</f>
        <v>https://www.linkedin.com/in/rohan-shah-3bb45489/?originalSubdomain=in</v>
      </c>
      <c r="E217" s="17" t="str">
        <f>IFERROR(__xludf.DUMMYFUNCTION("""COMPUTED_VALUE"""),"919820952319")</f>
        <v>919820952319</v>
      </c>
      <c r="F217" s="17" t="str">
        <f>IFERROR(__xludf.DUMMYFUNCTION("""COMPUTED_VALUE"""),"roshah00@gmail.com")</f>
        <v>roshah00@gmail.com</v>
      </c>
      <c r="G217" s="17"/>
      <c r="H217" s="17"/>
    </row>
    <row r="218">
      <c r="A218" s="17" t="str">
        <f>IFERROR(__xludf.DUMMYFUNCTION("""COMPUTED_VALUE"""),"Easy Home Finance")</f>
        <v>Easy Home Finance</v>
      </c>
      <c r="B218" s="17" t="str">
        <f>IFERROR(__xludf.DUMMYFUNCTION("""COMPUTED_VALUE"""),"Vivek Gajula")</f>
        <v>Vivek Gajula</v>
      </c>
      <c r="C218" s="17" t="str">
        <f>IFERROR(__xludf.DUMMYFUNCTION("""COMPUTED_VALUE"""),"Assistant Manager ")</f>
        <v>Assistant Manager </v>
      </c>
      <c r="D218" s="27" t="str">
        <f>IFERROR(__xludf.DUMMYFUNCTION("""COMPUTED_VALUE"""),"https://www.linkedin.com/in/vivekgajula/?originalSubdomain=in")</f>
        <v>https://www.linkedin.com/in/vivekgajula/?originalSubdomain=in</v>
      </c>
      <c r="E218" s="17"/>
      <c r="F218" s="17" t="str">
        <f>IFERROR(__xludf.DUMMYFUNCTION("""COMPUTED_VALUE"""),"vivekgajula10@gmail.com")</f>
        <v>vivekgajula10@gmail.com</v>
      </c>
      <c r="G218" s="17"/>
      <c r="H218" s="17"/>
    </row>
    <row r="219">
      <c r="A219" s="17" t="str">
        <f>IFERROR(__xludf.DUMMYFUNCTION("""COMPUTED_VALUE"""),"Easy Home Finance")</f>
        <v>Easy Home Finance</v>
      </c>
      <c r="B219" s="17" t="str">
        <f>IFERROR(__xludf.DUMMYFUNCTION("""COMPUTED_VALUE"""),"Ashish Semwal")</f>
        <v>Ashish Semwal</v>
      </c>
      <c r="C219" s="17" t="str">
        <f>IFERROR(__xludf.DUMMYFUNCTION("""COMPUTED_VALUE"""),"Head - Human Resources")</f>
        <v>Head - Human Resources</v>
      </c>
      <c r="D219" s="27" t="str">
        <f>IFERROR(__xludf.DUMMYFUNCTION("""COMPUTED_VALUE"""),"https://www.linkedin.com/in/ashishsemwal/?originalSubdomain=in")</f>
        <v>https://www.linkedin.com/in/ashishsemwal/?originalSubdomain=in</v>
      </c>
      <c r="E219" s="17"/>
      <c r="F219" s="17"/>
      <c r="G219" s="17"/>
      <c r="H219" s="17"/>
    </row>
    <row r="220">
      <c r="A220" s="17" t="str">
        <f>IFERROR(__xludf.DUMMYFUNCTION("""COMPUTED_VALUE"""),"TripFactory")</f>
        <v>TripFactory</v>
      </c>
      <c r="B220" s="17" t="str">
        <f>IFERROR(__xludf.DUMMYFUNCTION("""COMPUTED_VALUE"""),"Vinay Gupta ")</f>
        <v>Vinay Gupta </v>
      </c>
      <c r="C220" s="17" t="str">
        <f>IFERROR(__xludf.DUMMYFUNCTION("""COMPUTED_VALUE"""),"Founder")</f>
        <v>Founder</v>
      </c>
      <c r="D220" s="27" t="str">
        <f>IFERROR(__xludf.DUMMYFUNCTION("""COMPUTED_VALUE"""),"http://linkedin.com/in/vinay/?originalSubdomain=in")</f>
        <v>http://linkedin.com/in/vinay/?originalSubdomain=in</v>
      </c>
      <c r="E220" s="17" t="str">
        <f>IFERROR(__xludf.DUMMYFUNCTION("""COMPUTED_VALUE"""),"917757886800")</f>
        <v>917757886800</v>
      </c>
      <c r="F220" s="17" t="str">
        <f>IFERROR(__xludf.DUMMYFUNCTION("""COMPUTED_VALUE"""),"vinaydude@gmail.com")</f>
        <v>vinaydude@gmail.com</v>
      </c>
      <c r="G220" s="17"/>
      <c r="H220" s="17"/>
    </row>
    <row r="221">
      <c r="A221" s="17" t="str">
        <f>IFERROR(__xludf.DUMMYFUNCTION("""COMPUTED_VALUE"""),"TripFactory")</f>
        <v>TripFactory</v>
      </c>
      <c r="B221" s="17" t="str">
        <f>IFERROR(__xludf.DUMMYFUNCTION("""COMPUTED_VALUE"""),"Vandana Mishra ")</f>
        <v>Vandana Mishra </v>
      </c>
      <c r="C221" s="17" t="str">
        <f>IFERROR(__xludf.DUMMYFUNCTION("""COMPUTED_VALUE"""),"Chartered Accountant ")</f>
        <v>Chartered Accountant </v>
      </c>
      <c r="D221" s="27" t="str">
        <f>IFERROR(__xludf.DUMMYFUNCTION("""COMPUTED_VALUE"""),"https://www.linkedin.com/in/vandana-mishra/?originalSubdomain=in")</f>
        <v>https://www.linkedin.com/in/vandana-mishra/?originalSubdomain=in</v>
      </c>
      <c r="E221" s="17" t="str">
        <f>IFERROR(__xludf.DUMMYFUNCTION("""COMPUTED_VALUE"""),"91 88004 13925")</f>
        <v>91 88004 13925</v>
      </c>
      <c r="F221" s="17" t="str">
        <f>IFERROR(__xludf.DUMMYFUNCTION("""COMPUTED_VALUE"""),"mvandana064@gmail.com")</f>
        <v>mvandana064@gmail.com</v>
      </c>
      <c r="G221" s="17"/>
      <c r="H221" s="17"/>
    </row>
    <row r="222">
      <c r="A222" s="17" t="str">
        <f>IFERROR(__xludf.DUMMYFUNCTION("""COMPUTED_VALUE"""),"PMI Electro Mobility")</f>
        <v>PMI Electro Mobility</v>
      </c>
      <c r="B222" s="17" t="str">
        <f>IFERROR(__xludf.DUMMYFUNCTION("""COMPUTED_VALUE"""),"Aanchal Jain ")</f>
        <v>Aanchal Jain </v>
      </c>
      <c r="C222" s="17" t="str">
        <f>IFERROR(__xludf.DUMMYFUNCTION("""COMPUTED_VALUE"""),"CEO")</f>
        <v>CEO</v>
      </c>
      <c r="D222" s="27" t="str">
        <f>IFERROR(__xludf.DUMMYFUNCTION("""COMPUTED_VALUE"""),"https://www.linkedin.com/in/pmi-aanchal-jain/?originalSubdomain=in")</f>
        <v>https://www.linkedin.com/in/pmi-aanchal-jain/?originalSubdomain=in</v>
      </c>
      <c r="E222" s="17"/>
      <c r="F222" s="17" t="str">
        <f>IFERROR(__xludf.DUMMYFUNCTION("""COMPUTED_VALUE"""),"aanchal.jain@pmielectro.com")</f>
        <v>aanchal.jain@pmielectro.com</v>
      </c>
      <c r="G222" s="17"/>
      <c r="H222" s="17"/>
    </row>
    <row r="223">
      <c r="A223" s="17" t="str">
        <f>IFERROR(__xludf.DUMMYFUNCTION("""COMPUTED_VALUE"""),"PMI Electro Mobility")</f>
        <v>PMI Electro Mobility</v>
      </c>
      <c r="B223" s="17" t="str">
        <f>IFERROR(__xludf.DUMMYFUNCTION("""COMPUTED_VALUE"""),"Satish Jain ")</f>
        <v>Satish Jain </v>
      </c>
      <c r="C223" s="17" t="str">
        <f>IFERROR(__xludf.DUMMYFUNCTION("""COMPUTED_VALUE"""),"CEO")</f>
        <v>CEO</v>
      </c>
      <c r="D223" s="27" t="str">
        <f>IFERROR(__xludf.DUMMYFUNCTION("""COMPUTED_VALUE"""),"https://www.linkedin.com/in/satish-jain-2a5709278/?originalSubdomain=in")</f>
        <v>https://www.linkedin.com/in/satish-jain-2a5709278/?originalSubdomain=in</v>
      </c>
      <c r="E223" s="17"/>
      <c r="F223" s="17" t="str">
        <f>IFERROR(__xludf.DUMMYFUNCTION("""COMPUTED_VALUE"""),"satishjain@pmielectro.com")</f>
        <v>satishjain@pmielectro.com</v>
      </c>
      <c r="G223" s="17"/>
      <c r="H223" s="17"/>
    </row>
    <row r="224">
      <c r="A224" s="17" t="str">
        <f>IFERROR(__xludf.DUMMYFUNCTION("""COMPUTED_VALUE"""),"PMI Electro Mobility")</f>
        <v>PMI Electro Mobility</v>
      </c>
      <c r="B224" s="17" t="str">
        <f>IFERROR(__xludf.DUMMYFUNCTION("""COMPUTED_VALUE"""),"Megha Rajora")</f>
        <v>Megha Rajora</v>
      </c>
      <c r="C224" s="17" t="str">
        <f>IFERROR(__xludf.DUMMYFUNCTION("""COMPUTED_VALUE"""),"Executive assistant")</f>
        <v>Executive assistant</v>
      </c>
      <c r="D224" s="27" t="str">
        <f>IFERROR(__xludf.DUMMYFUNCTION("""COMPUTED_VALUE"""),"https://www.linkedin.com/in/megha-rajora-2345311b/?originalSubdomain=in")</f>
        <v>https://www.linkedin.com/in/megha-rajora-2345311b/?originalSubdomain=in</v>
      </c>
      <c r="E224" s="17"/>
      <c r="F224" s="17" t="str">
        <f>IFERROR(__xludf.DUMMYFUNCTION("""COMPUTED_VALUE"""),"meghabhardwaj1@gmail.com")</f>
        <v>meghabhardwaj1@gmail.com</v>
      </c>
      <c r="G224" s="17"/>
      <c r="H224" s="17"/>
    </row>
    <row r="225">
      <c r="A225" s="17" t="str">
        <f>IFERROR(__xludf.DUMMYFUNCTION("""COMPUTED_VALUE"""),"ESDS Software Solution Ltd")</f>
        <v>ESDS Software Solution Ltd</v>
      </c>
      <c r="B225" s="17" t="str">
        <f>IFERROR(__xludf.DUMMYFUNCTION("""COMPUTED_VALUE"""),"Piyush Somani ")</f>
        <v>Piyush Somani </v>
      </c>
      <c r="C225" s="17" t="str">
        <f>IFERROR(__xludf.DUMMYFUNCTION("""COMPUTED_VALUE"""),"Founder")</f>
        <v>Founder</v>
      </c>
      <c r="D225" s="27" t="str">
        <f>IFERROR(__xludf.DUMMYFUNCTION("""COMPUTED_VALUE"""),"https://www.linkedin.com/in/piyushsomani/?originalSubdomain=in")</f>
        <v>https://www.linkedin.com/in/piyushsomani/?originalSubdomain=in</v>
      </c>
      <c r="E225" s="17"/>
      <c r="F225" s="17" t="str">
        <f>IFERROR(__xludf.DUMMYFUNCTION("""COMPUTED_VALUE"""),"piyush@esds.co.in")</f>
        <v>piyush@esds.co.in</v>
      </c>
      <c r="G225" s="17"/>
      <c r="H225" s="17"/>
    </row>
    <row r="226">
      <c r="A226" s="17" t="str">
        <f>IFERROR(__xludf.DUMMYFUNCTION("""COMPUTED_VALUE"""),"ESDS Software Solution Ltd")</f>
        <v>ESDS Software Solution Ltd</v>
      </c>
      <c r="B226" s="17" t="str">
        <f>IFERROR(__xludf.DUMMYFUNCTION("""COMPUTED_VALUE"""),"Sharmishtha Roy")</f>
        <v>Sharmishtha Roy</v>
      </c>
      <c r="C226" s="17" t="str">
        <f>IFERROR(__xludf.DUMMYFUNCTION("""COMPUTED_VALUE"""),"Executive Assistant")</f>
        <v>Executive Assistant</v>
      </c>
      <c r="D226" s="27" t="str">
        <f>IFERROR(__xludf.DUMMYFUNCTION("""COMPUTED_VALUE"""),"https://www.linkedin.com/in/sharmishtha-roy-a568a38b/?originalSubdomain=in")</f>
        <v>https://www.linkedin.com/in/sharmishtha-roy-a568a38b/?originalSubdomain=in</v>
      </c>
      <c r="E226" s="17"/>
      <c r="F226" s="17" t="str">
        <f>IFERROR(__xludf.DUMMYFUNCTION("""COMPUTED_VALUE"""),"shormishtha13@gmail.com")</f>
        <v>shormishtha13@gmail.com</v>
      </c>
      <c r="G226" s="17"/>
      <c r="H226" s="17"/>
    </row>
    <row r="227">
      <c r="A227" s="17" t="str">
        <f>IFERROR(__xludf.DUMMYFUNCTION("""COMPUTED_VALUE"""),"ESDS Software Solution Ltd")</f>
        <v>ESDS Software Solution Ltd</v>
      </c>
      <c r="B227" s="17" t="str">
        <f>IFERROR(__xludf.DUMMYFUNCTION("""COMPUTED_VALUE"""),"Kishore Shah")</f>
        <v>Kishore Shah</v>
      </c>
      <c r="C227" s="17" t="str">
        <f>IFERROR(__xludf.DUMMYFUNCTION("""COMPUTED_VALUE"""),"Founder")</f>
        <v>Founder</v>
      </c>
      <c r="D227" s="27" t="str">
        <f>IFERROR(__xludf.DUMMYFUNCTION("""COMPUTED_VALUE"""),"https://www.linkedin.com/in/iamkishoreshah/?originalSubdomain=in")</f>
        <v>https://www.linkedin.com/in/iamkishoreshah/?originalSubdomain=in</v>
      </c>
      <c r="E227" s="17" t="str">
        <f>IFERROR(__xludf.DUMMYFUNCTION("""COMPUTED_VALUE"""),"919167999801")</f>
        <v>919167999801</v>
      </c>
      <c r="F227" s="17" t="str">
        <f>IFERROR(__xludf.DUMMYFUNCTION("""COMPUTED_VALUE"""),"kishoreshahinfobyte@gmail.com")</f>
        <v>kishoreshahinfobyte@gmail.com</v>
      </c>
      <c r="G227" s="17"/>
      <c r="H227" s="17"/>
    </row>
    <row r="228">
      <c r="A228" s="17" t="str">
        <f>IFERROR(__xludf.DUMMYFUNCTION("""COMPUTED_VALUE"""),"Even")</f>
        <v>Even</v>
      </c>
      <c r="B228" s="17" t="str">
        <f>IFERROR(__xludf.DUMMYFUNCTION("""COMPUTED_VALUE"""),"Matilde Giglio ")</f>
        <v>Matilde Giglio </v>
      </c>
      <c r="C228" s="17" t="str">
        <f>IFERROR(__xludf.DUMMYFUNCTION("""COMPUTED_VALUE"""),"Founder")</f>
        <v>Founder</v>
      </c>
      <c r="D228" s="27" t="str">
        <f>IFERROR(__xludf.DUMMYFUNCTION("""COMPUTED_VALUE"""),"https://www.linkedin.com/in/matilde-giglio-774961a8/?originalSubdomain=in")</f>
        <v>https://www.linkedin.com/in/matilde-giglio-774961a8/?originalSubdomain=in</v>
      </c>
      <c r="E228" s="17" t="str">
        <f>IFERROR(__xludf.DUMMYFUNCTION("""COMPUTED_VALUE"""),"447477457313")</f>
        <v>447477457313</v>
      </c>
      <c r="F228" s="17" t="str">
        <f>IFERROR(__xludf.DUMMYFUNCTION("""COMPUTED_VALUE"""),"matildegiglio@gmail.com")</f>
        <v>matildegiglio@gmail.com</v>
      </c>
      <c r="G228" s="17"/>
      <c r="H228" s="17"/>
    </row>
    <row r="229">
      <c r="A229" s="17" t="str">
        <f>IFERROR(__xludf.DUMMYFUNCTION("""COMPUTED_VALUE"""),"Even")</f>
        <v>Even</v>
      </c>
      <c r="B229" s="17" t="str">
        <f>IFERROR(__xludf.DUMMYFUNCTION("""COMPUTED_VALUE"""),"Mayank Banerjee ")</f>
        <v>Mayank Banerjee </v>
      </c>
      <c r="C229" s="17" t="str">
        <f>IFERROR(__xludf.DUMMYFUNCTION("""COMPUTED_VALUE"""),"Co- Founder")</f>
        <v>Co- Founder</v>
      </c>
      <c r="D229" s="27" t="str">
        <f>IFERROR(__xludf.DUMMYFUNCTION("""COMPUTED_VALUE"""),"https://www.linkedin.com/in/mayank-banerjee-b081507b/?originalSubdomain=in")</f>
        <v>https://www.linkedin.com/in/mayank-banerjee-b081507b/?originalSubdomain=in</v>
      </c>
      <c r="E229" s="17" t="str">
        <f>IFERROR(__xludf.DUMMYFUNCTION("""COMPUTED_VALUE"""),"919643667399")</f>
        <v>919643667399</v>
      </c>
      <c r="F229" s="17" t="str">
        <f>IFERROR(__xludf.DUMMYFUNCTION("""COMPUTED_VALUE"""),"mayankbanerjee92@gmail.com")</f>
        <v>mayankbanerjee92@gmail.com</v>
      </c>
      <c r="G229" s="17"/>
      <c r="H229" s="17"/>
    </row>
    <row r="230">
      <c r="A230" s="17" t="str">
        <f>IFERROR(__xludf.DUMMYFUNCTION("""COMPUTED_VALUE"""),"Even")</f>
        <v>Even</v>
      </c>
      <c r="B230" s="17" t="str">
        <f>IFERROR(__xludf.DUMMYFUNCTION("""COMPUTED_VALUE"""),"Alessandro Davide Ialongo")</f>
        <v>Alessandro Davide Ialongo</v>
      </c>
      <c r="C230" s="17" t="str">
        <f>IFERROR(__xludf.DUMMYFUNCTION("""COMPUTED_VALUE"""),"Co- Founder")</f>
        <v>Co- Founder</v>
      </c>
      <c r="D230" s="27" t="str">
        <f>IFERROR(__xludf.DUMMYFUNCTION("""COMPUTED_VALUE"""),"https://www.linkedin.com/in/alessandro-ialongo/?originalSubdomain=in")</f>
        <v>https://www.linkedin.com/in/alessandro-ialongo/?originalSubdomain=in</v>
      </c>
      <c r="E230" s="17"/>
      <c r="F230" s="17" t="str">
        <f>IFERROR(__xludf.DUMMYFUNCTION("""COMPUTED_VALUE"""),"alexialongo@gmail.com")</f>
        <v>alexialongo@gmail.com</v>
      </c>
      <c r="G230" s="17"/>
      <c r="H230" s="17"/>
    </row>
    <row r="231">
      <c r="A231" s="17" t="str">
        <f>IFERROR(__xludf.DUMMYFUNCTION("""COMPUTED_VALUE"""),"Neysa Networks")</f>
        <v>Neysa Networks</v>
      </c>
      <c r="B231" s="17" t="str">
        <f>IFERROR(__xludf.DUMMYFUNCTION("""COMPUTED_VALUE"""),"Anindya D.")</f>
        <v>Anindya D.</v>
      </c>
      <c r="C231" s="17" t="str">
        <f>IFERROR(__xludf.DUMMYFUNCTION("""COMPUTED_VALUE"""),"Co-Founder")</f>
        <v>Co-Founder</v>
      </c>
      <c r="D231" s="27" t="str">
        <f>IFERROR(__xludf.DUMMYFUNCTION("""COMPUTED_VALUE"""),"https://www.linkedin.com/in/anindya-d-0785a333b/?originalSubdomain=in")</f>
        <v>https://www.linkedin.com/in/anindya-d-0785a333b/?originalSubdomain=in</v>
      </c>
      <c r="E231" s="17" t="str">
        <f>IFERROR(__xludf.DUMMYFUNCTION("""COMPUTED_VALUE"""),"919892588371")</f>
        <v>919892588371</v>
      </c>
      <c r="F231" s="17" t="str">
        <f>IFERROR(__xludf.DUMMYFUNCTION("""COMPUTED_VALUE"""),"anindya.das@neysa.ai")</f>
        <v>anindya.das@neysa.ai</v>
      </c>
      <c r="G231" s="17"/>
      <c r="H231" s="17"/>
    </row>
    <row r="232">
      <c r="A232" s="17" t="str">
        <f>IFERROR(__xludf.DUMMYFUNCTION("""COMPUTED_VALUE"""),"Neysa Networks")</f>
        <v>Neysa Networks</v>
      </c>
      <c r="B232" s="17" t="str">
        <f>IFERROR(__xludf.DUMMYFUNCTION("""COMPUTED_VALUE"""),"Sharad Sanghi ")</f>
        <v>Sharad Sanghi </v>
      </c>
      <c r="C232" s="17" t="str">
        <f>IFERROR(__xludf.DUMMYFUNCTION("""COMPUTED_VALUE"""),"CEO")</f>
        <v>CEO</v>
      </c>
      <c r="D232" s="27" t="str">
        <f>IFERROR(__xludf.DUMMYFUNCTION("""COMPUTED_VALUE"""),"https://www.linkedin.com/in/sharadsanghi/?originalSubdomain=in")</f>
        <v>https://www.linkedin.com/in/sharadsanghi/?originalSubdomain=in</v>
      </c>
      <c r="E232" s="17" t="str">
        <f>IFERROR(__xludf.DUMMYFUNCTION("""COMPUTED_VALUE"""),"919967046882")</f>
        <v>919967046882</v>
      </c>
      <c r="F232" s="17" t="str">
        <f>IFERROR(__xludf.DUMMYFUNCTION("""COMPUTED_VALUE"""),"sharadsanghi@gmail.com")</f>
        <v>sharadsanghi@gmail.com</v>
      </c>
      <c r="G232" s="17"/>
      <c r="H232" s="17"/>
    </row>
    <row r="233">
      <c r="A233" s="17" t="str">
        <f>IFERROR(__xludf.DUMMYFUNCTION("""COMPUTED_VALUE"""),"Neysa Networks")</f>
        <v>Neysa Networks</v>
      </c>
      <c r="B233" s="17" t="str">
        <f>IFERROR(__xludf.DUMMYFUNCTION("""COMPUTED_VALUE"""),"CA Rajat Kedia")</f>
        <v>CA Rajat Kedia</v>
      </c>
      <c r="C233" s="17" t="str">
        <f>IFERROR(__xludf.DUMMYFUNCTION("""COMPUTED_VALUE"""),"Executive")</f>
        <v>Executive</v>
      </c>
      <c r="D233" s="27" t="str">
        <f>IFERROR(__xludf.DUMMYFUNCTION("""COMPUTED_VALUE"""),"https://www.linkedin.com/in/rajat-kedia/?originalSubdomain=in")</f>
        <v>https://www.linkedin.com/in/rajat-kedia/?originalSubdomain=in</v>
      </c>
      <c r="E233" s="17"/>
      <c r="F233" s="17" t="str">
        <f>IFERROR(__xludf.DUMMYFUNCTION("""COMPUTED_VALUE"""),"kediarajat@gmail.com")</f>
        <v>kediarajat@gmail.com</v>
      </c>
      <c r="G233" s="17"/>
      <c r="H233" s="17"/>
    </row>
    <row r="234">
      <c r="A234" s="17" t="str">
        <f>IFERROR(__xludf.DUMMYFUNCTION("""COMPUTED_VALUE""")," Haber")</f>
        <v> Haber</v>
      </c>
      <c r="B234" s="17" t="str">
        <f>IFERROR(__xludf.DUMMYFUNCTION("""COMPUTED_VALUE"""),"Vipin Raghavan ")</f>
        <v>Vipin Raghavan </v>
      </c>
      <c r="C234" s="17" t="str">
        <f>IFERROR(__xludf.DUMMYFUNCTION("""COMPUTED_VALUE"""),"Co-founder")</f>
        <v>Co-founder</v>
      </c>
      <c r="D234" s="27" t="str">
        <f>IFERROR(__xludf.DUMMYFUNCTION("""COMPUTED_VALUE"""),"http://linkedin.com/in/vipin-raghavan-6142986/?originalSubdomain=in")</f>
        <v>http://linkedin.com/in/vipin-raghavan-6142986/?originalSubdomain=in</v>
      </c>
      <c r="E234" s="17" t="str">
        <f>IFERROR(__xludf.DUMMYFUNCTION("""COMPUTED_VALUE"""),"91 96730 00097")</f>
        <v>91 96730 00097</v>
      </c>
      <c r="F234" s="17" t="str">
        <f>IFERROR(__xludf.DUMMYFUNCTION("""COMPUTED_VALUE"""),"vipin@haberwater.com")</f>
        <v>vipin@haberwater.com</v>
      </c>
      <c r="G234" s="17"/>
      <c r="H234" s="17"/>
    </row>
    <row r="235">
      <c r="A235" s="17" t="str">
        <f>IFERROR(__xludf.DUMMYFUNCTION("""COMPUTED_VALUE""")," Haber")</f>
        <v> Haber</v>
      </c>
      <c r="B235" s="17" t="str">
        <f>IFERROR(__xludf.DUMMYFUNCTION("""COMPUTED_VALUE"""),"Priya Venkat ")</f>
        <v>Priya Venkat </v>
      </c>
      <c r="C235" s="17" t="str">
        <f>IFERROR(__xludf.DUMMYFUNCTION("""COMPUTED_VALUE"""),"Co-founder")</f>
        <v>Co-founder</v>
      </c>
      <c r="D235" s="27" t="str">
        <f>IFERROR(__xludf.DUMMYFUNCTION("""COMPUTED_VALUE"""),"https://www.linkedin.com/in/priya-venkat-811257122/")</f>
        <v>https://www.linkedin.com/in/priya-venkat-811257122/</v>
      </c>
      <c r="E235" s="17" t="str">
        <f>IFERROR(__xludf.DUMMYFUNCTION("""COMPUTED_VALUE"""),"91 85540 20099")</f>
        <v>91 85540 20099</v>
      </c>
      <c r="F235" s="17" t="str">
        <f>IFERROR(__xludf.DUMMYFUNCTION("""COMPUTED_VALUE"""),"priya@haberwater.com")</f>
        <v>priya@haberwater.com</v>
      </c>
      <c r="G235" s="17"/>
      <c r="H235" s="17"/>
    </row>
    <row r="236">
      <c r="A236" s="17" t="str">
        <f>IFERROR(__xludf.DUMMYFUNCTION("""COMPUTED_VALUE""")," Haber")</f>
        <v> Haber</v>
      </c>
      <c r="B236" s="17" t="str">
        <f>IFERROR(__xludf.DUMMYFUNCTION("""COMPUTED_VALUE"""),"Kishan AP")</f>
        <v>Kishan AP</v>
      </c>
      <c r="C236" s="17" t="str">
        <f>IFERROR(__xludf.DUMMYFUNCTION("""COMPUTED_VALUE"""),"Administration Assistant ")</f>
        <v>Administration Assistant </v>
      </c>
      <c r="D236" s="27" t="str">
        <f>IFERROR(__xludf.DUMMYFUNCTION("""COMPUTED_VALUE"""),"https://www.linkedin.com/in/kishan-ap-0736b7194/?originalSubdomain=in")</f>
        <v>https://www.linkedin.com/in/kishan-ap-0736b7194/?originalSubdomain=in</v>
      </c>
      <c r="E236" s="17" t="str">
        <f>IFERROR(__xludf.DUMMYFUNCTION("""COMPUTED_VALUE"""),"91 90378 15595")</f>
        <v>91 90378 15595</v>
      </c>
      <c r="F236" s="17" t="str">
        <f>IFERROR(__xludf.DUMMYFUNCTION("""COMPUTED_VALUE"""),"kishan.ap@haberwater.com")</f>
        <v>kishan.ap@haberwater.com</v>
      </c>
      <c r="G236" s="17"/>
      <c r="H236" s="17"/>
    </row>
    <row r="237">
      <c r="A237" s="17" t="str">
        <f>IFERROR(__xludf.DUMMYFUNCTION("""COMPUTED_VALUE"""),"AdOnMo")</f>
        <v>AdOnMo</v>
      </c>
      <c r="B237" s="17" t="str">
        <f>IFERROR(__xludf.DUMMYFUNCTION("""COMPUTED_VALUE"""),"Sravanth Gajula ")</f>
        <v>Sravanth Gajula </v>
      </c>
      <c r="C237" s="17" t="str">
        <f>IFERROR(__xludf.DUMMYFUNCTION("""COMPUTED_VALUE"""),"Co-founder")</f>
        <v>Co-founder</v>
      </c>
      <c r="D237" s="27" t="str">
        <f>IFERROR(__xludf.DUMMYFUNCTION("""COMPUTED_VALUE"""),"https://www.linkedin.com/in/gsravanth/?originalSubdomain=in")</f>
        <v>https://www.linkedin.com/in/gsravanth/?originalSubdomain=in</v>
      </c>
      <c r="E237" s="17" t="str">
        <f>IFERROR(__xludf.DUMMYFUNCTION("""COMPUTED_VALUE"""),"8008815676")</f>
        <v>8008815676</v>
      </c>
      <c r="F237" s="17" t="str">
        <f>IFERROR(__xludf.DUMMYFUNCTION("""COMPUTED_VALUE"""),"gsravanth@gmail.com")</f>
        <v>gsravanth@gmail.com</v>
      </c>
      <c r="G237" s="17"/>
      <c r="H237" s="17"/>
    </row>
    <row r="238">
      <c r="A238" s="17" t="str">
        <f>IFERROR(__xludf.DUMMYFUNCTION("""COMPUTED_VALUE"""),"AdOnMo")</f>
        <v>AdOnMo</v>
      </c>
      <c r="B238" s="17" t="str">
        <f>IFERROR(__xludf.DUMMYFUNCTION("""COMPUTED_VALUE"""),"Sandeep Bommireddi ")</f>
        <v>Sandeep Bommireddi </v>
      </c>
      <c r="C238" s="17" t="str">
        <f>IFERROR(__xludf.DUMMYFUNCTION("""COMPUTED_VALUE"""),"Co-founder")</f>
        <v>Co-founder</v>
      </c>
      <c r="D238" s="27" t="str">
        <f>IFERROR(__xludf.DUMMYFUNCTION("""COMPUTED_VALUE"""),"https://www.linkedin.com/in/sandeep-bommireddi/?originalSubdomain=in")</f>
        <v>https://www.linkedin.com/in/sandeep-bommireddi/?originalSubdomain=in</v>
      </c>
      <c r="E238" s="17"/>
      <c r="F238" s="17" t="str">
        <f>IFERROR(__xludf.DUMMYFUNCTION("""COMPUTED_VALUE"""),"sandeepbommireddi@gmail.com")</f>
        <v>sandeepbommireddi@gmail.com</v>
      </c>
      <c r="G238" s="17"/>
      <c r="H238" s="17"/>
    </row>
    <row r="239">
      <c r="A239" s="17" t="str">
        <f>IFERROR(__xludf.DUMMYFUNCTION("""COMPUTED_VALUE"""),"AdOnMo")</f>
        <v>AdOnMo</v>
      </c>
      <c r="B239" s="17" t="str">
        <f>IFERROR(__xludf.DUMMYFUNCTION("""COMPUTED_VALUE"""),"Chandini Velaga ")</f>
        <v>Chandini Velaga </v>
      </c>
      <c r="C239" s="17" t="str">
        <f>IFERROR(__xludf.DUMMYFUNCTION("""COMPUTED_VALUE"""),"Senior Human Resources Associate")</f>
        <v>Senior Human Resources Associate</v>
      </c>
      <c r="D239" s="27" t="str">
        <f>IFERROR(__xludf.DUMMYFUNCTION("""COMPUTED_VALUE"""),"https://www.linkedin.com/in/chandini-velaga-393b83256/?originalSubdomain=in")</f>
        <v>https://www.linkedin.com/in/chandini-velaga-393b83256/?originalSubdomain=in</v>
      </c>
      <c r="E239" s="17"/>
      <c r="F239" s="17" t="str">
        <f>IFERROR(__xludf.DUMMYFUNCTION("""COMPUTED_VALUE"""),"velagachandini616@gmail.com")</f>
        <v>velagachandini616@gmail.com</v>
      </c>
      <c r="G239" s="17"/>
      <c r="H239" s="17"/>
    </row>
    <row r="240">
      <c r="A240" s="17" t="str">
        <f>IFERROR(__xludf.DUMMYFUNCTION("""COMPUTED_VALUE"""),"Kapiva")</f>
        <v>Kapiva</v>
      </c>
      <c r="B240" s="17" t="str">
        <f>IFERROR(__xludf.DUMMYFUNCTION("""COMPUTED_VALUE"""),"Shantanu ")</f>
        <v>Shantanu </v>
      </c>
      <c r="C240" s="17" t="str">
        <f>IFERROR(__xludf.DUMMYFUNCTION("""COMPUTED_VALUE"""),"Co-founder")</f>
        <v>Co-founder</v>
      </c>
      <c r="D240" s="27" t="str">
        <f>IFERROR(__xludf.DUMMYFUNCTION("""COMPUTED_VALUE"""),"https://www.linkedin.com/in/shantanu-b535a010/?originalSubdomain=in")</f>
        <v>https://www.linkedin.com/in/shantanu-b535a010/?originalSubdomain=in</v>
      </c>
      <c r="E240" s="17" t="str">
        <f>IFERROR(__xludf.DUMMYFUNCTION("""COMPUTED_VALUE"""),"9058695025")</f>
        <v>9058695025</v>
      </c>
      <c r="F240" s="17" t="str">
        <f>IFERROR(__xludf.DUMMYFUNCTION("""COMPUTED_VALUE"""),"sshantanu@gmail.com")</f>
        <v>sshantanu@gmail.com</v>
      </c>
      <c r="G240" s="17"/>
      <c r="H240" s="17"/>
    </row>
    <row r="241">
      <c r="A241" s="17" t="str">
        <f>IFERROR(__xludf.DUMMYFUNCTION("""COMPUTED_VALUE"""),"Kapiva")</f>
        <v>Kapiva</v>
      </c>
      <c r="B241" s="17" t="str">
        <f>IFERROR(__xludf.DUMMYFUNCTION("""COMPUTED_VALUE"""),"Ameve Sharma ")</f>
        <v>Ameve Sharma </v>
      </c>
      <c r="C241" s="17" t="str">
        <f>IFERROR(__xludf.DUMMYFUNCTION("""COMPUTED_VALUE"""),"Founder")</f>
        <v>Founder</v>
      </c>
      <c r="D241" s="27" t="str">
        <f>IFERROR(__xludf.DUMMYFUNCTION("""COMPUTED_VALUE"""),"https://www.linkedin.com/in/amevesharma/?originalSubdomain=in")</f>
        <v>https://www.linkedin.com/in/amevesharma/?originalSubdomain=in</v>
      </c>
      <c r="E241" s="17" t="str">
        <f>IFERROR(__xludf.DUMMYFUNCTION("""COMPUTED_VALUE"""),"9163550000")</f>
        <v>9163550000</v>
      </c>
      <c r="F241" s="17" t="str">
        <f>IFERROR(__xludf.DUMMYFUNCTION("""COMPUTED_VALUE"""),"ameve.sharma@kapiva.in")</f>
        <v>ameve.sharma@kapiva.in</v>
      </c>
      <c r="G241" s="17"/>
      <c r="H241" s="17"/>
    </row>
    <row r="242">
      <c r="A242" s="17" t="str">
        <f>IFERROR(__xludf.DUMMYFUNCTION("""COMPUTED_VALUE"""),"Kapiva")</f>
        <v>Kapiva</v>
      </c>
      <c r="B242" s="17" t="str">
        <f>IFERROR(__xludf.DUMMYFUNCTION("""COMPUTED_VALUE"""),"Midhun Manohar")</f>
        <v>Midhun Manohar</v>
      </c>
      <c r="C242" s="17" t="str">
        <f>IFERROR(__xludf.DUMMYFUNCTION("""COMPUTED_VALUE"""),"Executive Assistant")</f>
        <v>Executive Assistant</v>
      </c>
      <c r="D242" s="27" t="str">
        <f>IFERROR(__xludf.DUMMYFUNCTION("""COMPUTED_VALUE"""),"https://www.linkedin.com/in/midhun-manohar-77b146123/?originalSubdomain=in")</f>
        <v>https://www.linkedin.com/in/midhun-manohar-77b146123/?originalSubdomain=in</v>
      </c>
      <c r="E242" s="17"/>
      <c r="F242" s="17" t="str">
        <f>IFERROR(__xludf.DUMMYFUNCTION("""COMPUTED_VALUE"""),"midhun.manohar@kapiva.in")</f>
        <v>midhun.manohar@kapiva.in</v>
      </c>
      <c r="G242" s="17"/>
      <c r="H242" s="17"/>
    </row>
    <row r="243">
      <c r="A243" s="17" t="str">
        <f>IFERROR(__xludf.DUMMYFUNCTION("""COMPUTED_VALUE"""),"OnSurity")</f>
        <v>OnSurity</v>
      </c>
      <c r="B243" s="17" t="str">
        <f>IFERROR(__xludf.DUMMYFUNCTION("""COMPUTED_VALUE"""),"Yogesh Agarwal ")</f>
        <v>Yogesh Agarwal </v>
      </c>
      <c r="C243" s="17" t="str">
        <f>IFERROR(__xludf.DUMMYFUNCTION("""COMPUTED_VALUE"""),"Founder")</f>
        <v>Founder</v>
      </c>
      <c r="D243" s="27" t="str">
        <f>IFERROR(__xludf.DUMMYFUNCTION("""COMPUTED_VALUE"""),"https://www.linkedin.com/in/yogesh-actuary/?originalSubdomain=in")</f>
        <v>https://www.linkedin.com/in/yogesh-actuary/?originalSubdomain=in</v>
      </c>
      <c r="E243" s="17" t="str">
        <f>IFERROR(__xludf.DUMMYFUNCTION("""COMPUTED_VALUE"""),"8884321345")</f>
        <v>8884321345</v>
      </c>
      <c r="F243" s="17" t="str">
        <f>IFERROR(__xludf.DUMMYFUNCTION("""COMPUTED_VALUE"""),"yogesh@onsurity.com")</f>
        <v>yogesh@onsurity.com</v>
      </c>
      <c r="G243" s="17"/>
      <c r="H243" s="17"/>
    </row>
    <row r="244">
      <c r="A244" s="17" t="str">
        <f>IFERROR(__xludf.DUMMYFUNCTION("""COMPUTED_VALUE"""),"OnSurity")</f>
        <v>OnSurity</v>
      </c>
      <c r="B244" s="17" t="str">
        <f>IFERROR(__xludf.DUMMYFUNCTION("""COMPUTED_VALUE"""),"Kulin Shah")</f>
        <v>Kulin Shah</v>
      </c>
      <c r="C244" s="17" t="str">
        <f>IFERROR(__xludf.DUMMYFUNCTION("""COMPUTED_VALUE"""),"Co-founder")</f>
        <v>Co-founder</v>
      </c>
      <c r="D244" s="27" t="str">
        <f>IFERROR(__xludf.DUMMYFUNCTION("""COMPUTED_VALUE"""),"https://www.linkedin.com/in/kcshah/?originalSubdomain=in")</f>
        <v>https://www.linkedin.com/in/kcshah/?originalSubdomain=in</v>
      </c>
      <c r="E244" s="17" t="str">
        <f>IFERROR(__xludf.DUMMYFUNCTION("""COMPUTED_VALUE"""),"9620744550")</f>
        <v>9620744550</v>
      </c>
      <c r="F244" s="17" t="str">
        <f>IFERROR(__xludf.DUMMYFUNCTION("""COMPUTED_VALUE"""),"kulin@onsurity.com")</f>
        <v>kulin@onsurity.com</v>
      </c>
      <c r="G244" s="17"/>
      <c r="H244" s="17"/>
    </row>
    <row r="245">
      <c r="A245" s="17" t="str">
        <f>IFERROR(__xludf.DUMMYFUNCTION("""COMPUTED_VALUE"""),"OnSurity")</f>
        <v>OnSurity</v>
      </c>
      <c r="B245" s="17" t="str">
        <f>IFERROR(__xludf.DUMMYFUNCTION("""COMPUTED_VALUE"""),"Akshada Kardile")</f>
        <v>Akshada Kardile</v>
      </c>
      <c r="C245" s="17" t="str">
        <f>IFERROR(__xludf.DUMMYFUNCTION("""COMPUTED_VALUE"""),"HR Manager")</f>
        <v>HR Manager</v>
      </c>
      <c r="D245" s="27" t="str">
        <f>IFERROR(__xludf.DUMMYFUNCTION("""COMPUTED_VALUE"""),"https://www.linkedin.com/in/akshada-kardile/?originalSubdomain=in")</f>
        <v>https://www.linkedin.com/in/akshada-kardile/?originalSubdomain=in</v>
      </c>
      <c r="E245" s="17"/>
      <c r="F245" s="17" t="str">
        <f>IFERROR(__xludf.DUMMYFUNCTION("""COMPUTED_VALUE"""),"akshada@onsurity.com")</f>
        <v>akshada@onsurity.com</v>
      </c>
      <c r="G245" s="17"/>
      <c r="H245" s="17"/>
    </row>
    <row r="246">
      <c r="A246" s="17" t="str">
        <f>IFERROR(__xludf.DUMMYFUNCTION("""COMPUTED_VALUE"""),"Mechanic Pro")</f>
        <v>Mechanic Pro</v>
      </c>
      <c r="B246" s="17" t="str">
        <f>IFERROR(__xludf.DUMMYFUNCTION("""COMPUTED_VALUE"""),"Mohammad Nishanth")</f>
        <v>Mohammad Nishanth</v>
      </c>
      <c r="C246" s="17" t="str">
        <f>IFERROR(__xludf.DUMMYFUNCTION("""COMPUTED_VALUE"""),"Founder")</f>
        <v>Founder</v>
      </c>
      <c r="D246" s="27" t="str">
        <f>IFERROR(__xludf.DUMMYFUNCTION("""COMPUTED_VALUE"""),"https://www.linkedin.com/in/mohammad-nishanth-09901a193/?originalSubdomain=in")</f>
        <v>https://www.linkedin.com/in/mohammad-nishanth-09901a193/?originalSubdomain=in</v>
      </c>
      <c r="E246" s="17"/>
      <c r="F246" s="17" t="str">
        <f>IFERROR(__xludf.DUMMYFUNCTION("""COMPUTED_VALUE"""),"mohammadnishanth2002@gmail.com")</f>
        <v>mohammadnishanth2002@gmail.com</v>
      </c>
      <c r="G246" s="17"/>
      <c r="H246" s="17"/>
    </row>
    <row r="247">
      <c r="A247" s="17" t="str">
        <f>IFERROR(__xludf.DUMMYFUNCTION("""COMPUTED_VALUE"""),"Mechanic Pro")</f>
        <v>Mechanic Pro</v>
      </c>
      <c r="B247" s="17" t="str">
        <f>IFERROR(__xludf.DUMMYFUNCTION("""COMPUTED_VALUE"""),"Lakshmi Narasimha Manyam")</f>
        <v>Lakshmi Narasimha Manyam</v>
      </c>
      <c r="C247" s="17" t="str">
        <f>IFERROR(__xludf.DUMMYFUNCTION("""COMPUTED_VALUE"""),"Founder")</f>
        <v>Founder</v>
      </c>
      <c r="D247" s="27" t="str">
        <f>IFERROR(__xludf.DUMMYFUNCTION("""COMPUTED_VALUE"""),"https://www.linkedin.com/in/lakshmi-narasimha-manyam-3a6663360/?originalSubdomain=in")</f>
        <v>https://www.linkedin.com/in/lakshmi-narasimha-manyam-3a6663360/?originalSubdomain=in</v>
      </c>
      <c r="E247" s="17"/>
      <c r="F247" s="17"/>
      <c r="G247" s="17"/>
      <c r="H247" s="17"/>
    </row>
    <row r="248">
      <c r="A248" s="17" t="str">
        <f>IFERROR(__xludf.DUMMYFUNCTION("""COMPUTED_VALUE"""),"Heaithplix")</f>
        <v>Heaithplix</v>
      </c>
      <c r="B248" s="17" t="str">
        <f>IFERROR(__xludf.DUMMYFUNCTION("""COMPUTED_VALUE"""),"Sandeep Gudibanda ")</f>
        <v>Sandeep Gudibanda </v>
      </c>
      <c r="C248" s="17" t="str">
        <f>IFERROR(__xludf.DUMMYFUNCTION("""COMPUTED_VALUE"""),"Founder")</f>
        <v>Founder</v>
      </c>
      <c r="D248" s="27" t="str">
        <f>IFERROR(__xludf.DUMMYFUNCTION("""COMPUTED_VALUE"""),"https://www.linkedin.com/in/sandeepg/?originalSubdomain=in")</f>
        <v>https://www.linkedin.com/in/sandeepg/?originalSubdomain=in</v>
      </c>
      <c r="E248" s="17" t="str">
        <f>IFERROR(__xludf.DUMMYFUNCTION("""COMPUTED_VALUE"""),"9581616444")</f>
        <v>9581616444</v>
      </c>
      <c r="F248" s="17" t="str">
        <f>IFERROR(__xludf.DUMMYFUNCTION("""COMPUTED_VALUE"""),"sandeep@healthplix.com")</f>
        <v>sandeep@healthplix.com</v>
      </c>
      <c r="G248" s="17"/>
      <c r="H248" s="17"/>
    </row>
    <row r="249">
      <c r="A249" s="17" t="str">
        <f>IFERROR(__xludf.DUMMYFUNCTION("""COMPUTED_VALUE"""),"Heaithplix")</f>
        <v>Heaithplix</v>
      </c>
      <c r="B249" s="17" t="str">
        <f>IFERROR(__xludf.DUMMYFUNCTION("""COMPUTED_VALUE"""),"Nitin Devatraj")</f>
        <v>Nitin Devatraj</v>
      </c>
      <c r="C249" s="17" t="str">
        <f>IFERROR(__xludf.DUMMYFUNCTION("""COMPUTED_VALUE"""),"Associate Director")</f>
        <v>Associate Director</v>
      </c>
      <c r="D249" s="27" t="str">
        <f>IFERROR(__xludf.DUMMYFUNCTION("""COMPUTED_VALUE"""),"https://www.linkedin.com/in/nitin-devatraj-b6943aa9/?originalSubdomain=in")</f>
        <v>https://www.linkedin.com/in/nitin-devatraj-b6943aa9/?originalSubdomain=in</v>
      </c>
      <c r="E249" s="17" t="str">
        <f>IFERROR(__xludf.DUMMYFUNCTION("""COMPUTED_VALUE"""),"7411073094")</f>
        <v>7411073094</v>
      </c>
      <c r="F249" s="17" t="str">
        <f>IFERROR(__xludf.DUMMYFUNCTION("""COMPUTED_VALUE"""),"nitin.devatraj@healthplix.com")</f>
        <v>nitin.devatraj@healthplix.com</v>
      </c>
      <c r="G249" s="17"/>
      <c r="H249" s="17"/>
    </row>
    <row r="250">
      <c r="A250" s="17" t="str">
        <f>IFERROR(__xludf.DUMMYFUNCTION("""COMPUTED_VALUE"""),"10club")</f>
        <v>10club</v>
      </c>
      <c r="B250" s="17" t="str">
        <f>IFERROR(__xludf.DUMMYFUNCTION("""COMPUTED_VALUE"""),"Bhavna Suresh")</f>
        <v>Bhavna Suresh</v>
      </c>
      <c r="C250" s="17" t="str">
        <f>IFERROR(__xludf.DUMMYFUNCTION("""COMPUTED_VALUE"""),"founder")</f>
        <v>founder</v>
      </c>
      <c r="D250" s="27" t="str">
        <f>IFERROR(__xludf.DUMMYFUNCTION("""COMPUTED_VALUE"""),"https://www.linkedin.com/in/bhavnasc/?originalSubdomain=in")</f>
        <v>https://www.linkedin.com/in/bhavnasc/?originalSubdomain=in</v>
      </c>
      <c r="E250" s="17"/>
      <c r="F250" s="17" t="str">
        <f>IFERROR(__xludf.DUMMYFUNCTION("""COMPUTED_VALUE"""),"suresh@hec.fr")</f>
        <v>suresh@hec.fr</v>
      </c>
      <c r="G250" s="17"/>
      <c r="H250" s="17"/>
    </row>
    <row r="251">
      <c r="A251" s="17" t="str">
        <f>IFERROR(__xludf.DUMMYFUNCTION("""COMPUTED_VALUE"""),"lentra")</f>
        <v>lentra</v>
      </c>
      <c r="B251" s="17" t="str">
        <f>IFERROR(__xludf.DUMMYFUNCTION("""COMPUTED_VALUE"""),"Ankur Handa ")</f>
        <v>Ankur Handa </v>
      </c>
      <c r="C251" s="17" t="str">
        <f>IFERROR(__xludf.DUMMYFUNCTION("""COMPUTED_VALUE"""),"Co-founder")</f>
        <v>Co-founder</v>
      </c>
      <c r="D251" s="27" t="str">
        <f>IFERROR(__xludf.DUMMYFUNCTION("""COMPUTED_VALUE"""),"https://www.linkedin.com/in/ankurhan/?originalSubdomain=in")</f>
        <v>https://www.linkedin.com/in/ankurhan/?originalSubdomain=in</v>
      </c>
      <c r="E251" s="17"/>
      <c r="F251" s="17" t="str">
        <f>IFERROR(__xludf.DUMMYFUNCTION("""COMPUTED_VALUE"""),"ankur@lentra.ai")</f>
        <v>ankur@lentra.ai</v>
      </c>
      <c r="G251" s="17"/>
      <c r="H251" s="17"/>
    </row>
    <row r="252">
      <c r="A252" s="17" t="str">
        <f>IFERROR(__xludf.DUMMYFUNCTION("""COMPUTED_VALUE"""),"lentra")</f>
        <v>lentra</v>
      </c>
      <c r="B252" s="17" t="str">
        <f>IFERROR(__xludf.DUMMYFUNCTION("""COMPUTED_VALUE"""),"D (DV) Venkatesh ")</f>
        <v>D (DV) Venkatesh </v>
      </c>
      <c r="C252" s="17" t="str">
        <f>IFERROR(__xludf.DUMMYFUNCTION("""COMPUTED_VALUE"""),"CEO")</f>
        <v>CEO</v>
      </c>
      <c r="D252" s="27" t="str">
        <f>IFERROR(__xludf.DUMMYFUNCTION("""COMPUTED_VALUE"""),"https://www.linkedin.com/in/dvenkatesh/")</f>
        <v>https://www.linkedin.com/in/dvenkatesh/</v>
      </c>
      <c r="E252" s="17" t="str">
        <f>IFERROR(__xludf.DUMMYFUNCTION("""COMPUTED_VALUE"""),"9823372337")</f>
        <v>9823372337</v>
      </c>
      <c r="F252" s="17" t="str">
        <f>IFERROR(__xludf.DUMMYFUNCTION("""COMPUTED_VALUE"""),"dv@lentra.ai")</f>
        <v>dv@lentra.ai</v>
      </c>
      <c r="G252" s="17"/>
      <c r="H252" s="17"/>
    </row>
    <row r="253">
      <c r="A253" s="17" t="str">
        <f>IFERROR(__xludf.DUMMYFUNCTION("""COMPUTED_VALUE"""),"lentra")</f>
        <v>lentra</v>
      </c>
      <c r="B253" s="17" t="str">
        <f>IFERROR(__xludf.DUMMYFUNCTION("""COMPUTED_VALUE"""),"Bhuvaneswar Naik")</f>
        <v>Bhuvaneswar Naik</v>
      </c>
      <c r="C253" s="17" t="str">
        <f>IFERROR(__xludf.DUMMYFUNCTION("""COMPUTED_VALUE"""),"CHRO")</f>
        <v>CHRO</v>
      </c>
      <c r="D253" s="27" t="str">
        <f>IFERROR(__xludf.DUMMYFUNCTION("""COMPUTED_VALUE"""),"https://www.linkedin.com/in/bhuvan/?originalSubdomain=in")</f>
        <v>https://www.linkedin.com/in/bhuvan/?originalSubdomain=in</v>
      </c>
      <c r="E253" s="17" t="str">
        <f>IFERROR(__xludf.DUMMYFUNCTION("""COMPUTED_VALUE"""),"6364828990")</f>
        <v>6364828990</v>
      </c>
      <c r="F253" s="17" t="str">
        <f>IFERROR(__xludf.DUMMYFUNCTION("""COMPUTED_VALUE"""),"bhuvaneswar.naik@tata.com")</f>
        <v>bhuvaneswar.naik@tata.com</v>
      </c>
      <c r="G253" s="17"/>
      <c r="H253" s="17"/>
    </row>
    <row r="254">
      <c r="A254" s="17" t="str">
        <f>IFERROR(__xludf.DUMMYFUNCTION("""COMPUTED_VALUE"""),"Bizongo")</f>
        <v>Bizongo</v>
      </c>
      <c r="B254" s="17" t="str">
        <f>IFERROR(__xludf.DUMMYFUNCTION("""COMPUTED_VALUE"""),"Sachin Agrawal")</f>
        <v>Sachin Agrawal</v>
      </c>
      <c r="C254" s="17" t="str">
        <f>IFERROR(__xludf.DUMMYFUNCTION("""COMPUTED_VALUE"""),"Co-founder")</f>
        <v>Co-founder</v>
      </c>
      <c r="D254" s="27" t="str">
        <f>IFERROR(__xludf.DUMMYFUNCTION("""COMPUTED_VALUE"""),"https://www.linkedin.com/in/sachin-agrawal-903b8323/?originalSubdomain=in")</f>
        <v>https://www.linkedin.com/in/sachin-agrawal-903b8323/?originalSubdomain=in</v>
      </c>
      <c r="E254" s="17" t="str">
        <f>IFERROR(__xludf.DUMMYFUNCTION("""COMPUTED_VALUE"""),"9630023331, +919699033166")</f>
        <v>9630023331, +919699033166</v>
      </c>
      <c r="F254" s="17" t="str">
        <f>IFERROR(__xludf.DUMMYFUNCTION("""COMPUTED_VALUE"""),"sachin@bizongo.com, agrawalsachin99@gmail.com")</f>
        <v>sachin@bizongo.com, agrawalsachin99@gmail.com</v>
      </c>
      <c r="G254" s="17"/>
      <c r="H254" s="17"/>
    </row>
    <row r="255">
      <c r="A255" s="17" t="str">
        <f>IFERROR(__xludf.DUMMYFUNCTION("""COMPUTED_VALUE"""),"Bizongo")</f>
        <v>Bizongo</v>
      </c>
      <c r="B255" s="17" t="str">
        <f>IFERROR(__xludf.DUMMYFUNCTION("""COMPUTED_VALUE"""),"Anupama Tigga ")</f>
        <v>Anupama Tigga </v>
      </c>
      <c r="C255" s="17" t="str">
        <f>IFERROR(__xludf.DUMMYFUNCTION("""COMPUTED_VALUE"""),"Business Partner")</f>
        <v>Business Partner</v>
      </c>
      <c r="D255" s="27" t="str">
        <f>IFERROR(__xludf.DUMMYFUNCTION("""COMPUTED_VALUE"""),"https://www.linkedin.com/in/anupama-tigga-40952846/?originalSubdomain=in")</f>
        <v>https://www.linkedin.com/in/anupama-tigga-40952846/?originalSubdomain=in</v>
      </c>
      <c r="E255" s="17"/>
      <c r="F255" s="17" t="str">
        <f>IFERROR(__xludf.DUMMYFUNCTION("""COMPUTED_VALUE"""),"anupama.tigga@bizongo.com, anupamatigga3@gmail.com")</f>
        <v>anupama.tigga@bizongo.com, anupamatigga3@gmail.com</v>
      </c>
      <c r="G255" s="17"/>
      <c r="H255" s="17"/>
    </row>
    <row r="256">
      <c r="A256" s="17" t="str">
        <f>IFERROR(__xludf.DUMMYFUNCTION("""COMPUTED_VALUE"""),"turtlemint")</f>
        <v>turtlemint</v>
      </c>
      <c r="B256" s="17" t="str">
        <f>IFERROR(__xludf.DUMMYFUNCTION("""COMPUTED_VALUE"""),"Anand Prabhudesai")</f>
        <v>Anand Prabhudesai</v>
      </c>
      <c r="C256" s="17" t="str">
        <f>IFERROR(__xludf.DUMMYFUNCTION("""COMPUTED_VALUE"""),"co-founder")</f>
        <v>co-founder</v>
      </c>
      <c r="D256" s="27" t="str">
        <f>IFERROR(__xludf.DUMMYFUNCTION("""COMPUTED_VALUE"""),"https://www.linkedin.com/in/anandprabhudesai/?originalSubdomain=in")</f>
        <v>https://www.linkedin.com/in/anandprabhudesai/?originalSubdomain=in</v>
      </c>
      <c r="E256" s="17"/>
      <c r="F256" s="17" t="str">
        <f>IFERROR(__xludf.DUMMYFUNCTION("""COMPUTED_VALUE"""),"anand@turtlemint.com, aprabhud@gmail.com")</f>
        <v>anand@turtlemint.com, aprabhud@gmail.com</v>
      </c>
      <c r="G256" s="17"/>
      <c r="H256" s="17"/>
    </row>
    <row r="257">
      <c r="A257" s="17" t="str">
        <f>IFERROR(__xludf.DUMMYFUNCTION("""COMPUTED_VALUE"""),"turtlemint")</f>
        <v>turtlemint</v>
      </c>
      <c r="B257" s="17" t="str">
        <f>IFERROR(__xludf.DUMMYFUNCTION("""COMPUTED_VALUE"""),"Dhirendra Mahyavanshi")</f>
        <v>Dhirendra Mahyavanshi</v>
      </c>
      <c r="C257" s="17" t="str">
        <f>IFERROR(__xludf.DUMMYFUNCTION("""COMPUTED_VALUE"""),"co-founder")</f>
        <v>co-founder</v>
      </c>
      <c r="D257" s="27" t="str">
        <f>IFERROR(__xludf.DUMMYFUNCTION("""COMPUTED_VALUE"""),"https://www.linkedin.com/in/dhirendra-mahyavanshi-turtlemint/?originalSubdomain=in")</f>
        <v>https://www.linkedin.com/in/dhirendra-mahyavanshi-turtlemint/?originalSubdomain=in</v>
      </c>
      <c r="E257" s="17"/>
      <c r="F257" s="17" t="str">
        <f>IFERROR(__xludf.DUMMYFUNCTION("""COMPUTED_VALUE"""),"dhirendra@turtlemint.com, dhirendramahyavanshi@gmail.com")</f>
        <v>dhirendra@turtlemint.com, dhirendramahyavanshi@gmail.com</v>
      </c>
      <c r="G257" s="17"/>
      <c r="H257" s="17"/>
    </row>
    <row r="258">
      <c r="A258" s="17" t="str">
        <f>IFERROR(__xludf.DUMMYFUNCTION("""COMPUTED_VALUE"""),"turtlemint")</f>
        <v>turtlemint</v>
      </c>
      <c r="B258" s="17" t="str">
        <f>IFERROR(__xludf.DUMMYFUNCTION("""COMPUTED_VALUE"""),"Sunny Bhatia")</f>
        <v>Sunny Bhatia</v>
      </c>
      <c r="C258" s="17" t="str">
        <f>IFERROR(__xludf.DUMMYFUNCTION("""COMPUTED_VALUE"""),"Senior Vice President")</f>
        <v>Senior Vice President</v>
      </c>
      <c r="D258" s="27" t="str">
        <f>IFERROR(__xludf.DUMMYFUNCTION("""COMPUTED_VALUE"""),"https://www.linkedin.com/in/sunny-bhatia-9244b314/?originalSubdomain=in")</f>
        <v>https://www.linkedin.com/in/sunny-bhatia-9244b314/?originalSubdomain=in</v>
      </c>
      <c r="E258" s="17"/>
      <c r="F258" s="17" t="str">
        <f>IFERROR(__xludf.DUMMYFUNCTION("""COMPUTED_VALUE"""),"sunny.b@turtlemint.com, bhatiasunny26@rediffmail.com")</f>
        <v>sunny.b@turtlemint.com, bhatiasunny26@rediffmail.com</v>
      </c>
      <c r="G258" s="17"/>
      <c r="H258" s="17"/>
    </row>
    <row r="259">
      <c r="A259" s="17" t="str">
        <f>IFERROR(__xludf.DUMMYFUNCTION("""COMPUTED_VALUE"""),"MBA CHAI WALA")</f>
        <v>MBA CHAI WALA</v>
      </c>
      <c r="B259" s="17" t="str">
        <f>IFERROR(__xludf.DUMMYFUNCTION("""COMPUTED_VALUE"""),"Vivek Billore")</f>
        <v>Vivek Billore</v>
      </c>
      <c r="C259" s="17" t="str">
        <f>IFERROR(__xludf.DUMMYFUNCTION("""COMPUTED_VALUE"""),"CEO")</f>
        <v>CEO</v>
      </c>
      <c r="D259" s="27" t="str">
        <f>IFERROR(__xludf.DUMMYFUNCTION("""COMPUTED_VALUE"""),"https://www.linkedin.com/in/vivek-billore-00049a1a6/?originalSubdomain=in")</f>
        <v>https://www.linkedin.com/in/vivek-billore-00049a1a6/?originalSubdomain=in</v>
      </c>
      <c r="E259" s="17"/>
      <c r="F259" s="17" t="str">
        <f>IFERROR(__xludf.DUMMYFUNCTION("""COMPUTED_VALUE"""),"vivek@mbachaiwala.com, vivek@hushventures.in")</f>
        <v>vivek@mbachaiwala.com, vivek@hushventures.in</v>
      </c>
      <c r="G259" s="17"/>
      <c r="H259" s="17"/>
    </row>
    <row r="260">
      <c r="A260" s="17" t="str">
        <f>IFERROR(__xludf.DUMMYFUNCTION("""COMPUTED_VALUE"""),"MBA CHAI WALA")</f>
        <v>MBA CHAI WALA</v>
      </c>
      <c r="B260" s="17" t="str">
        <f>IFERROR(__xludf.DUMMYFUNCTION("""COMPUTED_VALUE"""),"Prafull Billore")</f>
        <v>Prafull Billore</v>
      </c>
      <c r="C260" s="17" t="str">
        <f>IFERROR(__xludf.DUMMYFUNCTION("""COMPUTED_VALUE"""),"MD")</f>
        <v>MD</v>
      </c>
      <c r="D260" s="27" t="str">
        <f>IFERROR(__xludf.DUMMYFUNCTION("""COMPUTED_VALUE"""),"https://www.linkedin.com/in/prafull-billore-a228019b/?originalSubdomain=in")</f>
        <v>https://www.linkedin.com/in/prafull-billore-a228019b/?originalSubdomain=in</v>
      </c>
      <c r="E260" s="17"/>
      <c r="F260" s="17" t="str">
        <f>IFERROR(__xludf.DUMMYFUNCTION("""COMPUTED_VALUE"""),"prafull@mbachaiwala.com, prafull.billore@oneclub.io")</f>
        <v>prafull@mbachaiwala.com, prafull.billore@oneclub.io</v>
      </c>
      <c r="G260" s="17"/>
      <c r="H260" s="17"/>
    </row>
    <row r="261">
      <c r="A261" s="17" t="str">
        <f>IFERROR(__xludf.DUMMYFUNCTION("""COMPUTED_VALUE"""),"MBA CHAI WALA")</f>
        <v>MBA CHAI WALA</v>
      </c>
      <c r="B261" s="17" t="str">
        <f>IFERROR(__xludf.DUMMYFUNCTION("""COMPUTED_VALUE"""),"Nandini Goyal ")</f>
        <v>Nandini Goyal </v>
      </c>
      <c r="C261" s="17" t="str">
        <f>IFERROR(__xludf.DUMMYFUNCTION("""COMPUTED_VALUE"""),"Head HR")</f>
        <v>Head HR</v>
      </c>
      <c r="D261" s="27" t="str">
        <f>IFERROR(__xludf.DUMMYFUNCTION("""COMPUTED_VALUE"""),"https://www.linkedin.com/in/nandini-goyal-15a64b113/?originalSubdomain=in")</f>
        <v>https://www.linkedin.com/in/nandini-goyal-15a64b113/?originalSubdomain=in</v>
      </c>
      <c r="E261" s="17"/>
      <c r="F261" s="17" t="str">
        <f>IFERROR(__xludf.DUMMYFUNCTION("""COMPUTED_VALUE"""),"nandinigoyal960@gmail.com")</f>
        <v>nandinigoyal960@gmail.com</v>
      </c>
      <c r="G261" s="17"/>
      <c r="H261" s="17"/>
    </row>
    <row r="262">
      <c r="A262" s="17" t="str">
        <f>IFERROR(__xludf.DUMMYFUNCTION("""COMPUTED_VALUE"""),"Burger Singh")</f>
        <v>Burger Singh</v>
      </c>
      <c r="B262" s="17" t="str">
        <f>IFERROR(__xludf.DUMMYFUNCTION("""COMPUTED_VALUE"""),"Rahul Seth")</f>
        <v>Rahul Seth</v>
      </c>
      <c r="C262" s="17" t="str">
        <f>IFERROR(__xludf.DUMMYFUNCTION("""COMPUTED_VALUE"""),"Co-founder")</f>
        <v>Co-founder</v>
      </c>
      <c r="D262" s="27" t="str">
        <f>IFERROR(__xludf.DUMMYFUNCTION("""COMPUTED_VALUE"""),"https://www.linkedin.com/in/rahul-seth-22697743/?originalSubdomain=in")</f>
        <v>https://www.linkedin.com/in/rahul-seth-22697743/?originalSubdomain=in</v>
      </c>
      <c r="E262" s="17"/>
      <c r="F262" s="17" t="str">
        <f>IFERROR(__xludf.DUMMYFUNCTION("""COMPUTED_VALUE"""),"sethrahul83@gmail.com, rahul.seth@tippingmrpink.com")</f>
        <v>sethrahul83@gmail.com, rahul.seth@tippingmrpink.com</v>
      </c>
      <c r="G262" s="17"/>
      <c r="H262" s="17"/>
    </row>
    <row r="263">
      <c r="A263" s="17" t="str">
        <f>IFERROR(__xludf.DUMMYFUNCTION("""COMPUTED_VALUE"""),"Burger Singh")</f>
        <v>Burger Singh</v>
      </c>
      <c r="B263" s="17" t="str">
        <f>IFERROR(__xludf.DUMMYFUNCTION("""COMPUTED_VALUE"""),"Kabir Jeet Singh")</f>
        <v>Kabir Jeet Singh</v>
      </c>
      <c r="C263" s="17" t="str">
        <f>IFERROR(__xludf.DUMMYFUNCTION("""COMPUTED_VALUE"""),"Founder")</f>
        <v>Founder</v>
      </c>
      <c r="D263" s="27" t="str">
        <f>IFERROR(__xludf.DUMMYFUNCTION("""COMPUTED_VALUE"""),"https://www.linkedin.com/in/kabir-jeet-singh-6265439/")</f>
        <v>https://www.linkedin.com/in/kabir-jeet-singh-6265439/</v>
      </c>
      <c r="E263" s="17"/>
      <c r="F263" s="17" t="str">
        <f>IFERROR(__xludf.DUMMYFUNCTION("""COMPUTED_VALUE"""),"kabirjeet@gmail.com, kabirjeet@gmail.com")</f>
        <v>kabirjeet@gmail.com, kabirjeet@gmail.com</v>
      </c>
      <c r="G263" s="17"/>
      <c r="H263" s="17"/>
    </row>
    <row r="264">
      <c r="A264" s="17" t="str">
        <f>IFERROR(__xludf.DUMMYFUNCTION("""COMPUTED_VALUE"""),"Burger Singh")</f>
        <v>Burger Singh</v>
      </c>
      <c r="B264" s="17" t="str">
        <f>IFERROR(__xludf.DUMMYFUNCTION("""COMPUTED_VALUE"""),"Mehrab Ilavia")</f>
        <v>Mehrab Ilavia</v>
      </c>
      <c r="C264" s="17" t="str">
        <f>IFERROR(__xludf.DUMMYFUNCTION("""COMPUTED_VALUE"""),"VP ")</f>
        <v>VP </v>
      </c>
      <c r="D264" s="27" t="str">
        <f>IFERROR(__xludf.DUMMYFUNCTION("""COMPUTED_VALUE"""),"https://www.linkedin.com/in/mehrab-ilavia-ab021b1a/?originalSubdomain=in")</f>
        <v>https://www.linkedin.com/in/mehrab-ilavia-ab021b1a/?originalSubdomain=in</v>
      </c>
      <c r="E264" s="17"/>
      <c r="F264" s="17" t="str">
        <f>IFERROR(__xludf.DUMMYFUNCTION("""COMPUTED_VALUE"""),"mehrabilavia@gmail.com")</f>
        <v>mehrabilavia@gmail.com</v>
      </c>
      <c r="G264" s="17"/>
      <c r="H264" s="17"/>
    </row>
    <row r="265">
      <c r="A265" s="17" t="str">
        <f>IFERROR(__xludf.DUMMYFUNCTION("""COMPUTED_VALUE"""),"Wow! Momo")</f>
        <v>Wow! Momo</v>
      </c>
      <c r="B265" s="17" t="str">
        <f>IFERROR(__xludf.DUMMYFUNCTION("""COMPUTED_VALUE"""),"Sagar J Daryani")</f>
        <v>Sagar J Daryani</v>
      </c>
      <c r="C265" s="17" t="str">
        <f>IFERROR(__xludf.DUMMYFUNCTION("""COMPUTED_VALUE"""),"Co-Founder")</f>
        <v>Co-Founder</v>
      </c>
      <c r="D265" s="27" t="str">
        <f>IFERROR(__xludf.DUMMYFUNCTION("""COMPUTED_VALUE"""),"https://www.linkedin.com/in/sagar-j-daryani-950085b7/?originalSubdomain=in")</f>
        <v>https://www.linkedin.com/in/sagar-j-daryani-950085b7/?originalSubdomain=in</v>
      </c>
      <c r="E265" s="17"/>
      <c r="F265" s="17" t="str">
        <f>IFERROR(__xludf.DUMMYFUNCTION("""COMPUTED_VALUE"""),"sagardaryani@wowmomo.co.in, sagar.daryani@nrai.org")</f>
        <v>sagardaryani@wowmomo.co.in, sagar.daryani@nrai.org</v>
      </c>
      <c r="G265" s="17"/>
      <c r="H265" s="17"/>
    </row>
    <row r="266">
      <c r="A266" s="17" t="str">
        <f>IFERROR(__xludf.DUMMYFUNCTION("""COMPUTED_VALUE"""),"Wow! Momo")</f>
        <v>Wow! Momo</v>
      </c>
      <c r="B266" s="17" t="str">
        <f>IFERROR(__xludf.DUMMYFUNCTION("""COMPUTED_VALUE"""),"G Srinivas")</f>
        <v>G Srinivas</v>
      </c>
      <c r="C266" s="17" t="str">
        <f>IFERROR(__xludf.DUMMYFUNCTION("""COMPUTED_VALUE"""),"HR Manager")</f>
        <v>HR Manager</v>
      </c>
      <c r="D266" s="27" t="str">
        <f>IFERROR(__xludf.DUMMYFUNCTION("""COMPUTED_VALUE"""),"https://www.linkedin.com/in/gsrinivas/?originalSubdomain=in")</f>
        <v>https://www.linkedin.com/in/gsrinivas/?originalSubdomain=in</v>
      </c>
      <c r="E266" s="17"/>
      <c r="F266" s="17" t="str">
        <f>IFERROR(__xludf.DUMMYFUNCTION("""COMPUTED_VALUE"""),"srinivasgssr@gmail.com")</f>
        <v>srinivasgssr@gmail.com</v>
      </c>
      <c r="G266" s="17"/>
      <c r="H266" s="17"/>
    </row>
    <row r="267">
      <c r="A267" s="17" t="str">
        <f>IFERROR(__xludf.DUMMYFUNCTION("""COMPUTED_VALUE"""),"Wow! Momo")</f>
        <v>Wow! Momo</v>
      </c>
      <c r="B267" s="17" t="str">
        <f>IFERROR(__xludf.DUMMYFUNCTION("""COMPUTED_VALUE"""),"Binod Homagai")</f>
        <v>Binod Homagai</v>
      </c>
      <c r="C267" s="17" t="str">
        <f>IFERROR(__xludf.DUMMYFUNCTION("""COMPUTED_VALUE"""),"Co-Founder")</f>
        <v>Co-Founder</v>
      </c>
      <c r="D267" s="27" t="str">
        <f>IFERROR(__xludf.DUMMYFUNCTION("""COMPUTED_VALUE"""),"https://www.linkedin.com/in/binod-homagai-b652b430/overlay/contact-info/?lipi=urn%3Ali%3Apage%3Ad_flagship3_profile_view_base%3BnOc8vtfwQnyb4iJ3Endytw%3D%3D")</f>
        <v>https://www.linkedin.com/in/binod-homagai-b652b430/overlay/contact-info/?lipi=urn%3Ali%3Apage%3Ad_flagship3_profile_view_base%3BnOc8vtfwQnyb4iJ3Endytw%3D%3D</v>
      </c>
      <c r="E267" s="17"/>
      <c r="F267" s="17" t="str">
        <f>IFERROR(__xludf.DUMMYFUNCTION("""COMPUTED_VALUE"""),"binodhomagai@wowmomo.co.in")</f>
        <v>binodhomagai@wowmomo.co.in</v>
      </c>
      <c r="G267" s="17"/>
      <c r="H267" s="17"/>
    </row>
    <row r="268">
      <c r="A268" s="17" t="str">
        <f>IFERROR(__xludf.DUMMYFUNCTION("""COMPUTED_VALUE"""),"Wow! Momo")</f>
        <v>Wow! Momo</v>
      </c>
      <c r="B268" s="17" t="str">
        <f>IFERROR(__xludf.DUMMYFUNCTION("""COMPUTED_VALUE"""),"Murali Krishnan")</f>
        <v>Murali Krishnan</v>
      </c>
      <c r="C268" s="17" t="str">
        <f>IFERROR(__xludf.DUMMYFUNCTION("""COMPUTED_VALUE"""),"CMO")</f>
        <v>CMO</v>
      </c>
      <c r="D268" s="27" t="str">
        <f>IFERROR(__xludf.DUMMYFUNCTION("""COMPUTED_VALUE"""),"https://www.linkedin.com/in/murali-krishnan-976a859/?originalSubdomain=in")</f>
        <v>https://www.linkedin.com/in/murali-krishnan-976a859/?originalSubdomain=in</v>
      </c>
      <c r="E268" s="17"/>
      <c r="F268" s="17" t="str">
        <f>IFERROR(__xludf.DUMMYFUNCTION("""COMPUTED_VALUE"""),"muralikrishnan.l@wowmomo.com, hariomkrish1987@gmail.com")</f>
        <v>muralikrishnan.l@wowmomo.com, hariomkrish1987@gmail.com</v>
      </c>
      <c r="G268" s="17"/>
      <c r="H268" s="17"/>
    </row>
    <row r="269">
      <c r="A269" s="17" t="str">
        <f>IFERROR(__xludf.DUMMYFUNCTION("""COMPUTED_VALUE"""),"Mokobara")</f>
        <v>Mokobara</v>
      </c>
      <c r="B269" s="17" t="str">
        <f>IFERROR(__xludf.DUMMYFUNCTION("""COMPUTED_VALUE"""),"Sangeet Agrawal ")</f>
        <v>Sangeet Agrawal </v>
      </c>
      <c r="C269" s="17" t="str">
        <f>IFERROR(__xludf.DUMMYFUNCTION("""COMPUTED_VALUE"""),"Founder")</f>
        <v>Founder</v>
      </c>
      <c r="D269" s="27" t="str">
        <f>IFERROR(__xludf.DUMMYFUNCTION("""COMPUTED_VALUE"""),"https://www.linkedin.com/in/sangeet-agrawal-2260734a/?originalSubdomain=in")</f>
        <v>https://www.linkedin.com/in/sangeet-agrawal-2260734a/?originalSubdomain=in</v>
      </c>
      <c r="E269" s="17"/>
      <c r="F269" s="17" t="str">
        <f>IFERROR(__xludf.DUMMYFUNCTION("""COMPUTED_VALUE"""),"s@mokobara.com,   sangeetvit@gmail.com")</f>
        <v>s@mokobara.com,   sangeetvit@gmail.com</v>
      </c>
      <c r="G269" s="17"/>
      <c r="H269" s="17"/>
    </row>
    <row r="270">
      <c r="A270" s="17" t="str">
        <f>IFERROR(__xludf.DUMMYFUNCTION("""COMPUTED_VALUE"""),"Mokobara")</f>
        <v>Mokobara</v>
      </c>
      <c r="B270" s="17" t="str">
        <f>IFERROR(__xludf.DUMMYFUNCTION("""COMPUTED_VALUE"""),"Navin Parwal ")</f>
        <v>Navin Parwal </v>
      </c>
      <c r="C270" s="17" t="str">
        <f>IFERROR(__xludf.DUMMYFUNCTION("""COMPUTED_VALUE"""),"Co-Founder")</f>
        <v>Co-Founder</v>
      </c>
      <c r="D270" s="27" t="str">
        <f>IFERROR(__xludf.DUMMYFUNCTION("""COMPUTED_VALUE"""),"https://www.linkedin.com/in/navinparwal/?originalSubdomain=in")</f>
        <v>https://www.linkedin.com/in/navinparwal/?originalSubdomain=in</v>
      </c>
      <c r="E270" s="17"/>
      <c r="F270" s="17" t="str">
        <f>IFERROR(__xludf.DUMMYFUNCTION("""COMPUTED_VALUE"""),"navin@mokobara.com, nparwal@gmail.com")</f>
        <v>navin@mokobara.com, nparwal@gmail.com</v>
      </c>
      <c r="G270" s="17"/>
      <c r="H270" s="17"/>
    </row>
    <row r="271">
      <c r="A271" s="17" t="str">
        <f>IFERROR(__xludf.DUMMYFUNCTION("""COMPUTED_VALUE"""),"Mokobara")</f>
        <v>Mokobara</v>
      </c>
      <c r="B271" s="17" t="str">
        <f>IFERROR(__xludf.DUMMYFUNCTION("""COMPUTED_VALUE"""),"Natasha Naidu")</f>
        <v>Natasha Naidu</v>
      </c>
      <c r="C271" s="17" t="str">
        <f>IFERROR(__xludf.DUMMYFUNCTION("""COMPUTED_VALUE"""),"Head of HR")</f>
        <v>Head of HR</v>
      </c>
      <c r="D271" s="27" t="str">
        <f>IFERROR(__xludf.DUMMYFUNCTION("""COMPUTED_VALUE"""),"https://www.linkedin.com/in/natasha-naidu-8052218b/?originalSubdomain=in")</f>
        <v>https://www.linkedin.com/in/natasha-naidu-8052218b/?originalSubdomain=in</v>
      </c>
      <c r="E271" s="17"/>
      <c r="F271" s="17" t="str">
        <f>IFERROR(__xludf.DUMMYFUNCTION("""COMPUTED_VALUE"""),"natasha.naidu@mokobara.com,  natashanaidu19@gmail.com")</f>
        <v>natasha.naidu@mokobara.com,  natashanaidu19@gmail.com</v>
      </c>
      <c r="G271" s="17"/>
      <c r="H271" s="17"/>
    </row>
    <row r="272">
      <c r="A272" s="17" t="str">
        <f>IFERROR(__xludf.DUMMYFUNCTION("""COMPUTED_VALUE"""),"The Belgian Waffle Co.")</f>
        <v>The Belgian Waffle Co.</v>
      </c>
      <c r="B272" s="17" t="str">
        <f>IFERROR(__xludf.DUMMYFUNCTION("""COMPUTED_VALUE"""),"Ankit Patel ")</f>
        <v>Ankit Patel </v>
      </c>
      <c r="C272" s="17" t="str">
        <f>IFERROR(__xludf.DUMMYFUNCTION("""COMPUTED_VALUE"""),"CEO")</f>
        <v>CEO</v>
      </c>
      <c r="D272" s="27" t="str">
        <f>IFERROR(__xludf.DUMMYFUNCTION("""COMPUTED_VALUE"""),"https://www.linkedin.com/in/ankit-patel81/?originalSubdomain=in")</f>
        <v>https://www.linkedin.com/in/ankit-patel81/?originalSubdomain=in</v>
      </c>
      <c r="E272" s="17"/>
      <c r="F272" s="17" t="str">
        <f>IFERROR(__xludf.DUMMYFUNCTION("""COMPUTED_VALUE"""),"ankit@thebelgianwaffle.co")</f>
        <v>ankit@thebelgianwaffle.co</v>
      </c>
      <c r="G272" s="17"/>
      <c r="H272" s="17"/>
    </row>
    <row r="273">
      <c r="A273" s="17" t="str">
        <f>IFERROR(__xludf.DUMMYFUNCTION("""COMPUTED_VALUE"""),"The Belgian Waffle Co.")</f>
        <v>The Belgian Waffle Co.</v>
      </c>
      <c r="B273" s="17" t="str">
        <f>IFERROR(__xludf.DUMMYFUNCTION("""COMPUTED_VALUE"""),"Niraj Shukla ")</f>
        <v>Niraj Shukla </v>
      </c>
      <c r="C273" s="17" t="str">
        <f>IFERROR(__xludf.DUMMYFUNCTION("""COMPUTED_VALUE"""),"Deputy general manager")</f>
        <v>Deputy general manager</v>
      </c>
      <c r="D273" s="27" t="str">
        <f>IFERROR(__xludf.DUMMYFUNCTION("""COMPUTED_VALUE"""),"https://www.linkedin.com/in/niraj-shukla-07709b8a/?originalSubdomain=in")</f>
        <v>https://www.linkedin.com/in/niraj-shukla-07709b8a/?originalSubdomain=in</v>
      </c>
      <c r="E273" s="17"/>
      <c r="F273" s="17" t="str">
        <f>IFERROR(__xludf.DUMMYFUNCTION("""COMPUTED_VALUE"""),"niraj@bloombay.in")</f>
        <v>niraj@bloombay.in</v>
      </c>
      <c r="G273" s="17"/>
      <c r="H273" s="17"/>
    </row>
    <row r="274">
      <c r="A274" s="17" t="str">
        <f>IFERROR(__xludf.DUMMYFUNCTION("""COMPUTED_VALUE"""),"The Belgian Waffle Co.")</f>
        <v>The Belgian Waffle Co.</v>
      </c>
      <c r="B274" s="17" t="str">
        <f>IFERROR(__xludf.DUMMYFUNCTION("""COMPUTED_VALUE"""),"Mayuri Makwana ")</f>
        <v>Mayuri Makwana </v>
      </c>
      <c r="C274" s="17" t="str">
        <f>IFERROR(__xludf.DUMMYFUNCTION("""COMPUTED_VALUE"""),"Senior Executive")</f>
        <v>Senior Executive</v>
      </c>
      <c r="D274" s="27" t="str">
        <f>IFERROR(__xludf.DUMMYFUNCTION("""COMPUTED_VALUE"""),"https://www.linkedin.com/in/mayurimakwana/")</f>
        <v>https://www.linkedin.com/in/mayurimakwana/</v>
      </c>
      <c r="E274" s="17"/>
      <c r="F274" s="17" t="str">
        <f>IFERROR(__xludf.DUMMYFUNCTION("""COMPUTED_VALUE"""),"mayuri.m@bloombay.in")</f>
        <v>mayuri.m@bloombay.in</v>
      </c>
      <c r="G274" s="17"/>
      <c r="H274" s="17"/>
    </row>
    <row r="275">
      <c r="A275" s="17" t="str">
        <f>IFERROR(__xludf.DUMMYFUNCTION("""COMPUTED_VALUE"""),"Rare Rabbit")</f>
        <v>Rare Rabbit</v>
      </c>
      <c r="B275" s="17" t="str">
        <f>IFERROR(__xludf.DUMMYFUNCTION("""COMPUTED_VALUE"""),"Manish Poddar")</f>
        <v>Manish Poddar</v>
      </c>
      <c r="C275" s="17" t="str">
        <f>IFERROR(__xludf.DUMMYFUNCTION("""COMPUTED_VALUE"""),"founder ")</f>
        <v>founder </v>
      </c>
      <c r="D275" s="27" t="str">
        <f>IFERROR(__xludf.DUMMYFUNCTION("""COMPUTED_VALUE"""),"https://www.linkedin.com/in/manish-poddar-08b013207/?originalSubdomain=in")</f>
        <v>https://www.linkedin.com/in/manish-poddar-08b013207/?originalSubdomain=in</v>
      </c>
      <c r="E275" s="17"/>
      <c r="F275" s="17"/>
      <c r="G275" s="17"/>
      <c r="H275" s="17"/>
    </row>
    <row r="276">
      <c r="A276" s="17" t="str">
        <f>IFERROR(__xludf.DUMMYFUNCTION("""COMPUTED_VALUE"""),"Rare Rabbit")</f>
        <v>Rare Rabbit</v>
      </c>
      <c r="B276" s="17" t="str">
        <f>IFERROR(__xludf.DUMMYFUNCTION("""COMPUTED_VALUE"""),"lavish soni")</f>
        <v>lavish soni</v>
      </c>
      <c r="C276" s="17" t="str">
        <f>IFERROR(__xludf.DUMMYFUNCTION("""COMPUTED_VALUE"""),"CBO")</f>
        <v>CBO</v>
      </c>
      <c r="D276" s="27" t="str">
        <f>IFERROR(__xludf.DUMMYFUNCTION("""COMPUTED_VALUE"""),"https://www.linkedin.com/in/lavish-soni-0a000342/?originalSubdomain=in")</f>
        <v>https://www.linkedin.com/in/lavish-soni-0a000342/?originalSubdomain=in</v>
      </c>
      <c r="E276" s="17"/>
      <c r="F276" s="17" t="str">
        <f>IFERROR(__xludf.DUMMYFUNCTION("""COMPUTED_VALUE"""),"lavish@thehouseofrare.com")</f>
        <v>lavish@thehouseofrare.com</v>
      </c>
      <c r="G276" s="17"/>
      <c r="H276" s="17"/>
    </row>
    <row r="277">
      <c r="A277" s="17" t="str">
        <f>IFERROR(__xludf.DUMMYFUNCTION("""COMPUTED_VALUE"""),"Rare Rabbit")</f>
        <v>Rare Rabbit</v>
      </c>
      <c r="B277" s="17" t="str">
        <f>IFERROR(__xludf.DUMMYFUNCTION("""COMPUTED_VALUE"""),"Gowtham Elango")</f>
        <v>Gowtham Elango</v>
      </c>
      <c r="C277" s="17" t="str">
        <f>IFERROR(__xludf.DUMMYFUNCTION("""COMPUTED_VALUE"""),"Head HR")</f>
        <v>Head HR</v>
      </c>
      <c r="D277" s="27" t="str">
        <f>IFERROR(__xludf.DUMMYFUNCTION("""COMPUTED_VALUE"""),"https://www.linkedin.com/in/gowtham-elango-ab613759/?originalSubdomain=in")</f>
        <v>https://www.linkedin.com/in/gowtham-elango-ab613759/?originalSubdomain=in</v>
      </c>
      <c r="E277" s="17"/>
      <c r="F277" s="17" t="str">
        <f>IFERROR(__xludf.DUMMYFUNCTION("""COMPUTED_VALUE"""),"gowthamelaa8@gmail.com")</f>
        <v>gowthamelaa8@gmail.com</v>
      </c>
      <c r="G277" s="17"/>
      <c r="H277" s="17"/>
    </row>
    <row r="278">
      <c r="A278" s="17" t="str">
        <f>IFERROR(__xludf.DUMMYFUNCTION("""COMPUTED_VALUE"""),"ninjacart")</f>
        <v>ninjacart</v>
      </c>
      <c r="B278" s="17" t="str">
        <f>IFERROR(__xludf.DUMMYFUNCTION("""COMPUTED_VALUE"""),"Thirukumaran Nagarajan ")</f>
        <v>Thirukumaran Nagarajan </v>
      </c>
      <c r="C278" s="17" t="str">
        <f>IFERROR(__xludf.DUMMYFUNCTION("""COMPUTED_VALUE"""),"Co-Founder")</f>
        <v>Co-Founder</v>
      </c>
      <c r="D278" s="27" t="str">
        <f>IFERROR(__xludf.DUMMYFUNCTION("""COMPUTED_VALUE"""),"https://www.linkedin.com/in/thirukumaran-nagarajan-51870242/?originalSubdomain=in")</f>
        <v>https://www.linkedin.com/in/thirukumaran-nagarajan-51870242/?originalSubdomain=in</v>
      </c>
      <c r="E278" s="17"/>
      <c r="F278" s="17" t="str">
        <f>IFERROR(__xludf.DUMMYFUNCTION("""COMPUTED_VALUE"""),"ntk@ninjacart.com, thiru@ninjacart.in,  thirukumarannagarajan@gmail.com")</f>
        <v>ntk@ninjacart.com, thiru@ninjacart.in,  thirukumarannagarajan@gmail.com</v>
      </c>
      <c r="G278" s="17"/>
      <c r="H278" s="17"/>
    </row>
    <row r="279">
      <c r="A279" s="17" t="str">
        <f>IFERROR(__xludf.DUMMYFUNCTION("""COMPUTED_VALUE"""),"ninjacart")</f>
        <v>ninjacart</v>
      </c>
      <c r="B279" s="17" t="str">
        <f>IFERROR(__xludf.DUMMYFUNCTION("""COMPUTED_VALUE"""),"Sharath Loganathan")</f>
        <v>Sharath Loganathan</v>
      </c>
      <c r="C279" s="17" t="str">
        <f>IFERROR(__xludf.DUMMYFUNCTION("""COMPUTED_VALUE"""),"Co-Founder")</f>
        <v>Co-Founder</v>
      </c>
      <c r="D279" s="27" t="str">
        <f>IFERROR(__xludf.DUMMYFUNCTION("""COMPUTED_VALUE"""),"https://www.linkedin.com/in/sharathloganathan/?originalSubdomain=in")</f>
        <v>https://www.linkedin.com/in/sharathloganathan/?originalSubdomain=in</v>
      </c>
      <c r="E279" s="17"/>
      <c r="F279" s="17" t="str">
        <f>IFERROR(__xludf.DUMMYFUNCTION("""COMPUTED_VALUE"""),"sharath@ninjacart.com,    sharathbabu32@gmail.com")</f>
        <v>sharath@ninjacart.com,    sharathbabu32@gmail.com</v>
      </c>
      <c r="G279" s="17"/>
      <c r="H279" s="17"/>
    </row>
    <row r="280">
      <c r="A280" s="17" t="str">
        <f>IFERROR(__xludf.DUMMYFUNCTION("""COMPUTED_VALUE"""),"ninjacart")</f>
        <v>ninjacart</v>
      </c>
      <c r="B280" s="17" t="str">
        <f>IFERROR(__xludf.DUMMYFUNCTION("""COMPUTED_VALUE"""),"Kartheeswaran K K")</f>
        <v>Kartheeswaran K K</v>
      </c>
      <c r="C280" s="17" t="str">
        <f>IFERROR(__xludf.DUMMYFUNCTION("""COMPUTED_VALUE"""),"Co-Founder")</f>
        <v>Co-Founder</v>
      </c>
      <c r="D280" s="27" t="str">
        <f>IFERROR(__xludf.DUMMYFUNCTION("""COMPUTED_VALUE"""),"https://www.linkedin.com/in/kartheeswarankk/?originalSubdomain=in")</f>
        <v>https://www.linkedin.com/in/kartheeswarankk/?originalSubdomain=in</v>
      </c>
      <c r="E280" s="17"/>
      <c r="F280" s="17" t="str">
        <f>IFERROR(__xludf.DUMMYFUNCTION("""COMPUTED_VALUE"""),"kartheeswaran@ninjacart.com, karthi1391@gmail.com")</f>
        <v>kartheeswaran@ninjacart.com, karthi1391@gmail.com</v>
      </c>
      <c r="G280" s="17"/>
      <c r="H280" s="17"/>
    </row>
    <row r="281">
      <c r="A281" s="17" t="str">
        <f>IFERROR(__xludf.DUMMYFUNCTION("""COMPUTED_VALUE"""),"ninjacart")</f>
        <v>ninjacart</v>
      </c>
      <c r="B281" s="17" t="str">
        <f>IFERROR(__xludf.DUMMYFUNCTION("""COMPUTED_VALUE"""),"Anuja Singh")</f>
        <v>Anuja Singh</v>
      </c>
      <c r="C281" s="17" t="str">
        <f>IFERROR(__xludf.DUMMYFUNCTION("""COMPUTED_VALUE"""),"CPO")</f>
        <v>CPO</v>
      </c>
      <c r="D281" s="27" t="str">
        <f>IFERROR(__xludf.DUMMYFUNCTION("""COMPUTED_VALUE"""),"https://www.linkedin.com/in/anujasinghhr/?originalSubdomain=in")</f>
        <v>https://www.linkedin.com/in/anujasinghhr/?originalSubdomain=in</v>
      </c>
      <c r="E281" s="17"/>
      <c r="F281" s="17" t="str">
        <f>IFERROR(__xludf.DUMMYFUNCTION("""COMPUTED_VALUE"""),"anujasingh@gmail.com")</f>
        <v>anujasingh@gmail.com</v>
      </c>
      <c r="G281" s="17"/>
      <c r="H281" s="17"/>
    </row>
    <row r="282">
      <c r="A282" s="17" t="str">
        <f>IFERROR(__xludf.DUMMYFUNCTION("""COMPUTED_VALUE"""),"The Souled Store")</f>
        <v>The Souled Store</v>
      </c>
      <c r="B282" s="17" t="str">
        <f>IFERROR(__xludf.DUMMYFUNCTION("""COMPUTED_VALUE"""),"Aditya Sharma")</f>
        <v>Aditya Sharma</v>
      </c>
      <c r="C282" s="17" t="str">
        <f>IFERROR(__xludf.DUMMYFUNCTION("""COMPUTED_VALUE"""),"Co-founder")</f>
        <v>Co-founder</v>
      </c>
      <c r="D282" s="27" t="str">
        <f>IFERROR(__xludf.DUMMYFUNCTION("""COMPUTED_VALUE"""),"https://www.linkedin.com/in/aditya-sharma-33018634/?originalSubdomain=in")</f>
        <v>https://www.linkedin.com/in/aditya-sharma-33018634/?originalSubdomain=in</v>
      </c>
      <c r="E282" s="17"/>
      <c r="F282" s="17" t="str">
        <f>IFERROR(__xludf.DUMMYFUNCTION("""COMPUTED_VALUE"""),"aditya.sharma@thesouledstore.com,   adityasharma6589@gmail.com")</f>
        <v>aditya.sharma@thesouledstore.com,   adityasharma6589@gmail.com</v>
      </c>
      <c r="G282" s="17"/>
      <c r="H282" s="17"/>
    </row>
    <row r="283">
      <c r="A283" s="17" t="str">
        <f>IFERROR(__xludf.DUMMYFUNCTION("""COMPUTED_VALUE"""),"The Souled Store")</f>
        <v>The Souled Store</v>
      </c>
      <c r="B283" s="17" t="str">
        <f>IFERROR(__xludf.DUMMYFUNCTION("""COMPUTED_VALUE"""),"Vedang Patel ")</f>
        <v>Vedang Patel </v>
      </c>
      <c r="C283" s="17" t="str">
        <f>IFERROR(__xludf.DUMMYFUNCTION("""COMPUTED_VALUE"""),"Co-founder")</f>
        <v>Co-founder</v>
      </c>
      <c r="D283" s="27" t="str">
        <f>IFERROR(__xludf.DUMMYFUNCTION("""COMPUTED_VALUE"""),"https://www.linkedin.com/in/vedang-patel-40aba34b/?originalSubdomain=in")</f>
        <v>https://www.linkedin.com/in/vedang-patel-40aba34b/?originalSubdomain=in</v>
      </c>
      <c r="E283" s="17"/>
      <c r="F283" s="17" t="str">
        <f>IFERROR(__xludf.DUMMYFUNCTION("""COMPUTED_VALUE"""),"vedang@thesouledstore.com")</f>
        <v>vedang@thesouledstore.com</v>
      </c>
      <c r="G283" s="17"/>
      <c r="H283" s="17"/>
    </row>
    <row r="284">
      <c r="A284" s="17" t="str">
        <f>IFERROR(__xludf.DUMMYFUNCTION("""COMPUTED_VALUE"""),"The Souled Store")</f>
        <v>The Souled Store</v>
      </c>
      <c r="B284" s="17" t="str">
        <f>IFERROR(__xludf.DUMMYFUNCTION("""COMPUTED_VALUE"""),"Harsh Lal ")</f>
        <v>Harsh Lal </v>
      </c>
      <c r="C284" s="17" t="str">
        <f>IFERROR(__xludf.DUMMYFUNCTION("""COMPUTED_VALUE"""),"Co-founder")</f>
        <v>Co-founder</v>
      </c>
      <c r="D284" s="27" t="str">
        <f>IFERROR(__xludf.DUMMYFUNCTION("""COMPUTED_VALUE"""),"https://www.linkedin.com/in/harsh-lal-98247648/?originalSubdomain=in")</f>
        <v>https://www.linkedin.com/in/harsh-lal-98247648/?originalSubdomain=in</v>
      </c>
      <c r="E284" s="17"/>
      <c r="F284" s="17" t="str">
        <f>IFERROR(__xludf.DUMMYFUNCTION("""COMPUTED_VALUE"""),"harsh@thesouledstore.com")</f>
        <v>harsh@thesouledstore.com</v>
      </c>
      <c r="G284" s="17"/>
      <c r="H284" s="17"/>
    </row>
    <row r="285">
      <c r="A285" s="17" t="str">
        <f>IFERROR(__xludf.DUMMYFUNCTION("""COMPUTED_VALUE"""),"Third Wave Coffee")</f>
        <v>Third Wave Coffee</v>
      </c>
      <c r="B285" s="17" t="str">
        <f>IFERROR(__xludf.DUMMYFUNCTION("""COMPUTED_VALUE"""),"Rajat Luthra")</f>
        <v>Rajat Luthra</v>
      </c>
      <c r="C285" s="17" t="str">
        <f>IFERROR(__xludf.DUMMYFUNCTION("""COMPUTED_VALUE"""),"CEO")</f>
        <v>CEO</v>
      </c>
      <c r="D285" s="27" t="str">
        <f>IFERROR(__xludf.DUMMYFUNCTION("""COMPUTED_VALUE"""),"https://www.linkedin.com/in/rajat-luthra-a9826b8/?originalSubdomain=in")</f>
        <v>https://www.linkedin.com/in/rajat-luthra-a9826b8/?originalSubdomain=in</v>
      </c>
      <c r="E285" s="17" t="str">
        <f>IFERROR(__xludf.DUMMYFUNCTION("""COMPUTED_VALUE"""),"918860010888")</f>
        <v>918860010888</v>
      </c>
      <c r="F285" s="17" t="str">
        <f>IFERROR(__xludf.DUMMYFUNCTION("""COMPUTED_VALUE"""),"lrajat@yahoo.com")</f>
        <v>lrajat@yahoo.com</v>
      </c>
      <c r="G285" s="17"/>
      <c r="H285" s="17"/>
    </row>
    <row r="286">
      <c r="A286" s="17" t="str">
        <f>IFERROR(__xludf.DUMMYFUNCTION("""COMPUTED_VALUE"""),"Third Wave Coffee")</f>
        <v>Third Wave Coffee</v>
      </c>
      <c r="B286" s="17" t="str">
        <f>IFERROR(__xludf.DUMMYFUNCTION("""COMPUTED_VALUE"""),"Anirudh Sharma")</f>
        <v>Anirudh Sharma</v>
      </c>
      <c r="C286" s="17" t="str">
        <f>IFERROR(__xludf.DUMMYFUNCTION("""COMPUTED_VALUE"""),"Co-founder")</f>
        <v>Co-founder</v>
      </c>
      <c r="D286" s="27" t="str">
        <f>IFERROR(__xludf.DUMMYFUNCTION("""COMPUTED_VALUE"""),"https://www.linkedin.com/in/anirudh-sharma-877ab2a0/?originalSubdomain=in")</f>
        <v>https://www.linkedin.com/in/anirudh-sharma-877ab2a0/?originalSubdomain=in</v>
      </c>
      <c r="E286" s="17"/>
      <c r="F286" s="17" t="str">
        <f>IFERROR(__xludf.DUMMYFUNCTION("""COMPUTED_VALUE"""),"anirudhsharma@thirdwavecoffee.in")</f>
        <v>anirudhsharma@thirdwavecoffee.in</v>
      </c>
      <c r="G286" s="17"/>
      <c r="H286" s="17"/>
    </row>
    <row r="287">
      <c r="A287" s="17" t="str">
        <f>IFERROR(__xludf.DUMMYFUNCTION("""COMPUTED_VALUE"""),"Third Wave Coffee")</f>
        <v>Third Wave Coffee</v>
      </c>
      <c r="B287" s="17" t="str">
        <f>IFERROR(__xludf.DUMMYFUNCTION("""COMPUTED_VALUE"""),"Sandeep Sinha ")</f>
        <v>Sandeep Sinha </v>
      </c>
      <c r="C287" s="17" t="str">
        <f>IFERROR(__xludf.DUMMYFUNCTION("""COMPUTED_VALUE"""),"CHRO")</f>
        <v>CHRO</v>
      </c>
      <c r="D287" s="27" t="str">
        <f>IFERROR(__xludf.DUMMYFUNCTION("""COMPUTED_VALUE"""),"https://www.linkedin.com/in/sandeep-sinha-hr/?originalSubdomain=in")</f>
        <v>https://www.linkedin.com/in/sandeep-sinha-hr/?originalSubdomain=in</v>
      </c>
      <c r="E287" s="17" t="str">
        <f>IFERROR(__xludf.DUMMYFUNCTION("""COMPUTED_VALUE"""),"971506403437")</f>
        <v>971506403437</v>
      </c>
      <c r="F287" s="17" t="str">
        <f>IFERROR(__xludf.DUMMYFUNCTION("""COMPUTED_VALUE"""),"sandeep1405@yahoo.com")</f>
        <v>sandeep1405@yahoo.com</v>
      </c>
      <c r="G287" s="17"/>
      <c r="H287" s="17"/>
    </row>
    <row r="288">
      <c r="A288" s="17" t="str">
        <f>IFERROR(__xludf.DUMMYFUNCTION("""COMPUTED_VALUE"""),"Zostel")</f>
        <v>Zostel</v>
      </c>
      <c r="B288" s="17" t="str">
        <f>IFERROR(__xludf.DUMMYFUNCTION("""COMPUTED_VALUE"""),"Dharamveer Singh Chouhan")</f>
        <v>Dharamveer Singh Chouhan</v>
      </c>
      <c r="C288" s="17" t="str">
        <f>IFERROR(__xludf.DUMMYFUNCTION("""COMPUTED_VALUE"""),"co-founder")</f>
        <v>co-founder</v>
      </c>
      <c r="D288" s="27" t="str">
        <f>IFERROR(__xludf.DUMMYFUNCTION("""COMPUTED_VALUE"""),"https://www.linkedin.com/in/dvcoolster/?originalSubdomain=in")</f>
        <v>https://www.linkedin.com/in/dvcoolster/?originalSubdomain=in</v>
      </c>
      <c r="E288" s="17"/>
      <c r="F288" s="17" t="str">
        <f>IFERROR(__xludf.DUMMYFUNCTION("""COMPUTED_VALUE"""),"dharamveer@zostel.com,      dvcoolster@gmail.com")</f>
        <v>dharamveer@zostel.com,      dvcoolster@gmail.com</v>
      </c>
      <c r="G288" s="17"/>
      <c r="H288" s="17"/>
    </row>
    <row r="289">
      <c r="A289" s="17" t="str">
        <f>IFERROR(__xludf.DUMMYFUNCTION("""COMPUTED_VALUE"""),"Zostel")</f>
        <v>Zostel</v>
      </c>
      <c r="B289" s="17" t="str">
        <f>IFERROR(__xludf.DUMMYFUNCTION("""COMPUTED_VALUE"""),"Aviral Gupta ")</f>
        <v>Aviral Gupta </v>
      </c>
      <c r="C289" s="17" t="str">
        <f>IFERROR(__xludf.DUMMYFUNCTION("""COMPUTED_VALUE"""),"CEO")</f>
        <v>CEO</v>
      </c>
      <c r="D289" s="27" t="str">
        <f>IFERROR(__xludf.DUMMYFUNCTION("""COMPUTED_VALUE"""),"https://www.linkedin.com/in/gupta-aviral/?originalSubdomain=in")</f>
        <v>https://www.linkedin.com/in/gupta-aviral/?originalSubdomain=in</v>
      </c>
      <c r="E289" s="17" t="str">
        <f>IFERROR(__xludf.DUMMYFUNCTION("""COMPUTED_VALUE"""),"9580551792")</f>
        <v>9580551792</v>
      </c>
      <c r="F289" s="17" t="str">
        <f>IFERROR(__xludf.DUMMYFUNCTION("""COMPUTED_VALUE"""),"aviral@zostel.com")</f>
        <v>aviral@zostel.com</v>
      </c>
      <c r="G289" s="17"/>
      <c r="H289" s="17"/>
    </row>
    <row r="290">
      <c r="A290" s="17" t="str">
        <f>IFERROR(__xludf.DUMMYFUNCTION("""COMPUTED_VALUE"""),"Zostel")</f>
        <v>Zostel</v>
      </c>
      <c r="B290" s="17" t="str">
        <f>IFERROR(__xludf.DUMMYFUNCTION("""COMPUTED_VALUE"""),"Abhishek B. ")</f>
        <v>Abhishek B. </v>
      </c>
      <c r="C290" s="17" t="str">
        <f>IFERROR(__xludf.DUMMYFUNCTION("""COMPUTED_VALUE"""),"Co-founder")</f>
        <v>Co-founder</v>
      </c>
      <c r="D290" s="27" t="str">
        <f>IFERROR(__xludf.DUMMYFUNCTION("""COMPUTED_VALUE"""),"https://www.linkedin.com/in/abhutra/?originalSubdomain=in")</f>
        <v>https://www.linkedin.com/in/abhutra/?originalSubdomain=in</v>
      </c>
      <c r="E290" s="17"/>
      <c r="F290" s="17" t="str">
        <f>IFERROR(__xludf.DUMMYFUNCTION("""COMPUTED_VALUE"""),"ba@warmstealth.xyz")</f>
        <v>ba@warmstealth.xyz</v>
      </c>
      <c r="G290" s="17"/>
      <c r="H290" s="17"/>
    </row>
    <row r="291">
      <c r="A291" s="17" t="str">
        <f>IFERROR(__xludf.DUMMYFUNCTION("""COMPUTED_VALUE"""),"Chaayos")</f>
        <v>Chaayos</v>
      </c>
      <c r="B291" s="17" t="str">
        <f>IFERROR(__xludf.DUMMYFUNCTION("""COMPUTED_VALUE"""),"Raghav Verma")</f>
        <v>Raghav Verma</v>
      </c>
      <c r="C291" s="17" t="str">
        <f>IFERROR(__xludf.DUMMYFUNCTION("""COMPUTED_VALUE"""),"Co-founder")</f>
        <v>Co-founder</v>
      </c>
      <c r="D291" s="27" t="str">
        <f>IFERROR(__xludf.DUMMYFUNCTION("""COMPUTED_VALUE"""),"linkedin.com/in/raghav-verma-59367349?originalSubdomain=in")</f>
        <v>linkedin.com/in/raghav-verma-59367349?originalSubdomain=in</v>
      </c>
      <c r="E291" s="17"/>
      <c r="F291" s="17" t="str">
        <f>IFERROR(__xludf.DUMMYFUNCTION("""COMPUTED_VALUE"""),"raghavverma1@gmail.com")</f>
        <v>raghavverma1@gmail.com</v>
      </c>
      <c r="G291" s="17"/>
      <c r="H291" s="17"/>
    </row>
    <row r="292">
      <c r="A292" s="17" t="str">
        <f>IFERROR(__xludf.DUMMYFUNCTION("""COMPUTED_VALUE"""),"Chaayos")</f>
        <v>Chaayos</v>
      </c>
      <c r="B292" s="17" t="str">
        <f>IFERROR(__xludf.DUMMYFUNCTION("""COMPUTED_VALUE"""),"Nitin Saluja")</f>
        <v>Nitin Saluja</v>
      </c>
      <c r="C292" s="17" t="str">
        <f>IFERROR(__xludf.DUMMYFUNCTION("""COMPUTED_VALUE"""),"Founder")</f>
        <v>Founder</v>
      </c>
      <c r="D292" s="27" t="str">
        <f>IFERROR(__xludf.DUMMYFUNCTION("""COMPUTED_VALUE"""),"https://www.linkedin.com/in/nitin-saluja-6a88297/?originalSubdomain=in")</f>
        <v>https://www.linkedin.com/in/nitin-saluja-6a88297/?originalSubdomain=in</v>
      </c>
      <c r="E292" s="17"/>
      <c r="F292" s="17" t="str">
        <f>IFERROR(__xludf.DUMMYFUNCTION("""COMPUTED_VALUE"""),"nitin@chaayos.com")</f>
        <v>nitin@chaayos.com</v>
      </c>
      <c r="G292" s="17"/>
      <c r="H292" s="17"/>
    </row>
    <row r="293">
      <c r="A293" s="17" t="str">
        <f>IFERROR(__xludf.DUMMYFUNCTION("""COMPUTED_VALUE"""),"Bewakoof")</f>
        <v>Bewakoof</v>
      </c>
      <c r="B293" s="17" t="str">
        <f>IFERROR(__xludf.DUMMYFUNCTION("""COMPUTED_VALUE"""),"Prabhkiran Singh")</f>
        <v>Prabhkiran Singh</v>
      </c>
      <c r="C293" s="17" t="str">
        <f>IFERROR(__xludf.DUMMYFUNCTION("""COMPUTED_VALUE"""),"Founder and CEO")</f>
        <v>Founder and CEO</v>
      </c>
      <c r="D293" s="27" t="str">
        <f>IFERROR(__xludf.DUMMYFUNCTION("""COMPUTED_VALUE"""),"https://www.linkedin.com/in/prabhkiran-singh-a5124918/?originalSubdomain=in")</f>
        <v>https://www.linkedin.com/in/prabhkiran-singh-a5124918/?originalSubdomain=in</v>
      </c>
      <c r="E293" s="17"/>
      <c r="F293" s="17" t="str">
        <f>IFERROR(__xludf.DUMMYFUNCTION("""COMPUTED_VALUE"""),"prabhkiran@bewakoof.com")</f>
        <v>prabhkiran@bewakoof.com</v>
      </c>
      <c r="G293" s="17"/>
      <c r="H293" s="17"/>
    </row>
    <row r="294">
      <c r="A294" s="17" t="str">
        <f>IFERROR(__xludf.DUMMYFUNCTION("""COMPUTED_VALUE"""),"Apna College")</f>
        <v>Apna College</v>
      </c>
      <c r="B294" s="17" t="str">
        <f>IFERROR(__xludf.DUMMYFUNCTION("""COMPUTED_VALUE"""),"Shradha Khapra")</f>
        <v>Shradha Khapra</v>
      </c>
      <c r="C294" s="17" t="str">
        <f>IFERROR(__xludf.DUMMYFUNCTION("""COMPUTED_VALUE"""),"Co-founder")</f>
        <v>Co-founder</v>
      </c>
      <c r="D294" s="27" t="str">
        <f>IFERROR(__xludf.DUMMYFUNCTION("""COMPUTED_VALUE"""),"https://www.linkedin.com/in/shradha-khapra/?originalSubdomain=in")</f>
        <v>https://www.linkedin.com/in/shradha-khapra/?originalSubdomain=in</v>
      </c>
      <c r="E294" s="17"/>
      <c r="F294" s="17" t="str">
        <f>IFERROR(__xludf.DUMMYFUNCTION("""COMPUTED_VALUE"""),"shradha@digiwagon.com")</f>
        <v>shradha@digiwagon.com</v>
      </c>
      <c r="G294" s="17"/>
      <c r="H294" s="17"/>
    </row>
    <row r="295">
      <c r="A295" s="17" t="str">
        <f>IFERROR(__xludf.DUMMYFUNCTION("""COMPUTED_VALUE"""),"Rupeek")</f>
        <v>Rupeek</v>
      </c>
      <c r="B295" s="17" t="str">
        <f>IFERROR(__xludf.DUMMYFUNCTION("""COMPUTED_VALUE"""),"Sumit Maniyar")</f>
        <v>Sumit Maniyar</v>
      </c>
      <c r="C295" s="17" t="str">
        <f>IFERROR(__xludf.DUMMYFUNCTION("""COMPUTED_VALUE"""),"Founder &amp; CEO")</f>
        <v>Founder &amp; CEO</v>
      </c>
      <c r="D295" s="27" t="str">
        <f>IFERROR(__xludf.DUMMYFUNCTION("""COMPUTED_VALUE"""),"https://www.linkedin.com/in/sumitmaniyar/")</f>
        <v>https://www.linkedin.com/in/sumitmaniyar/</v>
      </c>
      <c r="E295" s="17" t="str">
        <f>IFERROR(__xludf.DUMMYFUNCTION("""COMPUTED_VALUE"""),"919967441787")</f>
        <v>919967441787</v>
      </c>
      <c r="F295" s="17" t="str">
        <f>IFERROR(__xludf.DUMMYFUNCTION("""COMPUTED_VALUE"""),"sumitmaniyar@gmail.com")</f>
        <v>sumitmaniyar@gmail.com</v>
      </c>
      <c r="G295" s="17"/>
      <c r="H295" s="17"/>
    </row>
    <row r="296">
      <c r="A296" s="17" t="str">
        <f>IFERROR(__xludf.DUMMYFUNCTION("""COMPUTED_VALUE"""),"Smallcase")</f>
        <v>Smallcase</v>
      </c>
      <c r="B296" s="17" t="str">
        <f>IFERROR(__xludf.DUMMYFUNCTION("""COMPUTED_VALUE"""),"Vasanth Kamath")</f>
        <v>Vasanth Kamath</v>
      </c>
      <c r="C296" s="17" t="str">
        <f>IFERROR(__xludf.DUMMYFUNCTION("""COMPUTED_VALUE"""),"Founder &amp; CEO")</f>
        <v>Founder &amp; CEO</v>
      </c>
      <c r="D296" s="27" t="str">
        <f>IFERROR(__xludf.DUMMYFUNCTION("""COMPUTED_VALUE"""),"https://www.linkedin.com/in/vasanthskamath/")</f>
        <v>https://www.linkedin.com/in/vasanthskamath/</v>
      </c>
      <c r="E296" s="17" t="str">
        <f>IFERROR(__xludf.DUMMYFUNCTION("""COMPUTED_VALUE"""),"919900870247")</f>
        <v>919900870247</v>
      </c>
      <c r="F296" s="17" t="str">
        <f>IFERROR(__xludf.DUMMYFUNCTION("""COMPUTED_VALUE"""),"vasanth@smallcase.com")</f>
        <v>vasanth@smallcase.com</v>
      </c>
      <c r="G296" s="17"/>
      <c r="H296" s="17"/>
    </row>
    <row r="297">
      <c r="A297" s="17" t="str">
        <f>IFERROR(__xludf.DUMMYFUNCTION("""COMPUTED_VALUE"""),"Smallcase")</f>
        <v>Smallcase</v>
      </c>
      <c r="B297" s="17" t="str">
        <f>IFERROR(__xludf.DUMMYFUNCTION("""COMPUTED_VALUE"""),"Anugrah Shrivastava")</f>
        <v>Anugrah Shrivastava</v>
      </c>
      <c r="C297" s="17" t="str">
        <f>IFERROR(__xludf.DUMMYFUNCTION("""COMPUTED_VALUE"""),"Founder")</f>
        <v>Founder</v>
      </c>
      <c r="D297" s="27" t="str">
        <f>IFERROR(__xludf.DUMMYFUNCTION("""COMPUTED_VALUE"""),"https://www.linkedin.com/in/anugrah-shrivastava-58721422/")</f>
        <v>https://www.linkedin.com/in/anugrah-shrivastava-58721422/</v>
      </c>
      <c r="E297" s="17" t="str">
        <f>IFERROR(__xludf.DUMMYFUNCTION("""COMPUTED_VALUE"""),"919833618995")</f>
        <v>919833618995</v>
      </c>
      <c r="F297" s="17" t="str">
        <f>IFERROR(__xludf.DUMMYFUNCTION("""COMPUTED_VALUE"""),"iitanugrah@gmail.com")</f>
        <v>iitanugrah@gmail.com</v>
      </c>
      <c r="G297" s="17"/>
      <c r="H297" s="17"/>
    </row>
    <row r="298">
      <c r="A298" s="17" t="str">
        <f>IFERROR(__xludf.DUMMYFUNCTION("""COMPUTED_VALUE"""),"Smallcase")</f>
        <v>Smallcase</v>
      </c>
      <c r="B298" s="17" t="str">
        <f>IFERROR(__xludf.DUMMYFUNCTION("""COMPUTED_VALUE"""),"Rohan Gupta")</f>
        <v>Rohan Gupta</v>
      </c>
      <c r="C298" s="17" t="str">
        <f>IFERROR(__xludf.DUMMYFUNCTION("""COMPUTED_VALUE"""),"Founder &amp; CTO")</f>
        <v>Founder &amp; CTO</v>
      </c>
      <c r="D298" s="27" t="str">
        <f>IFERROR(__xludf.DUMMYFUNCTION("""COMPUTED_VALUE"""),"https://www.linkedin.com/in/rohan-gupta-86289924/")</f>
        <v>https://www.linkedin.com/in/rohan-gupta-86289924/</v>
      </c>
      <c r="E298" s="17"/>
      <c r="F298" s="17"/>
      <c r="G298" s="17"/>
      <c r="H298" s="17"/>
    </row>
    <row r="299">
      <c r="A299" s="17" t="str">
        <f>IFERROR(__xludf.DUMMYFUNCTION("""COMPUTED_VALUE"""),"Vivriti Capital")</f>
        <v>Vivriti Capital</v>
      </c>
      <c r="B299" s="17" t="str">
        <f>IFERROR(__xludf.DUMMYFUNCTION("""COMPUTED_VALUE"""),"Vineet Sukumar")</f>
        <v>Vineet Sukumar</v>
      </c>
      <c r="C299" s="17" t="str">
        <f>IFERROR(__xludf.DUMMYFUNCTION("""COMPUTED_VALUE"""),"Founder &amp; MD")</f>
        <v>Founder &amp; MD</v>
      </c>
      <c r="D299" s="27" t="str">
        <f>IFERROR(__xludf.DUMMYFUNCTION("""COMPUTED_VALUE"""),"https://www.linkedin.com/in/vineet-sukumar-5264b32/")</f>
        <v>https://www.linkedin.com/in/vineet-sukumar-5264b32/</v>
      </c>
      <c r="E299" s="17"/>
      <c r="F299" s="17" t="str">
        <f>IFERROR(__xludf.DUMMYFUNCTION("""COMPUTED_VALUE"""),"vineet@vivriticapital.com")</f>
        <v>vineet@vivriticapital.com</v>
      </c>
      <c r="G299" s="17"/>
      <c r="H299" s="17"/>
    </row>
    <row r="300">
      <c r="A300" s="17" t="str">
        <f>IFERROR(__xludf.DUMMYFUNCTION("""COMPUTED_VALUE"""),"Vivriti Capital")</f>
        <v>Vivriti Capital</v>
      </c>
      <c r="B300" s="17" t="str">
        <f>IFERROR(__xludf.DUMMYFUNCTION("""COMPUTED_VALUE"""),"Gaurav Kumar")</f>
        <v>Gaurav Kumar</v>
      </c>
      <c r="C300" s="17" t="str">
        <f>IFERROR(__xludf.DUMMYFUNCTION("""COMPUTED_VALUE"""),"Founder")</f>
        <v>Founder</v>
      </c>
      <c r="D300" s="27" t="str">
        <f>IFERROR(__xludf.DUMMYFUNCTION("""COMPUTED_VALUE"""),"https://www.linkedin.com/in/gaurav-kumar-a6a3245/")</f>
        <v>https://www.linkedin.com/in/gaurav-kumar-a6a3245/</v>
      </c>
      <c r="E300" s="17"/>
      <c r="F300" s="17"/>
      <c r="G300" s="17"/>
      <c r="H300" s="17"/>
    </row>
    <row r="301">
      <c r="A301" s="17" t="str">
        <f>IFERROR(__xludf.DUMMYFUNCTION("""COMPUTED_VALUE"""),"Indifi")</f>
        <v>Indifi</v>
      </c>
      <c r="B301" s="17" t="str">
        <f>IFERROR(__xludf.DUMMYFUNCTION("""COMPUTED_VALUE"""),"Alok Mittal")</f>
        <v>Alok Mittal</v>
      </c>
      <c r="C301" s="17" t="str">
        <f>IFERROR(__xludf.DUMMYFUNCTION("""COMPUTED_VALUE"""),"Co-founder &amp; MD")</f>
        <v>Co-founder &amp; MD</v>
      </c>
      <c r="D301" s="27" t="str">
        <f>IFERROR(__xludf.DUMMYFUNCTION("""COMPUTED_VALUE"""),"https://www.linkedin.com/in/alok-mittal-590a/")</f>
        <v>https://www.linkedin.com/in/alok-mittal-590a/</v>
      </c>
      <c r="E301" s="17" t="str">
        <f>IFERROR(__xludf.DUMMYFUNCTION("""COMPUTED_VALUE""")," 98106 48825")</f>
        <v> 98106 48825</v>
      </c>
      <c r="F301" s="17" t="str">
        <f>IFERROR(__xludf.DUMMYFUNCTION("""COMPUTED_VALUE"""),"alokmittal@gmail.com")</f>
        <v>alokmittal@gmail.com</v>
      </c>
      <c r="G301" s="17"/>
      <c r="H301" s="17"/>
    </row>
    <row r="302">
      <c r="A302" s="17" t="str">
        <f>IFERROR(__xludf.DUMMYFUNCTION("""COMPUTED_VALUE"""),"Indifi")</f>
        <v>Indifi</v>
      </c>
      <c r="B302" s="17" t="str">
        <f>IFERROR(__xludf.DUMMYFUNCTION("""COMPUTED_VALUE"""),"Siddharth Mahanot")</f>
        <v>Siddharth Mahanot</v>
      </c>
      <c r="C302" s="17" t="str">
        <f>IFERROR(__xludf.DUMMYFUNCTION("""COMPUTED_VALUE"""),"Co-founder &amp; COO")</f>
        <v>Co-founder &amp; COO</v>
      </c>
      <c r="D302" s="27" t="str">
        <f>IFERROR(__xludf.DUMMYFUNCTION("""COMPUTED_VALUE"""),"https://www.linkedin.com/in/siddharth-mahanot-173305/")</f>
        <v>https://www.linkedin.com/in/siddharth-mahanot-173305/</v>
      </c>
      <c r="E302" s="17"/>
      <c r="F302" s="17"/>
      <c r="G302" s="17"/>
      <c r="H302" s="17"/>
    </row>
    <row r="303">
      <c r="A303" s="17" t="str">
        <f>IFERROR(__xludf.DUMMYFUNCTION("""COMPUTED_VALUE"""),"Aye Finance")</f>
        <v>Aye Finance</v>
      </c>
      <c r="B303" s="17" t="str">
        <f>IFERROR(__xludf.DUMMYFUNCTION("""COMPUTED_VALUE"""),"Sanjay Sharma")</f>
        <v>Sanjay Sharma</v>
      </c>
      <c r="C303" s="17" t="str">
        <f>IFERROR(__xludf.DUMMYFUNCTION("""COMPUTED_VALUE"""),"MD &amp; Founder")</f>
        <v>MD &amp; Founder</v>
      </c>
      <c r="D303" s="27" t="str">
        <f>IFERROR(__xludf.DUMMYFUNCTION("""COMPUTED_VALUE"""),"https://www.linkedin.com/in/sanjaysharmaaye/")</f>
        <v>https://www.linkedin.com/in/sanjaysharmaaye/</v>
      </c>
      <c r="E303" s="17" t="str">
        <f>IFERROR(__xludf.DUMMYFUNCTION("""COMPUTED_VALUE"""),"919650111731")</f>
        <v>919650111731</v>
      </c>
      <c r="F303" s="17" t="str">
        <f>IFERROR(__xludf.DUMMYFUNCTION("""COMPUTED_VALUE"""),"ssharmain@gmail.com")</f>
        <v>ssharmain@gmail.com</v>
      </c>
      <c r="G303" s="17"/>
      <c r="H303" s="17"/>
    </row>
    <row r="304">
      <c r="A304" s="17" t="str">
        <f>IFERROR(__xludf.DUMMYFUNCTION("""COMPUTED_VALUE"""),"Aye Finance")</f>
        <v>Aye Finance</v>
      </c>
      <c r="B304" s="17" t="str">
        <f>IFERROR(__xludf.DUMMYFUNCTION("""COMPUTED_VALUE"""),"Vikram Jetley")</f>
        <v>Vikram Jetley</v>
      </c>
      <c r="C304" s="17" t="str">
        <f>IFERROR(__xludf.DUMMYFUNCTION("""COMPUTED_VALUE"""),"Co-founder")</f>
        <v>Co-founder</v>
      </c>
      <c r="D304" s="27" t="str">
        <f>IFERROR(__xludf.DUMMYFUNCTION("""COMPUTED_VALUE"""),"https://www.linkedin.com/in/vikram-jetley-b3489816/")</f>
        <v>https://www.linkedin.com/in/vikram-jetley-b3489816/</v>
      </c>
      <c r="E304" s="17"/>
      <c r="F304" s="17"/>
      <c r="G304" s="17"/>
      <c r="H304" s="17"/>
    </row>
    <row r="305">
      <c r="A305" s="17" t="str">
        <f>IFERROR(__xludf.DUMMYFUNCTION("""COMPUTED_VALUE"""),"Jupiter")</f>
        <v>Jupiter</v>
      </c>
      <c r="B305" s="17" t="str">
        <f>IFERROR(__xludf.DUMMYFUNCTION("""COMPUTED_VALUE"""),"Jitendra Gupta")</f>
        <v>Jitendra Gupta</v>
      </c>
      <c r="C305" s="17" t="str">
        <f>IFERROR(__xludf.DUMMYFUNCTION("""COMPUTED_VALUE"""),"Founder &amp; CEO")</f>
        <v>Founder &amp; CEO</v>
      </c>
      <c r="D305" s="27" t="str">
        <f>IFERROR(__xludf.DUMMYFUNCTION("""COMPUTED_VALUE"""),"linkedin.com/in/guptajiten?originalSubdomain=in")</f>
        <v>linkedin.com/in/guptajiten?originalSubdomain=in</v>
      </c>
      <c r="E305" s="17" t="str">
        <f>IFERROR(__xludf.DUMMYFUNCTION("""COMPUTED_VALUE"""),"97699 33329")</f>
        <v>97699 33329</v>
      </c>
      <c r="F305" s="17" t="str">
        <f>IFERROR(__xludf.DUMMYFUNCTION("""COMPUTED_VALUE"""),"jiten@jupiter.money")</f>
        <v>jiten@jupiter.money</v>
      </c>
      <c r="G305" s="17"/>
      <c r="H305" s="17"/>
    </row>
    <row r="306">
      <c r="A306" s="17" t="str">
        <f>IFERROR(__xludf.DUMMYFUNCTION("""COMPUTED_VALUE"""),"Niyo")</f>
        <v>Niyo</v>
      </c>
      <c r="B306" s="17" t="str">
        <f>IFERROR(__xludf.DUMMYFUNCTION("""COMPUTED_VALUE"""),"Virender Bisht")</f>
        <v>Virender Bisht</v>
      </c>
      <c r="C306" s="17" t="str">
        <f>IFERROR(__xludf.DUMMYFUNCTION("""COMPUTED_VALUE"""),"Co-founder &amp; CTO")</f>
        <v>Co-founder &amp; CTO</v>
      </c>
      <c r="D306" s="27" t="str">
        <f>IFERROR(__xludf.DUMMYFUNCTION("""COMPUTED_VALUE"""),"https://www.linkedin.com/in/virender-bisht-a6b1078/")</f>
        <v>https://www.linkedin.com/in/virender-bisht-a6b1078/</v>
      </c>
      <c r="E306" s="17"/>
      <c r="F306" s="17"/>
      <c r="G306" s="17"/>
      <c r="H306" s="17"/>
    </row>
    <row r="307">
      <c r="A307" s="17" t="str">
        <f>IFERROR(__xludf.DUMMYFUNCTION("""COMPUTED_VALUE"""),"Fi (Epifi)")</f>
        <v>Fi (Epifi)</v>
      </c>
      <c r="B307" s="17" t="str">
        <f>IFERROR(__xludf.DUMMYFUNCTION("""COMPUTED_VALUE"""),"Sujith Narayanan")</f>
        <v>Sujith Narayanan</v>
      </c>
      <c r="C307" s="17" t="str">
        <f>IFERROR(__xludf.DUMMYFUNCTION("""COMPUTED_VALUE"""),"Co-founder &amp; CEO")</f>
        <v>Co-founder &amp; CEO</v>
      </c>
      <c r="D307" s="27" t="str">
        <f>IFERROR(__xludf.DUMMYFUNCTION("""COMPUTED_VALUE"""),"https://www.linkedin.com/in/sujithnarayanan/")</f>
        <v>https://www.linkedin.com/in/sujithnarayanan/</v>
      </c>
      <c r="E307" s="17" t="str">
        <f>IFERROR(__xludf.DUMMYFUNCTION("""COMPUTED_VALUE"""),"77385 08040")</f>
        <v>77385 08040</v>
      </c>
      <c r="F307" s="17" t="str">
        <f>IFERROR(__xludf.DUMMYFUNCTION("""COMPUTED_VALUE"""),"sujith@epifi.com")</f>
        <v>sujith@epifi.com</v>
      </c>
      <c r="G307" s="17"/>
      <c r="H307" s="17"/>
    </row>
    <row r="308">
      <c r="A308" s="17" t="str">
        <f>IFERROR(__xludf.DUMMYFUNCTION("""COMPUTED_VALUE"""),"Fi (Epifi)")</f>
        <v>Fi (Epifi)</v>
      </c>
      <c r="B308" s="17" t="str">
        <f>IFERROR(__xludf.DUMMYFUNCTION("""COMPUTED_VALUE"""),"Sumit Gwalani")</f>
        <v>Sumit Gwalani</v>
      </c>
      <c r="C308" s="17" t="str">
        <f>IFERROR(__xludf.DUMMYFUNCTION("""COMPUTED_VALUE"""),"Co-founder")</f>
        <v>Co-founder</v>
      </c>
      <c r="D308" s="27" t="str">
        <f>IFERROR(__xludf.DUMMYFUNCTION("""COMPUTED_VALUE"""),"https://www.linkedin.com/in/sumitgwalani/")</f>
        <v>https://www.linkedin.com/in/sumitgwalani/</v>
      </c>
      <c r="E308" s="17"/>
      <c r="F308" s="17"/>
      <c r="G308" s="17"/>
      <c r="H308" s="17"/>
    </row>
    <row r="309">
      <c r="A309" s="17" t="str">
        <f>IFERROR(__xludf.DUMMYFUNCTION("""COMPUTED_VALUE"""),"Refyne")</f>
        <v>Refyne</v>
      </c>
      <c r="B309" s="17" t="str">
        <f>IFERROR(__xludf.DUMMYFUNCTION("""COMPUTED_VALUE"""),"Chitresh Sharma")</f>
        <v>Chitresh Sharma</v>
      </c>
      <c r="C309" s="17" t="str">
        <f>IFERROR(__xludf.DUMMYFUNCTION("""COMPUTED_VALUE"""),"Co-founder &amp; CEO")</f>
        <v>Co-founder &amp; CEO</v>
      </c>
      <c r="D309" s="27" t="str">
        <f>IFERROR(__xludf.DUMMYFUNCTION("""COMPUTED_VALUE"""),"https://www.linkedin.com/in/chitreshsharma/")</f>
        <v>https://www.linkedin.com/in/chitreshsharma/</v>
      </c>
      <c r="E309" s="17" t="str">
        <f>IFERROR(__xludf.DUMMYFUNCTION("""COMPUTED_VALUE"""),"99812 03722")</f>
        <v>99812 03722</v>
      </c>
      <c r="F309" s="17" t="str">
        <f>IFERROR(__xludf.DUMMYFUNCTION("""COMPUTED_VALUE"""),"sharmachitresh90@gmail.com")</f>
        <v>sharmachitresh90@gmail.com</v>
      </c>
      <c r="G309" s="17"/>
      <c r="H309" s="17"/>
    </row>
    <row r="310">
      <c r="A310" s="17" t="str">
        <f>IFERROR(__xludf.DUMMYFUNCTION("""COMPUTED_VALUE"""),"Refyne")</f>
        <v>Refyne</v>
      </c>
      <c r="B310" s="17" t="str">
        <f>IFERROR(__xludf.DUMMYFUNCTION("""COMPUTED_VALUE"""),"Apoorv Kumar")</f>
        <v>Apoorv Kumar</v>
      </c>
      <c r="C310" s="17" t="str">
        <f>IFERROR(__xludf.DUMMYFUNCTION("""COMPUTED_VALUE"""),"Co-founder &amp; CTO")</f>
        <v>Co-founder &amp; CTO</v>
      </c>
      <c r="D310" s="27" t="str">
        <f>IFERROR(__xludf.DUMMYFUNCTION("""COMPUTED_VALUE"""),"https://www.linkedin.com/in/apoorvkumar/")</f>
        <v>https://www.linkedin.com/in/apoorvkumar/</v>
      </c>
      <c r="E310" s="17"/>
      <c r="F310" s="17"/>
      <c r="G310" s="17"/>
      <c r="H310" s="17"/>
    </row>
    <row r="311">
      <c r="A311" s="17" t="str">
        <f>IFERROR(__xludf.DUMMYFUNCTION("""COMPUTED_VALUE"""),"Uni Cards")</f>
        <v>Uni Cards</v>
      </c>
      <c r="B311" s="17" t="str">
        <f>IFERROR(__xludf.DUMMYFUNCTION("""COMPUTED_VALUE"""),"Nitin Gupta")</f>
        <v>Nitin Gupta</v>
      </c>
      <c r="C311" s="17" t="str">
        <f>IFERROR(__xludf.DUMMYFUNCTION("""COMPUTED_VALUE"""),"Founder &amp; CEO")</f>
        <v>Founder &amp; CEO</v>
      </c>
      <c r="D311" s="27" t="str">
        <f>IFERROR(__xludf.DUMMYFUNCTION("""COMPUTED_VALUE"""),"https://www.linkedin.com/posts/joydipgupta_nitin-gupta-founder-ceo-uni-cards-on-activity-7290657794477719552-gw7W/")</f>
        <v>https://www.linkedin.com/posts/joydipgupta_nitin-gupta-founder-ceo-uni-cards-on-activity-7290657794477719552-gw7W/</v>
      </c>
      <c r="E311" s="17" t="str">
        <f>IFERROR(__xludf.DUMMYFUNCTION("""COMPUTED_VALUE"""),"919810119300")</f>
        <v>919810119300</v>
      </c>
      <c r="F311" s="17" t="str">
        <f>IFERROR(__xludf.DUMMYFUNCTION("""COMPUTED_VALUE"""),"nitinguptaiitd@gmail.com")</f>
        <v>nitinguptaiitd@gmail.com</v>
      </c>
      <c r="G311" s="17"/>
      <c r="H311" s="17"/>
    </row>
    <row r="312">
      <c r="A312" s="17" t="str">
        <f>IFERROR(__xludf.DUMMYFUNCTION("""COMPUTED_VALUE"""),"Uni Cards")</f>
        <v>Uni Cards</v>
      </c>
      <c r="B312" s="17" t="str">
        <f>IFERROR(__xludf.DUMMYFUNCTION("""COMPUTED_VALUE"""),"Prateek Jindal")</f>
        <v>Prateek Jindal</v>
      </c>
      <c r="C312" s="17" t="str">
        <f>IFERROR(__xludf.DUMMYFUNCTION("""COMPUTED_VALUE"""),"Co-founder")</f>
        <v>Co-founder</v>
      </c>
      <c r="D312" s="27" t="str">
        <f>IFERROR(__xludf.DUMMYFUNCTION("""COMPUTED_VALUE"""),"https://www.linkedin.com/in/prateek-jindal-0560b213/")</f>
        <v>https://www.linkedin.com/in/prateek-jindal-0560b213/</v>
      </c>
      <c r="E312" s="17"/>
      <c r="F312" s="17"/>
      <c r="G312" s="17"/>
      <c r="H312" s="17"/>
    </row>
    <row r="313">
      <c r="A313" s="17" t="str">
        <f>IFERROR(__xludf.DUMMYFUNCTION("""COMPUTED_VALUE"""),"Jar")</f>
        <v>Jar</v>
      </c>
      <c r="B313" s="17" t="str">
        <f>IFERROR(__xludf.DUMMYFUNCTION("""COMPUTED_VALUE"""),"Nishchay AG")</f>
        <v>Nishchay AG</v>
      </c>
      <c r="C313" s="17" t="str">
        <f>IFERROR(__xludf.DUMMYFUNCTION("""COMPUTED_VALUE"""),"Co-founder &amp; CEO")</f>
        <v>Co-founder &amp; CEO</v>
      </c>
      <c r="D313" s="27" t="str">
        <f>IFERROR(__xludf.DUMMYFUNCTION("""COMPUTED_VALUE"""),"https://www.linkedin.com/in/nishchay-ag-904b325/")</f>
        <v>https://www.linkedin.com/in/nishchay-ag-904b325/</v>
      </c>
      <c r="E313" s="17" t="str">
        <f>IFERROR(__xludf.DUMMYFUNCTION("""COMPUTED_VALUE"""),"919986843412")</f>
        <v>919986843412</v>
      </c>
      <c r="F313" s="17" t="str">
        <f>IFERROR(__xludf.DUMMYFUNCTION("""COMPUTED_VALUE"""),"agnishchay@gmail.com")</f>
        <v>agnishchay@gmail.com</v>
      </c>
      <c r="G313" s="17"/>
      <c r="H313" s="17"/>
    </row>
    <row r="314">
      <c r="A314" s="17" t="str">
        <f>IFERROR(__xludf.DUMMYFUNCTION("""COMPUTED_VALUE"""),"Jar")</f>
        <v>Jar</v>
      </c>
      <c r="B314" s="17" t="str">
        <f>IFERROR(__xludf.DUMMYFUNCTION("""COMPUTED_VALUE"""),"Misbah Ashraf")</f>
        <v>Misbah Ashraf</v>
      </c>
      <c r="C314" s="17" t="str">
        <f>IFERROR(__xludf.DUMMYFUNCTION("""COMPUTED_VALUE"""),"Co-founder &amp; CPO")</f>
        <v>Co-founder &amp; CPO</v>
      </c>
      <c r="D314" s="27" t="str">
        <f>IFERROR(__xludf.DUMMYFUNCTION("""COMPUTED_VALUE"""),"https://www.linkedin.com/in/misbahashraf/")</f>
        <v>https://www.linkedin.com/in/misbahashraf/</v>
      </c>
      <c r="E314" s="17"/>
      <c r="F314" s="17"/>
      <c r="G314" s="17"/>
      <c r="H314" s="17"/>
    </row>
    <row r="315">
      <c r="A315" s="17" t="str">
        <f>IFERROR(__xludf.DUMMYFUNCTION("""COMPUTED_VALUE"""),"Fibe (EarlySalary)")</f>
        <v>Fibe (EarlySalary)</v>
      </c>
      <c r="B315" s="17" t="str">
        <f>IFERROR(__xludf.DUMMYFUNCTION("""COMPUTED_VALUE"""),"Akshay Mehrotra")</f>
        <v>Akshay Mehrotra</v>
      </c>
      <c r="C315" s="17" t="str">
        <f>IFERROR(__xludf.DUMMYFUNCTION("""COMPUTED_VALUE"""),"Co-founder &amp; CEO")</f>
        <v>Co-founder &amp; CEO</v>
      </c>
      <c r="D315" s="27" t="str">
        <f>IFERROR(__xludf.DUMMYFUNCTION("""COMPUTED_VALUE"""),"https://www.linkedin.com/in/akshay-mehrotra-b671925/")</f>
        <v>https://www.linkedin.com/in/akshay-mehrotra-b671925/</v>
      </c>
      <c r="E315" s="17" t="str">
        <f>IFERROR(__xludf.DUMMYFUNCTION("""COMPUTED_VALUE"""),"919823443861")</f>
        <v>919823443861</v>
      </c>
      <c r="F315" s="17" t="str">
        <f>IFERROR(__xludf.DUMMYFUNCTION("""COMPUTED_VALUE"""),"akxmehrotra@gmail.com")</f>
        <v>akxmehrotra@gmail.com</v>
      </c>
      <c r="G315" s="17"/>
      <c r="H315" s="17"/>
    </row>
    <row r="316">
      <c r="A316" s="17" t="str">
        <f>IFERROR(__xludf.DUMMYFUNCTION("""COMPUTED_VALUE"""),"Fibe (EarlySalary)")</f>
        <v>Fibe (EarlySalary)</v>
      </c>
      <c r="B316" s="17" t="str">
        <f>IFERROR(__xludf.DUMMYFUNCTION("""COMPUTED_VALUE"""),"Ashish Goyal")</f>
        <v>Ashish Goyal</v>
      </c>
      <c r="C316" s="17" t="str">
        <f>IFERROR(__xludf.DUMMYFUNCTION("""COMPUTED_VALUE"""),"Co-founder &amp; CFO")</f>
        <v>Co-founder &amp; CFO</v>
      </c>
      <c r="D316" s="27" t="str">
        <f>IFERROR(__xludf.DUMMYFUNCTION("""COMPUTED_VALUE"""),"https://www.linkedin.com/in/ashish-goyal-a5554313/")</f>
        <v>https://www.linkedin.com/in/ashish-goyal-a5554313/</v>
      </c>
      <c r="E316" s="17"/>
      <c r="F316" s="17"/>
      <c r="G316" s="17"/>
      <c r="H316" s="17"/>
    </row>
    <row r="317">
      <c r="A317" s="17" t="str">
        <f>IFERROR(__xludf.DUMMYFUNCTION("""COMPUTED_VALUE"""),"Classplus")</f>
        <v>Classplus</v>
      </c>
      <c r="B317" s="17" t="str">
        <f>IFERROR(__xludf.DUMMYFUNCTION("""COMPUTED_VALUE"""),"Mukul Rustagi")</f>
        <v>Mukul Rustagi</v>
      </c>
      <c r="C317" s="17" t="str">
        <f>IFERROR(__xludf.DUMMYFUNCTION("""COMPUTED_VALUE"""),"Co-founder &amp; CEO")</f>
        <v>Co-founder &amp; CEO</v>
      </c>
      <c r="D317" s="27" t="str">
        <f>IFERROR(__xludf.DUMMYFUNCTION("""COMPUTED_VALUE"""),"https://www.linkedin.com/in/mukul-rustagi-45462316/")</f>
        <v>https://www.linkedin.com/in/mukul-rustagi-45462316/</v>
      </c>
      <c r="E317" s="17" t="str">
        <f>IFERROR(__xludf.DUMMYFUNCTION("""COMPUTED_VALUE"""),"88004 46892")</f>
        <v>88004 46892</v>
      </c>
      <c r="F317" s="17" t="str">
        <f>IFERROR(__xludf.DUMMYFUNCTION("""COMPUTED_VALUE"""),"mrik.mukul@gmail.com")</f>
        <v>mrik.mukul@gmail.com</v>
      </c>
      <c r="G317" s="17"/>
      <c r="H317" s="17"/>
    </row>
    <row r="318">
      <c r="A318" s="17" t="str">
        <f>IFERROR(__xludf.DUMMYFUNCTION("""COMPUTED_VALUE"""),"Classplus")</f>
        <v>Classplus</v>
      </c>
      <c r="B318" s="17" t="str">
        <f>IFERROR(__xludf.DUMMYFUNCTION("""COMPUTED_VALUE"""),"Bhaswat Agarwal")</f>
        <v>Bhaswat Agarwal</v>
      </c>
      <c r="C318" s="17" t="str">
        <f>IFERROR(__xludf.DUMMYFUNCTION("""COMPUTED_VALUE"""),"Co-founder &amp; COO")</f>
        <v>Co-founder &amp; COO</v>
      </c>
      <c r="D318" s="27" t="str">
        <f>IFERROR(__xludf.DUMMYFUNCTION("""COMPUTED_VALUE"""),"https://www.linkedin.com/in/bhaswat-agarwal-classplus/")</f>
        <v>https://www.linkedin.com/in/bhaswat-agarwal-classplus/</v>
      </c>
      <c r="E318" s="17"/>
      <c r="F318" s="17"/>
      <c r="G318" s="17"/>
      <c r="H318" s="17"/>
    </row>
    <row r="319">
      <c r="A319" s="17" t="str">
        <f>IFERROR(__xludf.DUMMYFUNCTION("""COMPUTED_VALUE"""),"Teachmint")</f>
        <v>Teachmint</v>
      </c>
      <c r="B319" s="17" t="str">
        <f>IFERROR(__xludf.DUMMYFUNCTION("""COMPUTED_VALUE"""),"Mihir Gupta")</f>
        <v>Mihir Gupta</v>
      </c>
      <c r="C319" s="17" t="str">
        <f>IFERROR(__xludf.DUMMYFUNCTION("""COMPUTED_VALUE"""),"Co-founder &amp; CEO")</f>
        <v>Co-founder &amp; CEO</v>
      </c>
      <c r="D319" s="27" t="str">
        <f>IFERROR(__xludf.DUMMYFUNCTION("""COMPUTED_VALUE"""),"https://www.linkedin.com/in/gmihir/")</f>
        <v>https://www.linkedin.com/in/gmihir/</v>
      </c>
      <c r="E319" s="17" t="str">
        <f>IFERROR(__xludf.DUMMYFUNCTION("""COMPUTED_VALUE"""),"98207 18028")</f>
        <v>98207 18028</v>
      </c>
      <c r="F319" s="17" t="str">
        <f>IFERROR(__xludf.DUMMYFUNCTION("""COMPUTED_VALUE"""),"mihir0492@gmail.com")</f>
        <v>mihir0492@gmail.com</v>
      </c>
      <c r="G319" s="17"/>
      <c r="H319" s="17"/>
    </row>
    <row r="320">
      <c r="A320" s="17" t="str">
        <f>IFERROR(__xludf.DUMMYFUNCTION("""COMPUTED_VALUE"""),"Teachmint")</f>
        <v>Teachmint</v>
      </c>
      <c r="B320" s="17" t="str">
        <f>IFERROR(__xludf.DUMMYFUNCTION("""COMPUTED_VALUE"""),"Payoj Jain")</f>
        <v>Payoj Jain</v>
      </c>
      <c r="C320" s="17" t="str">
        <f>IFERROR(__xludf.DUMMYFUNCTION("""COMPUTED_VALUE"""),"Co-founder &amp; CPO")</f>
        <v>Co-founder &amp; CPO</v>
      </c>
      <c r="D320" s="27" t="str">
        <f>IFERROR(__xludf.DUMMYFUNCTION("""COMPUTED_VALUE"""),"https://www.linkedin.com/in/payoj-jain/")</f>
        <v>https://www.linkedin.com/in/payoj-jain/</v>
      </c>
      <c r="E320" s="17"/>
      <c r="F320" s="17"/>
      <c r="G320" s="17"/>
      <c r="H320" s="17"/>
    </row>
    <row r="321">
      <c r="A321" s="17" t="str">
        <f>IFERROR(__xludf.DUMMYFUNCTION("""COMPUTED_VALUE"""),"Teachmint")</f>
        <v>Teachmint</v>
      </c>
      <c r="B321" s="17" t="str">
        <f>IFERROR(__xludf.DUMMYFUNCTION("""COMPUTED_VALUE"""),"Divyansh Bordia")</f>
        <v>Divyansh Bordia</v>
      </c>
      <c r="C321" s="17" t="str">
        <f>IFERROR(__xludf.DUMMYFUNCTION("""COMPUTED_VALUE"""),"Co-founder &amp; COO")</f>
        <v>Co-founder &amp; COO</v>
      </c>
      <c r="D321" s="27" t="str">
        <f>IFERROR(__xludf.DUMMYFUNCTION("""COMPUTED_VALUE"""),"https://www.linkedin.com/in/divyansh-bordia/")</f>
        <v>https://www.linkedin.com/in/divyansh-bordia/</v>
      </c>
      <c r="E321" s="17"/>
      <c r="F321" s="17"/>
      <c r="G321" s="17"/>
      <c r="H321" s="17"/>
    </row>
    <row r="322">
      <c r="A322" s="17" t="str">
        <f>IFERROR(__xludf.DUMMYFUNCTION("""COMPUTED_VALUE"""),"Cuemath")</f>
        <v>Cuemath</v>
      </c>
      <c r="B322" s="17" t="str">
        <f>IFERROR(__xludf.DUMMYFUNCTION("""COMPUTED_VALUE"""),"Manan Khurma")</f>
        <v>Manan Khurma</v>
      </c>
      <c r="C322" s="17" t="str">
        <f>IFERROR(__xludf.DUMMYFUNCTION("""COMPUTED_VALUE"""),"Founder &amp; CEO")</f>
        <v>Founder &amp; CEO</v>
      </c>
      <c r="D322" s="27" t="str">
        <f>IFERROR(__xludf.DUMMYFUNCTION("""COMPUTED_VALUE"""),"https://www.linkedin.com/in/manankhurma/")</f>
        <v>https://www.linkedin.com/in/manankhurma/</v>
      </c>
      <c r="E322" s="17"/>
      <c r="F322" s="17" t="str">
        <f>IFERROR(__xludf.DUMMYFUNCTION("""COMPUTED_VALUE"""),"manan@cuemath.com")</f>
        <v>manan@cuemath.com</v>
      </c>
      <c r="G322" s="17"/>
      <c r="H322" s="17"/>
    </row>
    <row r="323">
      <c r="A323" s="17" t="str">
        <f>IFERROR(__xludf.DUMMYFUNCTION("""COMPUTED_VALUE"""),"Scaler")</f>
        <v>Scaler</v>
      </c>
      <c r="B323" s="17" t="str">
        <f>IFERROR(__xludf.DUMMYFUNCTION("""COMPUTED_VALUE"""),"Abhimanyu Saxena")</f>
        <v>Abhimanyu Saxena</v>
      </c>
      <c r="C323" s="17" t="str">
        <f>IFERROR(__xludf.DUMMYFUNCTION("""COMPUTED_VALUE"""),"Co-founder")</f>
        <v>Co-founder</v>
      </c>
      <c r="D323" s="27" t="str">
        <f>IFERROR(__xludf.DUMMYFUNCTION("""COMPUTED_VALUE"""),"https://www.linkedin.com/in/abhimanyusaxena/")</f>
        <v>https://www.linkedin.com/in/abhimanyusaxena/</v>
      </c>
      <c r="E323" s="17" t="str">
        <f>IFERROR(__xludf.DUMMYFUNCTION("""COMPUTED_VALUE"""),"99237 04608")</f>
        <v>99237 04608</v>
      </c>
      <c r="F323" s="17" t="str">
        <f>IFERROR(__xludf.DUMMYFUNCTION("""COMPUTED_VALUE"""),"abhimanyu@scaler.com")</f>
        <v>abhimanyu@scaler.com</v>
      </c>
      <c r="G323" s="17"/>
      <c r="H323" s="17"/>
    </row>
    <row r="324">
      <c r="A324" s="17" t="str">
        <f>IFERROR(__xludf.DUMMYFUNCTION("""COMPUTED_VALUE"""),"Scaler")</f>
        <v>Scaler</v>
      </c>
      <c r="B324" s="17" t="str">
        <f>IFERROR(__xludf.DUMMYFUNCTION("""COMPUTED_VALUE"""),"Anshuman Singh")</f>
        <v>Anshuman Singh</v>
      </c>
      <c r="C324" s="17" t="str">
        <f>IFERROR(__xludf.DUMMYFUNCTION("""COMPUTED_VALUE"""),"Co-founder")</f>
        <v>Co-founder</v>
      </c>
      <c r="D324" s="27" t="str">
        <f>IFERROR(__xludf.DUMMYFUNCTION("""COMPUTED_VALUE"""),"https://www.linkedin.com/in/anshuman-singh-scaler/")</f>
        <v>https://www.linkedin.com/in/anshuman-singh-scaler/</v>
      </c>
      <c r="E324" s="17"/>
      <c r="F324" s="17"/>
      <c r="G324" s="17"/>
      <c r="H324" s="17"/>
    </row>
    <row r="325">
      <c r="A325" s="17" t="str">
        <f>IFERROR(__xludf.DUMMYFUNCTION("""COMPUTED_VALUE"""),"Adda247")</f>
        <v>Adda247</v>
      </c>
      <c r="B325" s="17" t="str">
        <f>IFERROR(__xludf.DUMMYFUNCTION("""COMPUTED_VALUE"""),"Anil Nagar")</f>
        <v>Anil Nagar</v>
      </c>
      <c r="C325" s="17" t="str">
        <f>IFERROR(__xludf.DUMMYFUNCTION("""COMPUTED_VALUE"""),"Founder &amp; CEO")</f>
        <v>Founder &amp; CEO</v>
      </c>
      <c r="D325" s="27" t="str">
        <f>IFERROR(__xludf.DUMMYFUNCTION("""COMPUTED_VALUE"""),"https://www.linkedin.com/in/anil-nagar/")</f>
        <v>https://www.linkedin.com/in/anil-nagar/</v>
      </c>
      <c r="E325" s="17"/>
      <c r="F325" s="17" t="str">
        <f>IFERROR(__xludf.DUMMYFUNCTION("""COMPUTED_VALUE"""),"anil@addaeducation.com")</f>
        <v>anil@addaeducation.com</v>
      </c>
      <c r="G325" s="17"/>
      <c r="H325" s="17"/>
    </row>
    <row r="326">
      <c r="A326" s="17" t="str">
        <f>IFERROR(__xludf.DUMMYFUNCTION("""COMPUTED_VALUE"""),"Adda247")</f>
        <v>Adda247</v>
      </c>
      <c r="B326" s="17" t="str">
        <f>IFERROR(__xludf.DUMMYFUNCTION("""COMPUTED_VALUE"""),"Saurabh Bansal")</f>
        <v>Saurabh Bansal</v>
      </c>
      <c r="C326" s="17" t="str">
        <f>IFERROR(__xludf.DUMMYFUNCTION("""COMPUTED_VALUE"""),"Co-founder &amp; COO")</f>
        <v>Co-founder &amp; COO</v>
      </c>
      <c r="D326" s="27" t="str">
        <f>IFERROR(__xludf.DUMMYFUNCTION("""COMPUTED_VALUE"""),"https://www.linkedin.com/in/saurabh-bansal-adda247/")</f>
        <v>https://www.linkedin.com/in/saurabh-bansal-adda247/</v>
      </c>
      <c r="E326" s="17"/>
      <c r="F326" s="17"/>
      <c r="G326" s="17"/>
      <c r="H326" s="17"/>
    </row>
    <row r="327">
      <c r="A327" s="17" t="str">
        <f>IFERROR(__xludf.DUMMYFUNCTION("""COMPUTED_VALUE"""),"CollegeDekho")</f>
        <v>CollegeDekho</v>
      </c>
      <c r="B327" s="17" t="str">
        <f>IFERROR(__xludf.DUMMYFUNCTION("""COMPUTED_VALUE"""),"Ruchir Arora")</f>
        <v>Ruchir Arora</v>
      </c>
      <c r="C327" s="17" t="str">
        <f>IFERROR(__xludf.DUMMYFUNCTION("""COMPUTED_VALUE"""),"Co-founder &amp; CEO")</f>
        <v>Co-founder &amp; CEO</v>
      </c>
      <c r="D327" s="27" t="str">
        <f>IFERROR(__xludf.DUMMYFUNCTION("""COMPUTED_VALUE"""),"https://www.linkedin.com/in/aroraruchir?originalSubdomain=in")</f>
        <v>https://www.linkedin.com/in/aroraruchir?originalSubdomain=in</v>
      </c>
      <c r="E327" s="17" t="str">
        <f>IFERROR(__xludf.DUMMYFUNCTION("""COMPUTED_VALUE"""),"918696915050")</f>
        <v>918696915050</v>
      </c>
      <c r="F327" s="17" t="str">
        <f>IFERROR(__xludf.DUMMYFUNCTION("""COMPUTED_VALUE"""),"aroraruchir@gmail.com")</f>
        <v>aroraruchir@gmail.com</v>
      </c>
      <c r="G327" s="17"/>
      <c r="H327" s="17"/>
    </row>
    <row r="328">
      <c r="A328" s="17" t="str">
        <f>IFERROR(__xludf.DUMMYFUNCTION("""COMPUTED_VALUE"""),"CollegeDekho")</f>
        <v>CollegeDekho</v>
      </c>
      <c r="B328" s="17" t="str">
        <f>IFERROR(__xludf.DUMMYFUNCTION("""COMPUTED_VALUE"""),"Saurabh Jain")</f>
        <v>Saurabh Jain</v>
      </c>
      <c r="C328" s="17" t="str">
        <f>IFERROR(__xludf.DUMMYFUNCTION("""COMPUTED_VALUE"""),"Co-founder")</f>
        <v>Co-founder</v>
      </c>
      <c r="D328" s="27" t="str">
        <f>IFERROR(__xludf.DUMMYFUNCTION("""COMPUTED_VALUE"""),"https://www.linkedin.com/in/saurabh-jain-collegedekho/")</f>
        <v>https://www.linkedin.com/in/saurabh-jain-collegedekho/</v>
      </c>
      <c r="E328" s="17"/>
      <c r="F328" s="17"/>
      <c r="G328" s="17"/>
      <c r="H328" s="17"/>
    </row>
    <row r="329">
      <c r="A329" s="17" t="str">
        <f>IFERROR(__xludf.DUMMYFUNCTION("""COMPUTED_VALUE"""),"Leverage Edu")</f>
        <v>Leverage Edu</v>
      </c>
      <c r="B329" s="17" t="str">
        <f>IFERROR(__xludf.DUMMYFUNCTION("""COMPUTED_VALUE"""),"Akshay Chaturvedi")</f>
        <v>Akshay Chaturvedi</v>
      </c>
      <c r="C329" s="17" t="str">
        <f>IFERROR(__xludf.DUMMYFUNCTION("""COMPUTED_VALUE"""),"Founder &amp; CEO")</f>
        <v>Founder &amp; CEO</v>
      </c>
      <c r="D329" s="27" t="str">
        <f>IFERROR(__xludf.DUMMYFUNCTION("""COMPUTED_VALUE"""),"https://www.linkedin.com/in/akshaychaturvedi/")</f>
        <v>https://www.linkedin.com/in/akshaychaturvedi/</v>
      </c>
      <c r="E329" s="17" t="str">
        <f>IFERROR(__xludf.DUMMYFUNCTION("""COMPUTED_VALUE"""),"912093954911")</f>
        <v>912093954911</v>
      </c>
      <c r="F329" s="17" t="str">
        <f>IFERROR(__xludf.DUMMYFUNCTION("""COMPUTED_VALUE"""),"akshaychaturvedi001@gmail.com")</f>
        <v>akshaychaturvedi001@gmail.com</v>
      </c>
      <c r="G329" s="17"/>
      <c r="H329" s="17"/>
    </row>
    <row r="330">
      <c r="A330" s="17" t="str">
        <f>IFERROR(__xludf.DUMMYFUNCTION("""COMPUTED_VALUE"""),"Simplilearn")</f>
        <v>Simplilearn</v>
      </c>
      <c r="B330" s="17" t="str">
        <f>IFERROR(__xludf.DUMMYFUNCTION("""COMPUTED_VALUE"""),"Krishna Kumar")</f>
        <v>Krishna Kumar</v>
      </c>
      <c r="C330" s="17" t="str">
        <f>IFERROR(__xludf.DUMMYFUNCTION("""COMPUTED_VALUE"""),"Founder &amp; CEO")</f>
        <v>Founder &amp; CEO</v>
      </c>
      <c r="D330" s="27" t="str">
        <f>IFERROR(__xludf.DUMMYFUNCTION("""COMPUTED_VALUE"""),"https://www.linkedin.com/in/krishnakumar-simplilearn/")</f>
        <v>https://www.linkedin.com/in/krishnakumar-simplilearn/</v>
      </c>
      <c r="E330" s="17" t="str">
        <f>IFERROR(__xludf.DUMMYFUNCTION("""COMPUTED_VALUE"""),"98801 33661")</f>
        <v>98801 33661</v>
      </c>
      <c r="F330" s="17" t="str">
        <f>IFERROR(__xludf.DUMMYFUNCTION("""COMPUTED_VALUE"""),"krishna@simplilearn.com")</f>
        <v>krishna@simplilearn.com</v>
      </c>
      <c r="G330" s="17"/>
      <c r="H330" s="17"/>
    </row>
    <row r="331">
      <c r="A331" s="17" t="str">
        <f>IFERROR(__xludf.DUMMYFUNCTION("""COMPUTED_VALUE"""),"HealthifyMe")</f>
        <v>HealthifyMe</v>
      </c>
      <c r="B331" s="17" t="str">
        <f>IFERROR(__xludf.DUMMYFUNCTION("""COMPUTED_VALUE"""),"Tushar Vashisht")</f>
        <v>Tushar Vashisht</v>
      </c>
      <c r="C331" s="17" t="str">
        <f>IFERROR(__xludf.DUMMYFUNCTION("""COMPUTED_VALUE"""),"Co-founder &amp; CEO")</f>
        <v>Co-founder &amp; CEO</v>
      </c>
      <c r="D331" s="27" t="str">
        <f>IFERROR(__xludf.DUMMYFUNCTION("""COMPUTED_VALUE"""),"https://www.linkedin.com/in/tusharvashisht/")</f>
        <v>https://www.linkedin.com/in/tusharvashisht/</v>
      </c>
      <c r="E331" s="17" t="str">
        <f>IFERROR(__xludf.DUMMYFUNCTION("""COMPUTED_VALUE""")," 98805 58972")</f>
        <v> 98805 58972</v>
      </c>
      <c r="F331" s="17" t="str">
        <f>IFERROR(__xludf.DUMMYFUNCTION("""COMPUTED_VALUE"""),"tusharvas@gmail.com")</f>
        <v>tusharvas@gmail.com</v>
      </c>
      <c r="G331" s="17"/>
      <c r="H331" s="17"/>
    </row>
    <row r="332">
      <c r="A332" s="17" t="str">
        <f>IFERROR(__xludf.DUMMYFUNCTION("""COMPUTED_VALUE"""),"HealthifyMe")</f>
        <v>HealthifyMe</v>
      </c>
      <c r="B332" s="17" t="str">
        <f>IFERROR(__xludf.DUMMYFUNCTION("""COMPUTED_VALUE"""),"Sachin Shenoy")</f>
        <v>Sachin Shenoy</v>
      </c>
      <c r="C332" s="17" t="str">
        <f>IFERROR(__xludf.DUMMYFUNCTION("""COMPUTED_VALUE"""),"Co-founder &amp; CTO")</f>
        <v>Co-founder &amp; CTO</v>
      </c>
      <c r="D332" s="27" t="str">
        <f>IFERROR(__xludf.DUMMYFUNCTION("""COMPUTED_VALUE"""),"https://www.linkedin.com/in/sachinshenoy/")</f>
        <v>https://www.linkedin.com/in/sachinshenoy/</v>
      </c>
      <c r="E332" s="17"/>
      <c r="F332" s="17"/>
      <c r="G332" s="17"/>
      <c r="H332" s="17"/>
    </row>
    <row r="333">
      <c r="A333" s="17" t="str">
        <f>IFERROR(__xludf.DUMMYFUNCTION("""COMPUTED_VALUE"""),"Ultrahuman")</f>
        <v>Ultrahuman</v>
      </c>
      <c r="B333" s="17" t="str">
        <f>IFERROR(__xludf.DUMMYFUNCTION("""COMPUTED_VALUE"""),"Mohit Kumar")</f>
        <v>Mohit Kumar</v>
      </c>
      <c r="C333" s="17" t="str">
        <f>IFERROR(__xludf.DUMMYFUNCTION("""COMPUTED_VALUE"""),"Co-founder &amp; CEO")</f>
        <v>Co-founder &amp; CEO</v>
      </c>
      <c r="D333" s="27" t="str">
        <f>IFERROR(__xludf.DUMMYFUNCTION("""COMPUTED_VALUE"""),"https://www.linkedin.com/in/mohit-kumar-ultrahuman/")</f>
        <v>https://www.linkedin.com/in/mohit-kumar-ultrahuman/</v>
      </c>
      <c r="E333" s="17" t="str">
        <f>IFERROR(__xludf.DUMMYFUNCTION("""COMPUTED_VALUE"""),"919902926311")</f>
        <v>919902926311</v>
      </c>
      <c r="F333" s="17" t="str">
        <f>IFERROR(__xludf.DUMMYFUNCTION("""COMPUTED_VALUE"""),"mohitasmi@gmail.com")</f>
        <v>mohitasmi@gmail.com</v>
      </c>
      <c r="G333" s="17"/>
      <c r="H333" s="17"/>
    </row>
    <row r="334">
      <c r="A334" s="17" t="str">
        <f>IFERROR(__xludf.DUMMYFUNCTION("""COMPUTED_VALUE"""),"Ultrahuman")</f>
        <v>Ultrahuman</v>
      </c>
      <c r="B334" s="17" t="str">
        <f>IFERROR(__xludf.DUMMYFUNCTION("""COMPUTED_VALUE"""),"Vatsal Singhal")</f>
        <v>Vatsal Singhal</v>
      </c>
      <c r="C334" s="17" t="str">
        <f>IFERROR(__xludf.DUMMYFUNCTION("""COMPUTED_VALUE"""),"Co-founder &amp; CTO")</f>
        <v>Co-founder &amp; CTO</v>
      </c>
      <c r="D334" s="27" t="str">
        <f>IFERROR(__xludf.DUMMYFUNCTION("""COMPUTED_VALUE"""),"https://www.linkedin.com/in/vatsal-singhal/")</f>
        <v>https://www.linkedin.com/in/vatsal-singhal/</v>
      </c>
      <c r="E334" s="17"/>
      <c r="F334" s="17"/>
      <c r="G334" s="17"/>
      <c r="H334" s="17"/>
    </row>
    <row r="335">
      <c r="A335" s="17" t="str">
        <f>IFERROR(__xludf.DUMMYFUNCTION("""COMPUTED_VALUE"""),"MediBuddy")</f>
        <v>MediBuddy</v>
      </c>
      <c r="B335" s="17" t="str">
        <f>IFERROR(__xludf.DUMMYFUNCTION("""COMPUTED_VALUE"""),"Satish Kannan")</f>
        <v>Satish Kannan</v>
      </c>
      <c r="C335" s="17" t="str">
        <f>IFERROR(__xludf.DUMMYFUNCTION("""COMPUTED_VALUE"""),"Co-founder &amp; CEO")</f>
        <v>Co-founder &amp; CEO</v>
      </c>
      <c r="D335" s="27" t="str">
        <f>IFERROR(__xludf.DUMMYFUNCTION("""COMPUTED_VALUE"""),"https://www.linkedin.com/in/satishkannan16/")</f>
        <v>https://www.linkedin.com/in/satishkannan16/</v>
      </c>
      <c r="E335" s="17" t="str">
        <f>IFERROR(__xludf.DUMMYFUNCTION("""COMPUTED_VALUE"""),"919952093025")</f>
        <v>919952093025</v>
      </c>
      <c r="F335" s="17" t="str">
        <f>IFERROR(__xludf.DUMMYFUNCTION("""COMPUTED_VALUE"""),"satishkannan16@gmail.com")</f>
        <v>satishkannan16@gmail.com</v>
      </c>
      <c r="G335" s="17"/>
      <c r="H335" s="17"/>
    </row>
    <row r="336">
      <c r="A336" s="17" t="str">
        <f>IFERROR(__xludf.DUMMYFUNCTION("""COMPUTED_VALUE"""),"MediBuddy")</f>
        <v>MediBuddy</v>
      </c>
      <c r="B336" s="17" t="str">
        <f>IFERROR(__xludf.DUMMYFUNCTION("""COMPUTED_VALUE"""),"Enbasekar Dinadayalane")</f>
        <v>Enbasekar Dinadayalane</v>
      </c>
      <c r="C336" s="17" t="str">
        <f>IFERROR(__xludf.DUMMYFUNCTION("""COMPUTED_VALUE"""),"Co-founder &amp; CTO")</f>
        <v>Co-founder &amp; CTO</v>
      </c>
      <c r="D336" s="27" t="str">
        <f>IFERROR(__xludf.DUMMYFUNCTION("""COMPUTED_VALUE"""),"https://www.linkedin.com/in/enbasekar/")</f>
        <v>https://www.linkedin.com/in/enbasekar/</v>
      </c>
      <c r="E336" s="17"/>
      <c r="F336" s="17"/>
      <c r="G336" s="17"/>
      <c r="H336" s="17"/>
    </row>
    <row r="337">
      <c r="A337" s="17" t="str">
        <f>IFERROR(__xludf.DUMMYFUNCTION("""COMPUTED_VALUE"""),"Redcliffe Labs")</f>
        <v>Redcliffe Labs</v>
      </c>
      <c r="B337" s="17" t="str">
        <f>IFERROR(__xludf.DUMMYFUNCTION("""COMPUTED_VALUE"""),"Aditya Kandoi")</f>
        <v>Aditya Kandoi</v>
      </c>
      <c r="C337" s="17" t="str">
        <f>IFERROR(__xludf.DUMMYFUNCTION("""COMPUTED_VALUE"""),"Founder &amp; CEO")</f>
        <v>Founder &amp; CEO</v>
      </c>
      <c r="D337" s="27" t="str">
        <f>IFERROR(__xludf.DUMMYFUNCTION("""COMPUTED_VALUE"""),"https://www.linkedin.com/in/adityakandoi/")</f>
        <v>https://www.linkedin.com/in/adityakandoi/</v>
      </c>
      <c r="E337" s="17" t="str">
        <f>IFERROR(__xludf.DUMMYFUNCTION("""COMPUTED_VALUE"""),"919999654249")</f>
        <v>919999654249</v>
      </c>
      <c r="F337" s="17" t="str">
        <f>IFERROR(__xludf.DUMMYFUNCTION("""COMPUTED_VALUE"""),"adiitbhu@gmail.com")</f>
        <v>adiitbhu@gmail.com</v>
      </c>
      <c r="G337" s="17"/>
      <c r="H337" s="17"/>
    </row>
    <row r="338">
      <c r="A338" s="17" t="str">
        <f>IFERROR(__xludf.DUMMYFUNCTION("""COMPUTED_VALUE"""),"Redcliffe Labs")</f>
        <v>Redcliffe Labs</v>
      </c>
      <c r="B338" s="17" t="str">
        <f>IFERROR(__xludf.DUMMYFUNCTION("""COMPUTED_VALUE"""),"Dheeraj Jain")</f>
        <v>Dheeraj Jain</v>
      </c>
      <c r="C338" s="17" t="str">
        <f>IFERROR(__xludf.DUMMYFUNCTION("""COMPUTED_VALUE"""),"Founder")</f>
        <v>Founder</v>
      </c>
      <c r="D338" s="27" t="str">
        <f>IFERROR(__xludf.DUMMYFUNCTION("""COMPUTED_VALUE"""),"https://www.linkedin.com/in/dheerajjain/")</f>
        <v>https://www.linkedin.com/in/dheerajjain/</v>
      </c>
      <c r="E338" s="17"/>
      <c r="F338" s="17"/>
      <c r="G338" s="17"/>
      <c r="H338" s="17"/>
    </row>
    <row r="339">
      <c r="A339" s="17" t="str">
        <f>IFERROR(__xludf.DUMMYFUNCTION("""COMPUTED_VALUE"""),"Orange Health")</f>
        <v>Orange Health</v>
      </c>
      <c r="B339" s="17" t="str">
        <f>IFERROR(__xludf.DUMMYFUNCTION("""COMPUTED_VALUE"""),"Dhruv Gupta")</f>
        <v>Dhruv Gupta</v>
      </c>
      <c r="C339" s="17" t="str">
        <f>IFERROR(__xludf.DUMMYFUNCTION("""COMPUTED_VALUE"""),"Co-founder &amp; CEO")</f>
        <v>Co-founder &amp; CEO</v>
      </c>
      <c r="D339" s="27" t="str">
        <f>IFERROR(__xludf.DUMMYFUNCTION("""COMPUTED_VALUE"""),"https://www.linkedin.com/in/dhruvgupta1?originalSubdomain=in")</f>
        <v>https://www.linkedin.com/in/dhruvgupta1?originalSubdomain=in</v>
      </c>
      <c r="E339" s="17" t="str">
        <f>IFERROR(__xludf.DUMMYFUNCTION("""COMPUTED_VALUE"""),"919871800943")</f>
        <v>919871800943</v>
      </c>
      <c r="F339" s="17" t="str">
        <f>IFERROR(__xludf.DUMMYFUNCTION("""COMPUTED_VALUE"""),"dhruvgupta999@gmail.com")</f>
        <v>dhruvgupta999@gmail.com</v>
      </c>
      <c r="G339" s="17"/>
      <c r="H339" s="17"/>
    </row>
    <row r="340">
      <c r="A340" s="17" t="str">
        <f>IFERROR(__xludf.DUMMYFUNCTION("""COMPUTED_VALUE"""),"Orange Health")</f>
        <v>Orange Health</v>
      </c>
      <c r="B340" s="17" t="str">
        <f>IFERROR(__xludf.DUMMYFUNCTION("""COMPUTED_VALUE"""),"Tarun Bhambra")</f>
        <v>Tarun Bhambra</v>
      </c>
      <c r="C340" s="17" t="str">
        <f>IFERROR(__xludf.DUMMYFUNCTION("""COMPUTED_VALUE"""),"Co-founder")</f>
        <v>Co-founder</v>
      </c>
      <c r="D340" s="27" t="str">
        <f>IFERROR(__xludf.DUMMYFUNCTION("""COMPUTED_VALUE"""),"https://www.linkedin.com/in/tarunbhambra/")</f>
        <v>https://www.linkedin.com/in/tarunbhambra/</v>
      </c>
      <c r="E340" s="17"/>
      <c r="F340" s="17"/>
      <c r="G340" s="17"/>
      <c r="H340" s="17"/>
    </row>
    <row r="341">
      <c r="A341" s="27" t="str">
        <f>IFERROR(__xludf.DUMMYFUNCTION("""COMPUTED_VALUE"""),"Qure.ai")</f>
        <v>Qure.ai</v>
      </c>
      <c r="B341" s="17" t="str">
        <f>IFERROR(__xludf.DUMMYFUNCTION("""COMPUTED_VALUE"""),"Prashant Warier")</f>
        <v>Prashant Warier</v>
      </c>
      <c r="C341" s="17" t="str">
        <f>IFERROR(__xludf.DUMMYFUNCTION("""COMPUTED_VALUE"""),"Co-founder &amp; CEO")</f>
        <v>Co-founder &amp; CEO</v>
      </c>
      <c r="D341" s="27" t="str">
        <f>IFERROR(__xludf.DUMMYFUNCTION("""COMPUTED_VALUE"""),"https://www.linkedin.com/in/pwarier/")</f>
        <v>https://www.linkedin.com/in/pwarier/</v>
      </c>
      <c r="E341" s="17" t="str">
        <f>IFERROR(__xludf.DUMMYFUNCTION("""COMPUTED_VALUE"""),"15409581173")</f>
        <v>15409581173</v>
      </c>
      <c r="F341" s="17" t="str">
        <f>IFERROR(__xludf.DUMMYFUNCTION("""COMPUTED_VALUE"""),"prashantwarier@gmail.com")</f>
        <v>prashantwarier@gmail.com</v>
      </c>
      <c r="G341" s="17"/>
      <c r="H341" s="17"/>
    </row>
    <row r="342">
      <c r="A342" s="27" t="str">
        <f>IFERROR(__xludf.DUMMYFUNCTION("""COMPUTED_VALUE"""),"Qure.ai")</f>
        <v>Qure.ai</v>
      </c>
      <c r="B342" s="17" t="str">
        <f>IFERROR(__xludf.DUMMYFUNCTION("""COMPUTED_VALUE"""),"Pooja Rao")</f>
        <v>Pooja Rao</v>
      </c>
      <c r="C342" s="17" t="str">
        <f>IFERROR(__xludf.DUMMYFUNCTION("""COMPUTED_VALUE"""),"Co-founder &amp; R&amp;D Head")</f>
        <v>Co-founder &amp; R&amp;D Head</v>
      </c>
      <c r="D342" s="27" t="str">
        <f>IFERROR(__xludf.DUMMYFUNCTION("""COMPUTED_VALUE"""),"https://www.linkedin.com/in/pooja-rao-qure/")</f>
        <v>https://www.linkedin.com/in/pooja-rao-qure/</v>
      </c>
      <c r="E342" s="17"/>
      <c r="F342" s="17"/>
      <c r="G342" s="17"/>
      <c r="H342" s="17"/>
    </row>
    <row r="343">
      <c r="A343" s="17" t="str">
        <f>IFERROR(__xludf.DUMMYFUNCTION("""COMPUTED_VALUE"""),"Fittr")</f>
        <v>Fittr</v>
      </c>
      <c r="B343" s="17" t="str">
        <f>IFERROR(__xludf.DUMMYFUNCTION("""COMPUTED_VALUE"""),"Jitendra Chouksey")</f>
        <v>Jitendra Chouksey</v>
      </c>
      <c r="C343" s="17" t="str">
        <f>IFERROR(__xludf.DUMMYFUNCTION("""COMPUTED_VALUE"""),"Founder &amp; CEO")</f>
        <v>Founder &amp; CEO</v>
      </c>
      <c r="D343" s="27" t="str">
        <f>IFERROR(__xludf.DUMMYFUNCTION("""COMPUTED_VALUE"""),"https://www.linkedin.com/in/jitendrachouksey/")</f>
        <v>https://www.linkedin.com/in/jitendrachouksey/</v>
      </c>
      <c r="E343" s="17"/>
      <c r="F343" s="17" t="str">
        <f>IFERROR(__xludf.DUMMYFUNCTION("""COMPUTED_VALUE"""),"jc@fittr.com")</f>
        <v>jc@fittr.com</v>
      </c>
      <c r="G343" s="17"/>
      <c r="H343" s="17"/>
    </row>
    <row r="344">
      <c r="A344" s="17" t="str">
        <f>IFERROR(__xludf.DUMMYFUNCTION("""COMPUTED_VALUE"""),"GreyOrange")</f>
        <v>GreyOrange</v>
      </c>
      <c r="B344" s="17" t="str">
        <f>IFERROR(__xludf.DUMMYFUNCTION("""COMPUTED_VALUE"""),"Samay Kohli")</f>
        <v>Samay Kohli</v>
      </c>
      <c r="C344" s="17" t="str">
        <f>IFERROR(__xludf.DUMMYFUNCTION("""COMPUTED_VALUE"""),"Co-founder &amp; CEO")</f>
        <v>Co-founder &amp; CEO</v>
      </c>
      <c r="D344" s="27" t="str">
        <f>IFERROR(__xludf.DUMMYFUNCTION("""COMPUTED_VALUE"""),"https://www.linkedin.com/in/samaykohli/")</f>
        <v>https://www.linkedin.com/in/samaykohli/</v>
      </c>
      <c r="E344" s="17"/>
      <c r="F344" s="17"/>
      <c r="G344" s="17"/>
      <c r="H344" s="17"/>
    </row>
    <row r="345">
      <c r="A345" s="17" t="str">
        <f>IFERROR(__xludf.DUMMYFUNCTION("""COMPUTED_VALUE"""),"GreyOrange")</f>
        <v>GreyOrange</v>
      </c>
      <c r="B345" s="17" t="str">
        <f>IFERROR(__xludf.DUMMYFUNCTION("""COMPUTED_VALUE"""),"Akash Gupta")</f>
        <v>Akash Gupta</v>
      </c>
      <c r="C345" s="17" t="str">
        <f>IFERROR(__xludf.DUMMYFUNCTION("""COMPUTED_VALUE"""),"Co-founder")</f>
        <v>Co-founder</v>
      </c>
      <c r="D345" s="27" t="str">
        <f>IFERROR(__xludf.DUMMYFUNCTION("""COMPUTED_VALUE"""),"https://www.linkedin.com/in/akash-gupta-greyorange/")</f>
        <v>https://www.linkedin.com/in/akash-gupta-greyorange/</v>
      </c>
      <c r="E345" s="17" t="str">
        <f>IFERROR(__xludf.DUMMYFUNCTION("""COMPUTED_VALUE"""),"95603 23262")</f>
        <v>95603 23262</v>
      </c>
      <c r="F345" s="17" t="str">
        <f>IFERROR(__xludf.DUMMYFUNCTION("""COMPUTED_VALUE"""),"akashn2008@gmail.com")</f>
        <v>akashn2008@gmail.com</v>
      </c>
      <c r="G345" s="17"/>
      <c r="H345" s="17"/>
    </row>
    <row r="346">
      <c r="A346" s="17" t="str">
        <f>IFERROR(__xludf.DUMMYFUNCTION("""COMPUTED_VALUE"""),"Locus")</f>
        <v>Locus</v>
      </c>
      <c r="B346" s="17" t="str">
        <f>IFERROR(__xludf.DUMMYFUNCTION("""COMPUTED_VALUE"""),"Nishith Rastogi")</f>
        <v>Nishith Rastogi</v>
      </c>
      <c r="C346" s="17" t="str">
        <f>IFERROR(__xludf.DUMMYFUNCTION("""COMPUTED_VALUE"""),"Founder &amp; CEO")</f>
        <v>Founder &amp; CEO</v>
      </c>
      <c r="D346" s="27" t="str">
        <f>IFERROR(__xludf.DUMMYFUNCTION("""COMPUTED_VALUE"""),"https://www.linkedin.com/in/nishithrastogi/")</f>
        <v>https://www.linkedin.com/in/nishithrastogi/</v>
      </c>
      <c r="E346" s="17" t="str">
        <f>IFERROR(__xludf.DUMMYFUNCTION("""COMPUTED_VALUE"""),"19196633841")</f>
        <v>19196633841</v>
      </c>
      <c r="F346" s="17" t="str">
        <f>IFERROR(__xludf.DUMMYFUNCTION("""COMPUTED_VALUE"""),"subietrastogi@gmail.com")</f>
        <v>subietrastogi@gmail.com</v>
      </c>
      <c r="G346" s="17"/>
      <c r="H346" s="17"/>
    </row>
    <row r="347">
      <c r="A347" s="17" t="str">
        <f>IFERROR(__xludf.DUMMYFUNCTION("""COMPUTED_VALUE"""),"Locus")</f>
        <v>Locus</v>
      </c>
      <c r="B347" s="17" t="str">
        <f>IFERROR(__xludf.DUMMYFUNCTION("""COMPUTED_VALUE"""),"Geet Garg")</f>
        <v>Geet Garg</v>
      </c>
      <c r="C347" s="17" t="str">
        <f>IFERROR(__xludf.DUMMYFUNCTION("""COMPUTED_VALUE"""),"Co-founder &amp; CTO")</f>
        <v>Co-founder &amp; CTO</v>
      </c>
      <c r="D347" s="27" t="str">
        <f>IFERROR(__xludf.DUMMYFUNCTION("""COMPUTED_VALUE"""),"https://www.linkedin.com/in/geet-garg/")</f>
        <v>https://www.linkedin.com/in/geet-garg/</v>
      </c>
      <c r="E347" s="17"/>
      <c r="F347" s="17"/>
      <c r="G347" s="17"/>
      <c r="H347" s="17"/>
    </row>
    <row r="348">
      <c r="A348" s="17" t="str">
        <f>IFERROR(__xludf.DUMMYFUNCTION("""COMPUTED_VALUE"""),"FarEye")</f>
        <v>FarEye</v>
      </c>
      <c r="B348" s="17" t="str">
        <f>IFERROR(__xludf.DUMMYFUNCTION("""COMPUTED_VALUE"""),"Kushal Nahata")</f>
        <v>Kushal Nahata</v>
      </c>
      <c r="C348" s="17" t="str">
        <f>IFERROR(__xludf.DUMMYFUNCTION("""COMPUTED_VALUE"""),"Co-founder &amp; CEO")</f>
        <v>Co-founder &amp; CEO</v>
      </c>
      <c r="D348" s="27" t="str">
        <f>IFERROR(__xludf.DUMMYFUNCTION("""COMPUTED_VALUE"""),"https://www.linkedin.com/in/kushalnahata/")</f>
        <v>https://www.linkedin.com/in/kushalnahata/</v>
      </c>
      <c r="E348" s="17" t="str">
        <f>IFERROR(__xludf.DUMMYFUNCTION("""COMPUTED_VALUE"""),"918800092561")</f>
        <v>918800092561</v>
      </c>
      <c r="F348" s="17" t="str">
        <f>IFERROR(__xludf.DUMMYFUNCTION("""COMPUTED_VALUE"""),"kushalnahata@gmail.com")</f>
        <v>kushalnahata@gmail.com</v>
      </c>
      <c r="G348" s="17"/>
      <c r="H348" s="17"/>
    </row>
    <row r="349">
      <c r="A349" s="17" t="str">
        <f>IFERROR(__xludf.DUMMYFUNCTION("""COMPUTED_VALUE"""),"FarEye")</f>
        <v>FarEye</v>
      </c>
      <c r="B349" s="17" t="str">
        <f>IFERROR(__xludf.DUMMYFUNCTION("""COMPUTED_VALUE"""),"Gaurav Srivastava")</f>
        <v>Gaurav Srivastava</v>
      </c>
      <c r="C349" s="17" t="str">
        <f>IFERROR(__xludf.DUMMYFUNCTION("""COMPUTED_VALUE"""),"Co-founder &amp; CPTO")</f>
        <v>Co-founder &amp; CPTO</v>
      </c>
      <c r="D349" s="27" t="str">
        <f>IFERROR(__xludf.DUMMYFUNCTION("""COMPUTED_VALUE"""),"https://www.linkedin.com/in/gaurav-srivastava-fareye/")</f>
        <v>https://www.linkedin.com/in/gaurav-srivastava-fareye/</v>
      </c>
      <c r="E349" s="17"/>
      <c r="F349" s="17"/>
      <c r="G349" s="17"/>
      <c r="H349" s="17"/>
    </row>
    <row r="350">
      <c r="A350" s="17" t="str">
        <f>IFERROR(__xludf.DUMMYFUNCTION("""COMPUTED_VALUE"""),"FarEye")</f>
        <v>FarEye</v>
      </c>
      <c r="B350" s="17" t="str">
        <f>IFERROR(__xludf.DUMMYFUNCTION("""COMPUTED_VALUE"""),"Gautam Kumar")</f>
        <v>Gautam Kumar</v>
      </c>
      <c r="C350" s="17" t="str">
        <f>IFERROR(__xludf.DUMMYFUNCTION("""COMPUTED_VALUE"""),"Co-founder &amp; COO")</f>
        <v>Co-founder &amp; COO</v>
      </c>
      <c r="D350" s="27" t="str">
        <f>IFERROR(__xludf.DUMMYFUNCTION("""COMPUTED_VALUE"""),"https://www.linkedin.com/in/gautam-kumar-fareye/")</f>
        <v>https://www.linkedin.com/in/gautam-kumar-fareye/</v>
      </c>
      <c r="E350" s="17"/>
      <c r="F350" s="17"/>
      <c r="G350" s="17"/>
      <c r="H350" s="17"/>
    </row>
    <row r="351">
      <c r="A351" s="17" t="str">
        <f>IFERROR(__xludf.DUMMYFUNCTION("""COMPUTED_VALUE"""),"Shadowfax")</f>
        <v>Shadowfax</v>
      </c>
      <c r="B351" s="17" t="str">
        <f>IFERROR(__xludf.DUMMYFUNCTION("""COMPUTED_VALUE"""),"Abhishek Bansal")</f>
        <v>Abhishek Bansal</v>
      </c>
      <c r="C351" s="17" t="str">
        <f>IFERROR(__xludf.DUMMYFUNCTION("""COMPUTED_VALUE"""),"Co-founder &amp; CEO")</f>
        <v>Co-founder &amp; CEO</v>
      </c>
      <c r="D351" s="27" t="str">
        <f>IFERROR(__xludf.DUMMYFUNCTION("""COMPUTED_VALUE"""),"https://www.linkedin.com/in/abhishek-bansal-shadowfax/")</f>
        <v>https://www.linkedin.com/in/abhishek-bansal-shadowfax/</v>
      </c>
      <c r="E351" s="17" t="str">
        <f>IFERROR(__xludf.DUMMYFUNCTION("""COMPUTED_VALUE"""),"919990910540")</f>
        <v>919990910540</v>
      </c>
      <c r="F351" s="17" t="str">
        <f>IFERROR(__xludf.DUMMYFUNCTION("""COMPUTED_VALUE"""),"abhishek@shadowfax.in")</f>
        <v>abhishek@shadowfax.in</v>
      </c>
      <c r="G351" s="17"/>
      <c r="H351" s="17"/>
    </row>
    <row r="352">
      <c r="A352" s="17" t="str">
        <f>IFERROR(__xludf.DUMMYFUNCTION("""COMPUTED_VALUE"""),"Shadowfax")</f>
        <v>Shadowfax</v>
      </c>
      <c r="B352" s="17" t="str">
        <f>IFERROR(__xludf.DUMMYFUNCTION("""COMPUTED_VALUE"""),"Vaibhav Khandelwal")</f>
        <v>Vaibhav Khandelwal</v>
      </c>
      <c r="C352" s="17" t="str">
        <f>IFERROR(__xludf.DUMMYFUNCTION("""COMPUTED_VALUE"""),"Co-founder &amp; CTO")</f>
        <v>Co-founder &amp; CTO</v>
      </c>
      <c r="D352" s="27" t="str">
        <f>IFERROR(__xludf.DUMMYFUNCTION("""COMPUTED_VALUE"""),"https://www.linkedin.com/in/vaibhav-khandelwal/")</f>
        <v>https://www.linkedin.com/in/vaibhav-khandelwal/</v>
      </c>
      <c r="E352" s="17"/>
      <c r="F352" s="17"/>
      <c r="G352" s="17"/>
      <c r="H352" s="17"/>
    </row>
    <row r="353">
      <c r="A353" s="17" t="str">
        <f>IFERROR(__xludf.DUMMYFUNCTION("""COMPUTED_VALUE"""),"Park+")</f>
        <v>Park+</v>
      </c>
      <c r="B353" s="17" t="str">
        <f>IFERROR(__xludf.DUMMYFUNCTION("""COMPUTED_VALUE"""),"Amit Lakhotia")</f>
        <v>Amit Lakhotia</v>
      </c>
      <c r="C353" s="17" t="str">
        <f>IFERROR(__xludf.DUMMYFUNCTION("""COMPUTED_VALUE"""),"Founder &amp; CEO")</f>
        <v>Founder &amp; CEO</v>
      </c>
      <c r="D353" s="27" t="str">
        <f>IFERROR(__xludf.DUMMYFUNCTION("""COMPUTED_VALUE"""),"https://www.linkedin.com/in/amitlakhotia/")</f>
        <v>https://www.linkedin.com/in/amitlakhotia/</v>
      </c>
      <c r="E353" s="17"/>
      <c r="F353" s="17" t="str">
        <f>IFERROR(__xludf.DUMMYFUNCTION("""COMPUTED_VALUE"""),"alakhotia@parkplus.io")</f>
        <v>alakhotia@parkplus.io</v>
      </c>
      <c r="G353" s="17"/>
      <c r="H353" s="17"/>
    </row>
    <row r="354">
      <c r="A354" s="17" t="str">
        <f>IFERROR(__xludf.DUMMYFUNCTION("""COMPUTED_VALUE"""),"Exotel")</f>
        <v>Exotel</v>
      </c>
      <c r="B354" s="17" t="str">
        <f>IFERROR(__xludf.DUMMYFUNCTION("""COMPUTED_VALUE"""),"Shivakumar Ganesan")</f>
        <v>Shivakumar Ganesan</v>
      </c>
      <c r="C354" s="17" t="str">
        <f>IFERROR(__xludf.DUMMYFUNCTION("""COMPUTED_VALUE"""),"Co-founder &amp; CEO")</f>
        <v>Co-founder &amp; CEO</v>
      </c>
      <c r="D354" s="27" t="str">
        <f>IFERROR(__xludf.DUMMYFUNCTION("""COMPUTED_VALUE"""),"https://www.linkedin.com/in/shivku/")</f>
        <v>https://www.linkedin.com/in/shivku/</v>
      </c>
      <c r="E354" s="17" t="str">
        <f>IFERROR(__xludf.DUMMYFUNCTION("""COMPUTED_VALUE"""),"919886752549")</f>
        <v>919886752549</v>
      </c>
      <c r="F354" s="17" t="str">
        <f>IFERROR(__xludf.DUMMYFUNCTION("""COMPUTED_VALUE"""),"shivku@gmail.com")</f>
        <v>shivku@gmail.com</v>
      </c>
      <c r="G354" s="17"/>
      <c r="H354" s="17"/>
    </row>
    <row r="355">
      <c r="A355" s="17" t="str">
        <f>IFERROR(__xludf.DUMMYFUNCTION("""COMPUTED_VALUE"""),"Exotel")</f>
        <v>Exotel</v>
      </c>
      <c r="B355" s="17" t="str">
        <f>IFERROR(__xludf.DUMMYFUNCTION("""COMPUTED_VALUE"""),"Ishwar Sridharan")</f>
        <v>Ishwar Sridharan</v>
      </c>
      <c r="C355" s="17" t="str">
        <f>IFERROR(__xludf.DUMMYFUNCTION("""COMPUTED_VALUE"""),"Co-founder &amp; COO")</f>
        <v>Co-founder &amp; COO</v>
      </c>
      <c r="D355" s="27" t="str">
        <f>IFERROR(__xludf.DUMMYFUNCTION("""COMPUTED_VALUE"""),"https://www.linkedin.com/in/ishwarsridharan/")</f>
        <v>https://www.linkedin.com/in/ishwarsridharan/</v>
      </c>
      <c r="E355" s="17"/>
      <c r="F355" s="17"/>
      <c r="G355" s="17"/>
      <c r="H355" s="17"/>
    </row>
    <row r="356">
      <c r="A356" s="17" t="str">
        <f>IFERROR(__xludf.DUMMYFUNCTION("""COMPUTED_VALUE"""),"Whatfix")</f>
        <v>Whatfix</v>
      </c>
      <c r="B356" s="17" t="str">
        <f>IFERROR(__xludf.DUMMYFUNCTION("""COMPUTED_VALUE"""),"Khadim Batti")</f>
        <v>Khadim Batti</v>
      </c>
      <c r="C356" s="17" t="str">
        <f>IFERROR(__xludf.DUMMYFUNCTION("""COMPUTED_VALUE"""),"Co-founder &amp; CEO")</f>
        <v>Co-founder &amp; CEO</v>
      </c>
      <c r="D356" s="27" t="str">
        <f>IFERROR(__xludf.DUMMYFUNCTION("""COMPUTED_VALUE"""),"https://www.linkedin.com/in/khadimbatti/")</f>
        <v>https://www.linkedin.com/in/khadimbatti/</v>
      </c>
      <c r="E356" s="17" t="str">
        <f>IFERROR(__xludf.DUMMYFUNCTION("""COMPUTED_VALUE"""),"919611105212")</f>
        <v>919611105212</v>
      </c>
      <c r="F356" s="17" t="str">
        <f>IFERROR(__xludf.DUMMYFUNCTION("""COMPUTED_VALUE"""),"khadim@gmail.com")</f>
        <v>khadim@gmail.com</v>
      </c>
      <c r="G356" s="17"/>
      <c r="H356" s="17"/>
    </row>
    <row r="357">
      <c r="A357" s="17" t="str">
        <f>IFERROR(__xludf.DUMMYFUNCTION("""COMPUTED_VALUE"""),"Whatfix")</f>
        <v>Whatfix</v>
      </c>
      <c r="B357" s="17" t="str">
        <f>IFERROR(__xludf.DUMMYFUNCTION("""COMPUTED_VALUE"""),"Vara Kumar")</f>
        <v>Vara Kumar</v>
      </c>
      <c r="C357" s="17" t="str">
        <f>IFERROR(__xludf.DUMMYFUNCTION("""COMPUTED_VALUE"""),"Co-founder &amp; CTO")</f>
        <v>Co-founder &amp; CTO</v>
      </c>
      <c r="D357" s="27" t="str">
        <f>IFERROR(__xludf.DUMMYFUNCTION("""COMPUTED_VALUE"""),"https://www.linkedin.com/in/varakumar/")</f>
        <v>https://www.linkedin.com/in/varakumar/</v>
      </c>
      <c r="E357" s="17"/>
      <c r="F357" s="17"/>
      <c r="G357" s="17"/>
      <c r="H357" s="17"/>
    </row>
    <row r="358">
      <c r="A358" s="17" t="str">
        <f>IFERROR(__xludf.DUMMYFUNCTION("""COMPUTED_VALUE"""),"LambdaTest")</f>
        <v>LambdaTest</v>
      </c>
      <c r="B358" s="17" t="str">
        <f>IFERROR(__xludf.DUMMYFUNCTION("""COMPUTED_VALUE"""),"Asad Khan")</f>
        <v>Asad Khan</v>
      </c>
      <c r="C358" s="17" t="str">
        <f>IFERROR(__xludf.DUMMYFUNCTION("""COMPUTED_VALUE"""),"Co-founder &amp; CEO")</f>
        <v>Co-founder &amp; CEO</v>
      </c>
      <c r="D358" s="27" t="str">
        <f>IFERROR(__xludf.DUMMYFUNCTION("""COMPUTED_VALUE"""),"https://www.linkedin.com/in/asad-khan-lambdatest/")</f>
        <v>https://www.linkedin.com/in/asad-khan-lambdatest/</v>
      </c>
      <c r="E358" s="17" t="str">
        <f>IFERROR(__xludf.DUMMYFUNCTION("""COMPUTED_VALUE"""),"12024199270")</f>
        <v>12024199270</v>
      </c>
      <c r="F358" s="17" t="str">
        <f>IFERROR(__xludf.DUMMYFUNCTION("""COMPUTED_VALUE"""),"asad@lambdatest.com")</f>
        <v>asad@lambdatest.com</v>
      </c>
      <c r="G358" s="17"/>
      <c r="H358" s="17"/>
    </row>
    <row r="359">
      <c r="A359" s="17" t="str">
        <f>IFERROR(__xludf.DUMMYFUNCTION("""COMPUTED_VALUE"""),"LambdaTest")</f>
        <v>LambdaTest</v>
      </c>
      <c r="B359" s="17" t="str">
        <f>IFERROR(__xludf.DUMMYFUNCTION("""COMPUTED_VALUE"""),"Jay Singh")</f>
        <v>Jay Singh</v>
      </c>
      <c r="C359" s="17" t="str">
        <f>IFERROR(__xludf.DUMMYFUNCTION("""COMPUTED_VALUE"""),"Co-founder")</f>
        <v>Co-founder</v>
      </c>
      <c r="D359" s="27" t="str">
        <f>IFERROR(__xludf.DUMMYFUNCTION("""COMPUTED_VALUE"""),"https://www.linkedin.com/in/jaysingh-lambdatest/")</f>
        <v>https://www.linkedin.com/in/jaysingh-lambdatest/</v>
      </c>
      <c r="E359" s="17"/>
      <c r="F359" s="17"/>
      <c r="G359" s="17"/>
      <c r="H359" s="17"/>
    </row>
    <row r="360">
      <c r="A360" s="17" t="str">
        <f>IFERROR(__xludf.DUMMYFUNCTION("""COMPUTED_VALUE"""),"BetterPlace")</f>
        <v>BetterPlace</v>
      </c>
      <c r="B360" s="17" t="str">
        <f>IFERROR(__xludf.DUMMYFUNCTION("""COMPUTED_VALUE"""),"Pravin Agarwala")</f>
        <v>Pravin Agarwala</v>
      </c>
      <c r="C360" s="17" t="str">
        <f>IFERROR(__xludf.DUMMYFUNCTION("""COMPUTED_VALUE"""),"Co-founder &amp; CEO")</f>
        <v>Co-founder &amp; CEO</v>
      </c>
      <c r="D360" s="27" t="str">
        <f>IFERROR(__xludf.DUMMYFUNCTION("""COMPUTED_VALUE"""),"https://www.linkedin.com/in/pravinagarwala/")</f>
        <v>https://www.linkedin.com/in/pravinagarwala/</v>
      </c>
      <c r="E360" s="17"/>
      <c r="F360" s="17" t="str">
        <f>IFERROR(__xludf.DUMMYFUNCTION("""COMPUTED_VALUE"""),"pravinagarwala@gmail.com")</f>
        <v>pravinagarwala@gmail.com</v>
      </c>
      <c r="G360" s="17"/>
      <c r="H360" s="17"/>
    </row>
    <row r="361">
      <c r="A361" s="17" t="str">
        <f>IFERROR(__xludf.DUMMYFUNCTION("""COMPUTED_VALUE"""),"BetterPlace")</f>
        <v>BetterPlace</v>
      </c>
      <c r="B361" s="17" t="str">
        <f>IFERROR(__xludf.DUMMYFUNCTION("""COMPUTED_VALUE"""),"Saurabh Tandon")</f>
        <v>Saurabh Tandon</v>
      </c>
      <c r="C361" s="17" t="str">
        <f>IFERROR(__xludf.DUMMYFUNCTION("""COMPUTED_VALUE"""),"Co-founder &amp; COO")</f>
        <v>Co-founder &amp; COO</v>
      </c>
      <c r="D361" s="27" t="str">
        <f>IFERROR(__xludf.DUMMYFUNCTION("""COMPUTED_VALUE"""),"https://www.linkedin.com/in/saurabhtandon-betterplace/")</f>
        <v>https://www.linkedin.com/in/saurabhtandon-betterplace/</v>
      </c>
      <c r="E361" s="17"/>
      <c r="F361" s="17"/>
      <c r="G361" s="17"/>
      <c r="H361" s="17"/>
    </row>
    <row r="362">
      <c r="A362" s="17" t="str">
        <f>IFERROR(__xludf.DUMMYFUNCTION("""COMPUTED_VALUE"""),"Sugar Cosmetics")</f>
        <v>Sugar Cosmetics</v>
      </c>
      <c r="B362" s="17" t="str">
        <f>IFERROR(__xludf.DUMMYFUNCTION("""COMPUTED_VALUE"""),"Vineeta Singh")</f>
        <v>Vineeta Singh</v>
      </c>
      <c r="C362" s="17" t="str">
        <f>IFERROR(__xludf.DUMMYFUNCTION("""COMPUTED_VALUE"""),"Co-founder &amp; CEO")</f>
        <v>Co-founder &amp; CEO</v>
      </c>
      <c r="D362" s="27" t="str">
        <f>IFERROR(__xludf.DUMMYFUNCTION("""COMPUTED_VALUE"""),"https://www.linkedin.com/in/vineetasingh-sugar/")</f>
        <v>https://www.linkedin.com/in/vineetasingh-sugar/</v>
      </c>
      <c r="E362" s="17" t="str">
        <f>IFERROR(__xludf.DUMMYFUNCTION("""COMPUTED_VALUE"""),"919377958010")</f>
        <v>919377958010</v>
      </c>
      <c r="F362" s="17" t="str">
        <f>IFERROR(__xludf.DUMMYFUNCTION("""COMPUTED_VALUE"""),"vineetasing@gmail.com")</f>
        <v>vineetasing@gmail.com</v>
      </c>
      <c r="G362" s="17"/>
      <c r="H362" s="17"/>
    </row>
    <row r="363">
      <c r="A363" s="17" t="str">
        <f>IFERROR(__xludf.DUMMYFUNCTION("""COMPUTED_VALUE"""),"Sugar Cosmetics")</f>
        <v>Sugar Cosmetics</v>
      </c>
      <c r="B363" s="17" t="str">
        <f>IFERROR(__xludf.DUMMYFUNCTION("""COMPUTED_VALUE"""),"Kaushik Mukherjee")</f>
        <v>Kaushik Mukherjee</v>
      </c>
      <c r="C363" s="17" t="str">
        <f>IFERROR(__xludf.DUMMYFUNCTION("""COMPUTED_VALUE"""),"Co-founder &amp; COO")</f>
        <v>Co-founder &amp; COO</v>
      </c>
      <c r="D363" s="27" t="str">
        <f>IFERROR(__xludf.DUMMYFUNCTION("""COMPUTED_VALUE"""),"https://www.linkedin.com/in/kaushikmukherjee/")</f>
        <v>https://www.linkedin.com/in/kaushikmukherjee/</v>
      </c>
      <c r="E363" s="17"/>
      <c r="F363" s="17"/>
      <c r="G363" s="17"/>
      <c r="H363" s="17"/>
    </row>
    <row r="364">
      <c r="A364" s="17" t="str">
        <f>IFERROR(__xludf.DUMMYFUNCTION("""COMPUTED_VALUE"""),"BlueStone")</f>
        <v>BlueStone</v>
      </c>
      <c r="B364" s="17" t="str">
        <f>IFERROR(__xludf.DUMMYFUNCTION("""COMPUTED_VALUE"""),"Gaurav Singh Kushwaha")</f>
        <v>Gaurav Singh Kushwaha</v>
      </c>
      <c r="C364" s="17" t="str">
        <f>IFERROR(__xludf.DUMMYFUNCTION("""COMPUTED_VALUE"""),"Founder &amp; CEO")</f>
        <v>Founder &amp; CEO</v>
      </c>
      <c r="D364" s="27" t="str">
        <f>IFERROR(__xludf.DUMMYFUNCTION("""COMPUTED_VALUE"""),"https://www.linkedin.com/in/gskush/")</f>
        <v>https://www.linkedin.com/in/gskush/</v>
      </c>
      <c r="E364" s="17"/>
      <c r="F364" s="17" t="str">
        <f>IFERROR(__xludf.DUMMYFUNCTION("""COMPUTED_VALUE"""),"gauravkushwaha@gmail.com")</f>
        <v>gauravkushwaha@gmail.com</v>
      </c>
      <c r="G364" s="17"/>
      <c r="H364" s="17"/>
    </row>
    <row r="365">
      <c r="A365" s="17" t="str">
        <f>IFERROR(__xludf.DUMMYFUNCTION("""COMPUTED_VALUE"""),"Melorra")</f>
        <v>Melorra</v>
      </c>
      <c r="B365" s="17" t="str">
        <f>IFERROR(__xludf.DUMMYFUNCTION("""COMPUTED_VALUE"""),"Saroja Yeramilli")</f>
        <v>Saroja Yeramilli</v>
      </c>
      <c r="C365" s="17" t="str">
        <f>IFERROR(__xludf.DUMMYFUNCTION("""COMPUTED_VALUE"""),"Founder &amp; CEO")</f>
        <v>Founder &amp; CEO</v>
      </c>
      <c r="D365" s="27" t="str">
        <f>IFERROR(__xludf.DUMMYFUNCTION("""COMPUTED_VALUE"""),"linkedin.com/in/saroja-yeramilli-2540321?originalSubdomain=in")</f>
        <v>linkedin.com/in/saroja-yeramilli-2540321?originalSubdomain=in</v>
      </c>
      <c r="E365" s="17" t="str">
        <f>IFERROR(__xludf.DUMMYFUNCTION("""COMPUTED_VALUE"""),"919740060333")</f>
        <v>919740060333</v>
      </c>
      <c r="F365" s="17" t="str">
        <f>IFERROR(__xludf.DUMMYFUNCTION("""COMPUTED_VALUE"""),"ylsaroja@gmail.com")</f>
        <v>ylsaroja@gmail.com</v>
      </c>
      <c r="G365" s="17"/>
      <c r="H365" s="17"/>
    </row>
    <row r="366">
      <c r="A366" s="17" t="str">
        <f>IFERROR(__xludf.DUMMYFUNCTION("""COMPUTED_VALUE"""),"Giva")</f>
        <v>Giva</v>
      </c>
      <c r="B366" s="17" t="str">
        <f>IFERROR(__xludf.DUMMYFUNCTION("""COMPUTED_VALUE"""),"Ishendra Agarwal")</f>
        <v>Ishendra Agarwal</v>
      </c>
      <c r="C366" s="17" t="str">
        <f>IFERROR(__xludf.DUMMYFUNCTION("""COMPUTED_VALUE"""),"Founder")</f>
        <v>Founder</v>
      </c>
      <c r="D366" s="27" t="str">
        <f>IFERROR(__xludf.DUMMYFUNCTION("""COMPUTED_VALUE"""),"https://www.linkedin.com/in/ishendra-agarwal-23a91a55/")</f>
        <v>https://www.linkedin.com/in/ishendra-agarwal-23a91a55/</v>
      </c>
      <c r="E366" s="17"/>
      <c r="F366" s="17" t="str">
        <f>IFERROR(__xludf.DUMMYFUNCTION("""COMPUTED_VALUE"""),"ishendra@giva.co")</f>
        <v>ishendra@giva.co</v>
      </c>
      <c r="G366" s="17"/>
      <c r="H366" s="17"/>
    </row>
    <row r="367">
      <c r="A367" s="17" t="str">
        <f>IFERROR(__xludf.DUMMYFUNCTION("""COMPUTED_VALUE"""),"Giva")</f>
        <v>Giva</v>
      </c>
      <c r="B367" s="17" t="str">
        <f>IFERROR(__xludf.DUMMYFUNCTION("""COMPUTED_VALUE"""),"Nikita Prasad")</f>
        <v>Nikita Prasad</v>
      </c>
      <c r="C367" s="17" t="str">
        <f>IFERROR(__xludf.DUMMYFUNCTION("""COMPUTED_VALUE"""),"Co-founder")</f>
        <v>Co-founder</v>
      </c>
      <c r="D367" s="27" t="str">
        <f>IFERROR(__xludf.DUMMYFUNCTION("""COMPUTED_VALUE"""),"https://www.linkedin.com/in/nikita-prasad-giva/")</f>
        <v>https://www.linkedin.com/in/nikita-prasad-giva/</v>
      </c>
      <c r="E367" s="17"/>
      <c r="F367" s="17"/>
      <c r="G367" s="17"/>
      <c r="H367" s="17"/>
    </row>
    <row r="368">
      <c r="A368" s="17" t="str">
        <f>IFERROR(__xludf.DUMMYFUNCTION("""COMPUTED_VALUE"""),"Country Delight")</f>
        <v>Country Delight</v>
      </c>
      <c r="B368" s="17" t="str">
        <f>IFERROR(__xludf.DUMMYFUNCTION("""COMPUTED_VALUE"""),"Chakradhar Gade")</f>
        <v>Chakradhar Gade</v>
      </c>
      <c r="C368" s="17" t="str">
        <f>IFERROR(__xludf.DUMMYFUNCTION("""COMPUTED_VALUE"""),"Co-founder &amp; CEO")</f>
        <v>Co-founder &amp; CEO</v>
      </c>
      <c r="D368" s="27" t="str">
        <f>IFERROR(__xludf.DUMMYFUNCTION("""COMPUTED_VALUE"""),"https://www.linkedin.com/in/chakradhar-gade/")</f>
        <v>https://www.linkedin.com/in/chakradhar-gade/</v>
      </c>
      <c r="E368" s="17" t="str">
        <f>IFERROR(__xludf.DUMMYFUNCTION("""COMPUTED_VALUE"""),"919958340991")</f>
        <v>919958340991</v>
      </c>
      <c r="F368" s="17" t="str">
        <f>IFERROR(__xludf.DUMMYFUNCTION("""COMPUTED_VALUE"""),"chakrigade@gmail.com")</f>
        <v>chakrigade@gmail.com</v>
      </c>
      <c r="G368" s="17"/>
      <c r="H368" s="17"/>
    </row>
    <row r="369">
      <c r="A369" s="17" t="str">
        <f>IFERROR(__xludf.DUMMYFUNCTION("""COMPUTED_VALUE"""),"Country Delight")</f>
        <v>Country Delight</v>
      </c>
      <c r="B369" s="17" t="str">
        <f>IFERROR(__xludf.DUMMYFUNCTION("""COMPUTED_VALUE"""),"Nitin Kaushal")</f>
        <v>Nitin Kaushal</v>
      </c>
      <c r="C369" s="17" t="str">
        <f>IFERROR(__xludf.DUMMYFUNCTION("""COMPUTED_VALUE"""),"Co-founder &amp; COO")</f>
        <v>Co-founder &amp; COO</v>
      </c>
      <c r="D369" s="27" t="str">
        <f>IFERROR(__xludf.DUMMYFUNCTION("""COMPUTED_VALUE"""),"https://www.linkedin.com/in/nitin-kaushal-cd/")</f>
        <v>https://www.linkedin.com/in/nitin-kaushal-cd/</v>
      </c>
      <c r="E369" s="17"/>
      <c r="F369" s="17"/>
      <c r="G369" s="17"/>
      <c r="H369" s="17"/>
    </row>
    <row r="370">
      <c r="A370" s="17" t="str">
        <f>IFERROR(__xludf.DUMMYFUNCTION("""COMPUTED_VALUE"""),"WoodenStreet")</f>
        <v>WoodenStreet</v>
      </c>
      <c r="B370" s="17" t="str">
        <f>IFERROR(__xludf.DUMMYFUNCTION("""COMPUTED_VALUE"""),"Lokendra Ranawat")</f>
        <v>Lokendra Ranawat</v>
      </c>
      <c r="C370" s="17" t="str">
        <f>IFERROR(__xludf.DUMMYFUNCTION("""COMPUTED_VALUE"""),"Co-founder &amp; CEO")</f>
        <v>Co-founder &amp; CEO</v>
      </c>
      <c r="D370" s="27" t="str">
        <f>IFERROR(__xludf.DUMMYFUNCTION("""COMPUTED_VALUE"""),"https://www.linkedin.com/in/lokendra-singh-ranawat-84324117/")</f>
        <v>https://www.linkedin.com/in/lokendra-singh-ranawat-84324117/</v>
      </c>
      <c r="E370" s="17" t="str">
        <f>IFERROR(__xludf.DUMMYFUNCTION("""COMPUTED_VALUE"""),"442034110504")</f>
        <v>442034110504</v>
      </c>
      <c r="F370" s="17" t="str">
        <f>IFERROR(__xludf.DUMMYFUNCTION("""COMPUTED_VALUE"""),"ranawat.lokendra@yahoo.com")</f>
        <v>ranawat.lokendra@yahoo.com</v>
      </c>
      <c r="G370" s="17"/>
      <c r="H370" s="17"/>
    </row>
    <row r="371">
      <c r="A371" s="17" t="str">
        <f>IFERROR(__xludf.DUMMYFUNCTION("""COMPUTED_VALUE"""),"WoodenStreet")</f>
        <v>WoodenStreet</v>
      </c>
      <c r="B371" s="17" t="str">
        <f>IFERROR(__xludf.DUMMYFUNCTION("""COMPUTED_VALUE"""),"Virendra Ranawat")</f>
        <v>Virendra Ranawat</v>
      </c>
      <c r="C371" s="17" t="str">
        <f>IFERROR(__xludf.DUMMYFUNCTION("""COMPUTED_VALUE"""),"Co-founder")</f>
        <v>Co-founder</v>
      </c>
      <c r="D371" s="27" t="str">
        <f>IFERROR(__xludf.DUMMYFUNCTION("""COMPUTED_VALUE"""),"https://www.linkedin.com/in/virendra-ranawat/")</f>
        <v>https://www.linkedin.com/in/virendra-ranawat/</v>
      </c>
      <c r="E371" s="17"/>
      <c r="F371" s="17"/>
      <c r="G371" s="17"/>
      <c r="H371" s="17"/>
    </row>
    <row r="372">
      <c r="A372" s="17" t="str">
        <f>IFERROR(__xludf.DUMMYFUNCTION("""COMPUTED_VALUE"""),"HomeLane")</f>
        <v>HomeLane</v>
      </c>
      <c r="B372" s="17" t="str">
        <f>IFERROR(__xludf.DUMMYFUNCTION("""COMPUTED_VALUE"""),"Srikanth Iyer")</f>
        <v>Srikanth Iyer</v>
      </c>
      <c r="C372" s="17" t="str">
        <f>IFERROR(__xludf.DUMMYFUNCTION("""COMPUTED_VALUE"""),"Co-founder &amp; CEO")</f>
        <v>Co-founder &amp; CEO</v>
      </c>
      <c r="D372" s="27" t="str">
        <f>IFERROR(__xludf.DUMMYFUNCTION("""COMPUTED_VALUE"""),"https://www.linkedin.com/in/iyersrikanth/")</f>
        <v>https://www.linkedin.com/in/iyersrikanth/</v>
      </c>
      <c r="E372" s="17" t="str">
        <f>IFERROR(__xludf.DUMMYFUNCTION("""COMPUTED_VALUE"""),"912064865701")</f>
        <v>912064865701</v>
      </c>
      <c r="F372" s="17" t="str">
        <f>IFERROR(__xludf.DUMMYFUNCTION("""COMPUTED_VALUE"""),"srikanthbiyer@gmail.com")</f>
        <v>srikanthbiyer@gmail.com</v>
      </c>
      <c r="G372" s="17"/>
      <c r="H372" s="17"/>
    </row>
    <row r="373">
      <c r="A373" s="17" t="str">
        <f>IFERROR(__xludf.DUMMYFUNCTION("""COMPUTED_VALUE"""),"HomeLane")</f>
        <v>HomeLane</v>
      </c>
      <c r="B373" s="17" t="str">
        <f>IFERROR(__xludf.DUMMYFUNCTION("""COMPUTED_VALUE"""),"Tanuj Choudhry")</f>
        <v>Tanuj Choudhry</v>
      </c>
      <c r="C373" s="17" t="str">
        <f>IFERROR(__xludf.DUMMYFUNCTION("""COMPUTED_VALUE"""),"Co-founder &amp; COO")</f>
        <v>Co-founder &amp; COO</v>
      </c>
      <c r="D373" s="27" t="str">
        <f>IFERROR(__xludf.DUMMYFUNCTION("""COMPUTED_VALUE"""),"https://www.linkedin.com/in/tanuj-choudhry/")</f>
        <v>https://www.linkedin.com/in/tanuj-choudhry/</v>
      </c>
      <c r="E373" s="17"/>
      <c r="F373" s="17"/>
      <c r="G373" s="17"/>
      <c r="H373" s="17"/>
    </row>
    <row r="374">
      <c r="A374" s="17" t="str">
        <f>IFERROR(__xludf.DUMMYFUNCTION("""COMPUTED_VALUE"""),"Wakefit")</f>
        <v>Wakefit</v>
      </c>
      <c r="B374" s="17" t="str">
        <f>IFERROR(__xludf.DUMMYFUNCTION("""COMPUTED_VALUE"""),"Ankit Garg")</f>
        <v>Ankit Garg</v>
      </c>
      <c r="C374" s="17" t="str">
        <f>IFERROR(__xludf.DUMMYFUNCTION("""COMPUTED_VALUE"""),"Co-founder &amp; CEO")</f>
        <v>Co-founder &amp; CEO</v>
      </c>
      <c r="D374" s="27" t="str">
        <f>IFERROR(__xludf.DUMMYFUNCTION("""COMPUTED_VALUE"""),"https://www.linkedin.com/in/ankitgarg-wakefit/")</f>
        <v>https://www.linkedin.com/in/ankitgarg-wakefit/</v>
      </c>
      <c r="E374" s="17"/>
      <c r="F374" s="17" t="str">
        <f>IFERROR(__xludf.DUMMYFUNCTION("""COMPUTED_VALUE"""),"ankit.garg@wakefit.co")</f>
        <v>ankit.garg@wakefit.co</v>
      </c>
      <c r="G374" s="17"/>
      <c r="H374" s="17"/>
    </row>
    <row r="375">
      <c r="A375" s="17" t="str">
        <f>IFERROR(__xludf.DUMMYFUNCTION("""COMPUTED_VALUE"""),"Wakefit")</f>
        <v>Wakefit</v>
      </c>
      <c r="B375" s="17" t="str">
        <f>IFERROR(__xludf.DUMMYFUNCTION("""COMPUTED_VALUE"""),"Chaitanya Ramalingegowda")</f>
        <v>Chaitanya Ramalingegowda</v>
      </c>
      <c r="C375" s="17" t="str">
        <f>IFERROR(__xludf.DUMMYFUNCTION("""COMPUTED_VALUE"""),"Co-founder")</f>
        <v>Co-founder</v>
      </c>
      <c r="D375" s="27" t="str">
        <f>IFERROR(__xludf.DUMMYFUNCTION("""COMPUTED_VALUE"""),"https://www.linkedin.com/in/chaitanyaramalingegowda/")</f>
        <v>https://www.linkedin.com/in/chaitanyaramalingegowda/</v>
      </c>
      <c r="E375" s="17"/>
      <c r="F375" s="17"/>
      <c r="G375" s="17"/>
      <c r="H375" s="17"/>
    </row>
    <row r="376">
      <c r="A376" s="17" t="str">
        <f>IFERROR(__xludf.DUMMYFUNCTION("""COMPUTED_VALUE"""),"Bombay Shaving Co.")</f>
        <v>Bombay Shaving Co.</v>
      </c>
      <c r="B376" s="17" t="str">
        <f>IFERROR(__xludf.DUMMYFUNCTION("""COMPUTED_VALUE"""),"Shantanu Deshpande")</f>
        <v>Shantanu Deshpande</v>
      </c>
      <c r="C376" s="17" t="str">
        <f>IFERROR(__xludf.DUMMYFUNCTION("""COMPUTED_VALUE"""),"Founder &amp; CEO")</f>
        <v>Founder &amp; CEO</v>
      </c>
      <c r="D376" s="27" t="str">
        <f>IFERROR(__xludf.DUMMYFUNCTION("""COMPUTED_VALUE"""),"https://www.linkedin.com/in/shantanudeshpandebsc/")</f>
        <v>https://www.linkedin.com/in/shantanudeshpandebsc/</v>
      </c>
      <c r="E376" s="17"/>
      <c r="F376" s="17" t="str">
        <f>IFERROR(__xludf.DUMMYFUNCTION("""COMPUTED_VALUE"""),"shantanudeshpande@bombayshavingcompany.com")</f>
        <v>shantanudeshpande@bombayshavingcompany.com</v>
      </c>
      <c r="G376" s="17"/>
      <c r="H376" s="17"/>
    </row>
    <row r="377">
      <c r="A377" s="17" t="str">
        <f>IFERROR(__xludf.DUMMYFUNCTION("""COMPUTED_VALUE"""),"mCaffeine")</f>
        <v>mCaffeine</v>
      </c>
      <c r="B377" s="17" t="str">
        <f>IFERROR(__xludf.DUMMYFUNCTION("""COMPUTED_VALUE"""),"Tarun Sharma")</f>
        <v>Tarun Sharma</v>
      </c>
      <c r="C377" s="17" t="str">
        <f>IFERROR(__xludf.DUMMYFUNCTION("""COMPUTED_VALUE"""),"Co-founder &amp; CEO")</f>
        <v>Co-founder &amp; CEO</v>
      </c>
      <c r="D377" s="27" t="str">
        <f>IFERROR(__xludf.DUMMYFUNCTION("""COMPUTED_VALUE"""),"https://www.linkedin.com/in/tarun-sharma-a5993328?originalSubdomain=in")</f>
        <v>https://www.linkedin.com/in/tarun-sharma-a5993328?originalSubdomain=in</v>
      </c>
      <c r="E377" s="17"/>
      <c r="F377" s="17" t="str">
        <f>IFERROR(__xludf.DUMMYFUNCTION("""COMPUTED_VALUE"""),"tsharma@letshyphen.com")</f>
        <v>tsharma@letshyphen.com</v>
      </c>
      <c r="G377" s="17"/>
      <c r="H377" s="17"/>
    </row>
    <row r="378">
      <c r="A378" s="17" t="str">
        <f>IFERROR(__xludf.DUMMYFUNCTION("""COMPUTED_VALUE"""),"mCaffeine")</f>
        <v>mCaffeine</v>
      </c>
      <c r="B378" s="17" t="str">
        <f>IFERROR(__xludf.DUMMYFUNCTION("""COMPUTED_VALUE"""),"Vikas Lachhwani")</f>
        <v>Vikas Lachhwani</v>
      </c>
      <c r="C378" s="17" t="str">
        <f>IFERROR(__xludf.DUMMYFUNCTION("""COMPUTED_VALUE"""),"Co-founder")</f>
        <v>Co-founder</v>
      </c>
      <c r="D378" s="27" t="str">
        <f>IFERROR(__xludf.DUMMYFUNCTION("""COMPUTED_VALUE"""),"https://www.linkedin.com/in/vikas-lachhwani/")</f>
        <v>https://www.linkedin.com/in/vikas-lachhwani/</v>
      </c>
      <c r="E378" s="17"/>
      <c r="F378" s="17"/>
      <c r="G378" s="17"/>
      <c r="H378" s="17"/>
    </row>
    <row r="379">
      <c r="A379" s="17" t="str">
        <f>IFERROR(__xludf.DUMMYFUNCTION("""COMPUTED_VALUE"""),"Plum")</f>
        <v>Plum</v>
      </c>
      <c r="B379" s="17" t="str">
        <f>IFERROR(__xludf.DUMMYFUNCTION("""COMPUTED_VALUE"""),"Shankar Prasad")</f>
        <v>Shankar Prasad</v>
      </c>
      <c r="C379" s="17" t="str">
        <f>IFERROR(__xludf.DUMMYFUNCTION("""COMPUTED_VALUE"""),"Founder &amp; CEO")</f>
        <v>Founder &amp; CEO</v>
      </c>
      <c r="D379" s="27" t="str">
        <f>IFERROR(__xludf.DUMMYFUNCTION("""COMPUTED_VALUE"""),"linkedin.com/in/shankarprasad?originalSubdomain=in")</f>
        <v>linkedin.com/in/shankarprasad?originalSubdomain=in</v>
      </c>
      <c r="E379" s="17" t="str">
        <f>IFERROR(__xludf.DUMMYFUNCTION("""COMPUTED_VALUE"""),"919987615086")</f>
        <v>919987615086</v>
      </c>
      <c r="F379" s="17" t="str">
        <f>IFERROR(__xludf.DUMMYFUNCTION("""COMPUTED_VALUE"""),"shankarprasadssp@gmail.com")</f>
        <v>shankarprasadssp@gmail.com</v>
      </c>
      <c r="G379" s="17"/>
      <c r="H379" s="17"/>
    </row>
    <row r="380">
      <c r="A380" s="17" t="str">
        <f>IFERROR(__xludf.DUMMYFUNCTION("""COMPUTED_VALUE"""),"Minimalist")</f>
        <v>Minimalist</v>
      </c>
      <c r="B380" s="17" t="str">
        <f>IFERROR(__xludf.DUMMYFUNCTION("""COMPUTED_VALUE"""),"Mohit Yadav")</f>
        <v>Mohit Yadav</v>
      </c>
      <c r="C380" s="17" t="str">
        <f>IFERROR(__xludf.DUMMYFUNCTION("""COMPUTED_VALUE"""),"Co-founder")</f>
        <v>Co-founder</v>
      </c>
      <c r="D380" s="27" t="str">
        <f>IFERROR(__xludf.DUMMYFUNCTION("""COMPUTED_VALUE"""),"https://www.linkedin.com/in/mohit-yadav-minimalist/")</f>
        <v>https://www.linkedin.com/in/mohit-yadav-minimalist/</v>
      </c>
      <c r="E380" s="17"/>
      <c r="F380" s="17" t="str">
        <f>IFERROR(__xludf.DUMMYFUNCTION("""COMPUTED_VALUE"""),"mohit@beminimalist.co")</f>
        <v>mohit@beminimalist.co</v>
      </c>
      <c r="G380" s="17"/>
      <c r="H380" s="17"/>
    </row>
    <row r="381">
      <c r="A381" s="17" t="str">
        <f>IFERROR(__xludf.DUMMYFUNCTION("""COMPUTED_VALUE"""),"Minimalist")</f>
        <v>Minimalist</v>
      </c>
      <c r="B381" s="17" t="str">
        <f>IFERROR(__xludf.DUMMYFUNCTION("""COMPUTED_VALUE"""),"Rahul Yadav")</f>
        <v>Rahul Yadav</v>
      </c>
      <c r="C381" s="17" t="str">
        <f>IFERROR(__xludf.DUMMYFUNCTION("""COMPUTED_VALUE"""),"Co-founder")</f>
        <v>Co-founder</v>
      </c>
      <c r="D381" s="27" t="str">
        <f>IFERROR(__xludf.DUMMYFUNCTION("""COMPUTED_VALUE"""),"https://www.linkedin.com/in/rahul-yadav-minimalist/")</f>
        <v>https://www.linkedin.com/in/rahul-yadav-minimalist/</v>
      </c>
      <c r="E381" s="17"/>
      <c r="F381" s="17"/>
      <c r="G381" s="17"/>
      <c r="H381" s="17"/>
    </row>
    <row r="382">
      <c r="A382" s="17" t="str">
        <f>IFERROR(__xludf.DUMMYFUNCTION("""COMPUTED_VALUE"""),"Heads Up For Tails")</f>
        <v>Heads Up For Tails</v>
      </c>
      <c r="B382" s="17" t="str">
        <f>IFERROR(__xludf.DUMMYFUNCTION("""COMPUTED_VALUE"""),"Rashi Narang")</f>
        <v>Rashi Narang</v>
      </c>
      <c r="C382" s="17" t="str">
        <f>IFERROR(__xludf.DUMMYFUNCTION("""COMPUTED_VALUE"""),"Founder")</f>
        <v>Founder</v>
      </c>
      <c r="D382" s="27" t="str">
        <f>IFERROR(__xludf.DUMMYFUNCTION("""COMPUTED_VALUE"""),"https://www.linkedin.com/in/rashinarang/")</f>
        <v>https://www.linkedin.com/in/rashinarang/</v>
      </c>
      <c r="E382" s="17" t="str">
        <f>IFERROR(__xludf.DUMMYFUNCTION("""COMPUTED_VALUE"""),"918041317297")</f>
        <v>918041317297</v>
      </c>
      <c r="F382" s="17" t="str">
        <f>IFERROR(__xludf.DUMMYFUNCTION("""COMPUTED_VALUE"""),"rashi@headsupfortails.com")</f>
        <v>rashi@headsupfortails.com</v>
      </c>
      <c r="G382" s="17"/>
      <c r="H382" s="17"/>
    </row>
    <row r="383">
      <c r="A383" s="17" t="str">
        <f>IFERROR(__xludf.DUMMYFUNCTION("""COMPUTED_VALUE"""),"Heads Up For Tails")</f>
        <v>Heads Up For Tails</v>
      </c>
      <c r="B383" s="17" t="str">
        <f>IFERROR(__xludf.DUMMYFUNCTION("""COMPUTED_VALUE"""),"Samarth Narang")</f>
        <v>Samarth Narang</v>
      </c>
      <c r="C383" s="17" t="str">
        <f>IFERROR(__xludf.DUMMYFUNCTION("""COMPUTED_VALUE"""),"CEO")</f>
        <v>CEO</v>
      </c>
      <c r="D383" s="27" t="str">
        <f>IFERROR(__xludf.DUMMYFUNCTION("""COMPUTED_VALUE"""),"https://www.linkedin.com/in/samarth-narang/")</f>
        <v>https://www.linkedin.com/in/samarth-narang/</v>
      </c>
      <c r="E383" s="17"/>
      <c r="F383" s="17"/>
      <c r="G383" s="17"/>
      <c r="H383" s="17"/>
    </row>
    <row r="384">
      <c r="A384" s="17" t="str">
        <f>IFERROR(__xludf.DUMMYFUNCTION("""COMPUTED_VALUE"""),"BluSmart")</f>
        <v>BluSmart</v>
      </c>
      <c r="B384" s="17" t="str">
        <f>IFERROR(__xludf.DUMMYFUNCTION("""COMPUTED_VALUE"""),"Anmol Singh Jaggi")</f>
        <v>Anmol Singh Jaggi</v>
      </c>
      <c r="C384" s="17" t="str">
        <f>IFERROR(__xludf.DUMMYFUNCTION("""COMPUTED_VALUE"""),"Co-founder")</f>
        <v>Co-founder</v>
      </c>
      <c r="D384" s="27" t="str">
        <f>IFERROR(__xludf.DUMMYFUNCTION("""COMPUTED_VALUE"""),"https://www.linkedin.com/in/anmolsinghjaggi/")</f>
        <v>https://www.linkedin.com/in/anmolsinghjaggi/</v>
      </c>
      <c r="E384" s="17"/>
      <c r="F384" s="17" t="str">
        <f>IFERROR(__xludf.DUMMYFUNCTION("""COMPUTED_VALUE"""),"ajaggi@ypo.org")</f>
        <v>ajaggi@ypo.org</v>
      </c>
      <c r="G384" s="17"/>
      <c r="H384" s="17"/>
    </row>
    <row r="385">
      <c r="A385" s="17" t="str">
        <f>IFERROR(__xludf.DUMMYFUNCTION("""COMPUTED_VALUE"""),"BluSmart")</f>
        <v>BluSmart</v>
      </c>
      <c r="B385" s="17" t="str">
        <f>IFERROR(__xludf.DUMMYFUNCTION("""COMPUTED_VALUE"""),"Punit K Goyal")</f>
        <v>Punit K Goyal</v>
      </c>
      <c r="C385" s="17" t="str">
        <f>IFERROR(__xludf.DUMMYFUNCTION("""COMPUTED_VALUE"""),"Co-founder")</f>
        <v>Co-founder</v>
      </c>
      <c r="D385" s="27" t="str">
        <f>IFERROR(__xludf.DUMMYFUNCTION("""COMPUTED_VALUE"""),"https://www.linkedin.com/in/punit-k-goyal/")</f>
        <v>https://www.linkedin.com/in/punit-k-goyal/</v>
      </c>
      <c r="E385" s="17"/>
      <c r="F385" s="17"/>
      <c r="G385" s="17"/>
      <c r="H385" s="17"/>
    </row>
    <row r="386">
      <c r="A386" s="17" t="str">
        <f>IFERROR(__xludf.DUMMYFUNCTION("""COMPUTED_VALUE"""),"Kuku FM")</f>
        <v>Kuku FM</v>
      </c>
      <c r="B386" s="17" t="str">
        <f>IFERROR(__xludf.DUMMYFUNCTION("""COMPUTED_VALUE"""),"Lal Chand Bisu")</f>
        <v>Lal Chand Bisu</v>
      </c>
      <c r="C386" s="17" t="str">
        <f>IFERROR(__xludf.DUMMYFUNCTION("""COMPUTED_VALUE"""),"Co-founder &amp; CEO")</f>
        <v>Co-founder &amp; CEO</v>
      </c>
      <c r="D386" s="27" t="str">
        <f>IFERROR(__xludf.DUMMYFUNCTION("""COMPUTED_VALUE"""),"https://www.linkedin.com/in/lalchandbisu/")</f>
        <v>https://www.linkedin.com/in/lalchandbisu/</v>
      </c>
      <c r="E386" s="17"/>
      <c r="F386" s="17"/>
      <c r="G386" s="17"/>
      <c r="H386" s="17"/>
    </row>
    <row r="387">
      <c r="A387" s="17" t="str">
        <f>IFERROR(__xludf.DUMMYFUNCTION("""COMPUTED_VALUE"""),"Kuku FM")</f>
        <v>Kuku FM</v>
      </c>
      <c r="B387" s="17" t="str">
        <f>IFERROR(__xludf.DUMMYFUNCTION("""COMPUTED_VALUE"""),"Vinod Kumar Meena")</f>
        <v>Vinod Kumar Meena</v>
      </c>
      <c r="C387" s="17" t="str">
        <f>IFERROR(__xludf.DUMMYFUNCTION("""COMPUTED_VALUE"""),"Co-founder &amp; COO")</f>
        <v>Co-founder &amp; COO</v>
      </c>
      <c r="D387" s="27" t="str">
        <f>IFERROR(__xludf.DUMMYFUNCTION("""COMPUTED_VALUE"""),"https://www.linkedin.com/in/vinod-kumar-meena-0b3a165a/")</f>
        <v>https://www.linkedin.com/in/vinod-kumar-meena-0b3a165a/</v>
      </c>
      <c r="E387" s="17" t="str">
        <f>IFERROR(__xludf.DUMMYFUNCTION("""COMPUTED_VALUE"""),"919461184414")</f>
        <v>919461184414</v>
      </c>
      <c r="F387" s="17" t="str">
        <f>IFERROR(__xludf.DUMMYFUNCTION("""COMPUTED_VALUE"""),"vinod2292@gmail.com")</f>
        <v>vinod2292@gmail.com</v>
      </c>
      <c r="G387" s="17"/>
      <c r="H387" s="17"/>
    </row>
    <row r="388">
      <c r="A388" s="17" t="str">
        <f>IFERROR(__xludf.DUMMYFUNCTION("""COMPUTED_VALUE"""),"Kuku FM")</f>
        <v>Kuku FM</v>
      </c>
      <c r="B388" s="17" t="str">
        <f>IFERROR(__xludf.DUMMYFUNCTION("""COMPUTED_VALUE"""),"Vikas Goyal")</f>
        <v>Vikas Goyal</v>
      </c>
      <c r="C388" s="17" t="str">
        <f>IFERROR(__xludf.DUMMYFUNCTION("""COMPUTED_VALUE"""),"Co-founder &amp; CTO")</f>
        <v>Co-founder &amp; CTO</v>
      </c>
      <c r="D388" s="27" t="str">
        <f>IFERROR(__xludf.DUMMYFUNCTION("""COMPUTED_VALUE"""),"https://www.linkedin.com/in/vikas-goyal-76a66627/")</f>
        <v>https://www.linkedin.com/in/vikas-goyal-76a66627/</v>
      </c>
      <c r="E388" s="17"/>
      <c r="F388" s="17"/>
      <c r="G388" s="17"/>
      <c r="H388" s="17"/>
    </row>
    <row r="389">
      <c r="A389" s="17" t="str">
        <f>IFERROR(__xludf.DUMMYFUNCTION("""COMPUTED_VALUE"""),"Cashify")</f>
        <v>Cashify</v>
      </c>
      <c r="B389" s="17" t="str">
        <f>IFERROR(__xludf.DUMMYFUNCTION("""COMPUTED_VALUE"""),"Mandeep Manocha")</f>
        <v>Mandeep Manocha</v>
      </c>
      <c r="C389" s="17" t="str">
        <f>IFERROR(__xludf.DUMMYFUNCTION("""COMPUTED_VALUE"""),"Co-founder &amp; CEO")</f>
        <v>Co-founder &amp; CEO</v>
      </c>
      <c r="D389" s="27" t="str">
        <f>IFERROR(__xludf.DUMMYFUNCTION("""COMPUTED_VALUE"""),"https://www.linkedin.com/in/mandeepmanocha/")</f>
        <v>https://www.linkedin.com/in/mandeepmanocha/</v>
      </c>
      <c r="E389" s="17" t="str">
        <f>IFERROR(__xludf.DUMMYFUNCTION("""COMPUTED_VALUE"""),"919650328210")</f>
        <v>919650328210</v>
      </c>
      <c r="F389" s="17" t="str">
        <f>IFERROR(__xludf.DUMMYFUNCTION("""COMPUTED_VALUE"""),"manochamandeep@gmail.com")</f>
        <v>manochamandeep@gmail.com</v>
      </c>
      <c r="G389" s="17"/>
      <c r="H389" s="17"/>
    </row>
    <row r="390">
      <c r="A390" s="17" t="str">
        <f>IFERROR(__xludf.DUMMYFUNCTION("""COMPUTED_VALUE"""),"Cashify")</f>
        <v>Cashify</v>
      </c>
      <c r="B390" s="17" t="str">
        <f>IFERROR(__xludf.DUMMYFUNCTION("""COMPUTED_VALUE"""),"Nakul Kumar")</f>
        <v>Nakul Kumar</v>
      </c>
      <c r="C390" s="17" t="str">
        <f>IFERROR(__xludf.DUMMYFUNCTION("""COMPUTED_VALUE"""),"Co-founder &amp; CMO")</f>
        <v>Co-founder &amp; CMO</v>
      </c>
      <c r="D390" s="27" t="str">
        <f>IFERROR(__xludf.DUMMYFUNCTION("""COMPUTED_VALUE"""),"https://www.linkedin.com/in/nakulkumar/")</f>
        <v>https://www.linkedin.com/in/nakulkumar/</v>
      </c>
      <c r="E390" s="17"/>
      <c r="F390" s="17"/>
      <c r="G390" s="17"/>
      <c r="H390" s="17"/>
    </row>
    <row r="391">
      <c r="A391" s="17" t="str">
        <f>IFERROR(__xludf.DUMMYFUNCTION("""COMPUTED_VALUE"""),"InsuranceDekho")</f>
        <v>InsuranceDekho</v>
      </c>
      <c r="B391" s="17" t="str">
        <f>IFERROR(__xludf.DUMMYFUNCTION("""COMPUTED_VALUE"""),"Ankit Agrawal")</f>
        <v>Ankit Agrawal</v>
      </c>
      <c r="C391" s="17" t="str">
        <f>IFERROR(__xludf.DUMMYFUNCTION("""COMPUTED_VALUE"""),"Founder &amp; CEO")</f>
        <v>Founder &amp; CEO</v>
      </c>
      <c r="D391" s="27" t="str">
        <f>IFERROR(__xludf.DUMMYFUNCTION("""COMPUTED_VALUE"""),"https://www.linkedin.com/in/ankit-agrawal-0a95057/")</f>
        <v>https://www.linkedin.com/in/ankit-agrawal-0a95057/</v>
      </c>
      <c r="E391" s="17"/>
      <c r="F391" s="17" t="str">
        <f>IFERROR(__xludf.DUMMYFUNCTION("""COMPUTED_VALUE"""),"ankit_ag@hotmail.com")</f>
        <v>ankit_ag@hotmail.com</v>
      </c>
      <c r="G391" s="17"/>
      <c r="H391" s="17"/>
    </row>
    <row r="392">
      <c r="A392" s="17" t="str">
        <f>IFERROR(__xludf.DUMMYFUNCTION("""COMPUTED_VALUE"""),"InsuranceDekho")</f>
        <v>InsuranceDekho</v>
      </c>
      <c r="B392" s="17" t="str">
        <f>IFERROR(__xludf.DUMMYFUNCTION("""COMPUTED_VALUE"""),"Ish Babbar")</f>
        <v>Ish Babbar</v>
      </c>
      <c r="C392" s="17" t="str">
        <f>IFERROR(__xludf.DUMMYFUNCTION("""COMPUTED_VALUE"""),"Co-founder &amp; CTO")</f>
        <v>Co-founder &amp; CTO</v>
      </c>
      <c r="D392" s="27" t="str">
        <f>IFERROR(__xludf.DUMMYFUNCTION("""COMPUTED_VALUE"""),"https://www.linkedin.com/in/ishbabbar/")</f>
        <v>https://www.linkedin.com/in/ishbabbar/</v>
      </c>
      <c r="E392" s="17"/>
      <c r="F392" s="17"/>
      <c r="G392" s="17"/>
      <c r="H392" s="17"/>
    </row>
    <row r="393">
      <c r="A393" s="17" t="str">
        <f>IFERROR(__xludf.DUMMYFUNCTION("""COMPUTED_VALUE"""),"BigHaat")</f>
        <v>BigHaat</v>
      </c>
      <c r="B393" s="17" t="str">
        <f>IFERROR(__xludf.DUMMYFUNCTION("""COMPUTED_VALUE"""),"Sateesh Nukala")</f>
        <v>Sateesh Nukala</v>
      </c>
      <c r="C393" s="17" t="str">
        <f>IFERROR(__xludf.DUMMYFUNCTION("""COMPUTED_VALUE"""),"Co-founder &amp; CEO")</f>
        <v>Co-founder &amp; CEO</v>
      </c>
      <c r="D393" s="27" t="str">
        <f>IFERROR(__xludf.DUMMYFUNCTION("""COMPUTED_VALUE"""),"https://www.linkedin.com/in/sateeshnukala/")</f>
        <v>https://www.linkedin.com/in/sateeshnukala/</v>
      </c>
      <c r="E393" s="17" t="str">
        <f>IFERROR(__xludf.DUMMYFUNCTION("""COMPUTED_VALUE"""),"919448163303")</f>
        <v>919448163303</v>
      </c>
      <c r="F393" s="17" t="str">
        <f>IFERROR(__xludf.DUMMYFUNCTION("""COMPUTED_VALUE"""),"sateeshnukala@gmail.com")</f>
        <v>sateeshnukala@gmail.com</v>
      </c>
      <c r="G393" s="17"/>
      <c r="H393" s="17"/>
    </row>
    <row r="394">
      <c r="A394" s="17" t="str">
        <f>IFERROR(__xludf.DUMMYFUNCTION("""COMPUTED_VALUE"""),"BigHaat")</f>
        <v>BigHaat</v>
      </c>
      <c r="B394" s="17" t="str">
        <f>IFERROR(__xludf.DUMMYFUNCTION("""COMPUTED_VALUE"""),"Sachin Nandwana")</f>
        <v>Sachin Nandwana</v>
      </c>
      <c r="C394" s="17" t="str">
        <f>IFERROR(__xludf.DUMMYFUNCTION("""COMPUTED_VALUE"""),"Co-founder")</f>
        <v>Co-founder</v>
      </c>
      <c r="D394" s="27" t="str">
        <f>IFERROR(__xludf.DUMMYFUNCTION("""COMPUTED_VALUE"""),"https://www.linkedin.com/in/sachin-nandwana-1b3b2413/")</f>
        <v>https://www.linkedin.com/in/sachin-nandwana-1b3b2413/</v>
      </c>
      <c r="E394" s="17"/>
      <c r="F394" s="17"/>
      <c r="G394" s="17"/>
      <c r="H394" s="17"/>
    </row>
    <row r="395">
      <c r="A395" s="17" t="str">
        <f>IFERROR(__xludf.DUMMYFUNCTION("""COMPUTED_VALUE"""),"Zepto")</f>
        <v>Zepto</v>
      </c>
      <c r="B395" s="17" t="str">
        <f>IFERROR(__xludf.DUMMYFUNCTION("""COMPUTED_VALUE"""),"Aadit Palicha")</f>
        <v>Aadit Palicha</v>
      </c>
      <c r="C395" s="17" t="str">
        <f>IFERROR(__xludf.DUMMYFUNCTION("""COMPUTED_VALUE"""),"Co-founder &amp; CEO")</f>
        <v>Co-founder &amp; CEO</v>
      </c>
      <c r="D395" s="27" t="str">
        <f>IFERROR(__xludf.DUMMYFUNCTION("""COMPUTED_VALUE"""),"https://www.linkedin.com/in/aadit-palicha/")</f>
        <v>https://www.linkedin.com/in/aadit-palicha/</v>
      </c>
      <c r="E395" s="17" t="str">
        <f>IFERROR(__xludf.DUMMYFUNCTION("""COMPUTED_VALUE"""),"971507883200")</f>
        <v>971507883200</v>
      </c>
      <c r="F395" s="17" t="str">
        <f>IFERROR(__xludf.DUMMYFUNCTION("""COMPUTED_VALUE"""),"aaditpalicha@gmail.com")</f>
        <v>aaditpalicha@gmail.com</v>
      </c>
      <c r="G395" s="17"/>
      <c r="H395" s="17"/>
    </row>
    <row r="396">
      <c r="A396" s="17" t="str">
        <f>IFERROR(__xludf.DUMMYFUNCTION("""COMPUTED_VALUE"""),"Zepto")</f>
        <v>Zepto</v>
      </c>
      <c r="B396" s="17" t="str">
        <f>IFERROR(__xludf.DUMMYFUNCTION("""COMPUTED_VALUE"""),"Kaivalya Vohra")</f>
        <v>Kaivalya Vohra</v>
      </c>
      <c r="C396" s="17" t="str">
        <f>IFERROR(__xludf.DUMMYFUNCTION("""COMPUTED_VALUE"""),"Co-founder &amp; CTO")</f>
        <v>Co-founder &amp; CTO</v>
      </c>
      <c r="D396" s="27" t="str">
        <f>IFERROR(__xludf.DUMMYFUNCTION("""COMPUTED_VALUE"""),"https://www.linkedin.com/in/kaivalya-vohra/")</f>
        <v>https://www.linkedin.com/in/kaivalya-vohra/</v>
      </c>
      <c r="E396" s="17"/>
      <c r="F396" s="17"/>
      <c r="G396" s="17"/>
      <c r="H396" s="17"/>
    </row>
    <row r="397">
      <c r="A397" s="17" t="str">
        <f>IFERROR(__xludf.DUMMYFUNCTION("""COMPUTED_VALUE"""),"Dunzo")</f>
        <v>Dunzo</v>
      </c>
      <c r="B397" s="17" t="str">
        <f>IFERROR(__xludf.DUMMYFUNCTION("""COMPUTED_VALUE"""),"Kabeer Biswas")</f>
        <v>Kabeer Biswas</v>
      </c>
      <c r="C397" s="17" t="str">
        <f>IFERROR(__xludf.DUMMYFUNCTION("""COMPUTED_VALUE"""),"Co-founder &amp; CEO")</f>
        <v>Co-founder &amp; CEO</v>
      </c>
      <c r="D397" s="27" t="str">
        <f>IFERROR(__xludf.DUMMYFUNCTION("""COMPUTED_VALUE"""),"https://www.linkedin.com/in/kabeerbiswas/")</f>
        <v>https://www.linkedin.com/in/kabeerbiswas/</v>
      </c>
      <c r="E397" s="17" t="str">
        <f>IFERROR(__xludf.DUMMYFUNCTION("""COMPUTED_VALUE"""),"919971120039")</f>
        <v>919971120039</v>
      </c>
      <c r="F397" s="17" t="str">
        <f>IFERROR(__xludf.DUMMYFUNCTION("""COMPUTED_VALUE"""),"kabeerbiswas@gmail.com")</f>
        <v>kabeerbiswas@gmail.com</v>
      </c>
      <c r="G397" s="17"/>
      <c r="H397" s="17"/>
    </row>
    <row r="398">
      <c r="A398" s="17" t="str">
        <f>IFERROR(__xludf.DUMMYFUNCTION("""COMPUTED_VALUE"""),"Dunzo")</f>
        <v>Dunzo</v>
      </c>
      <c r="B398" s="17" t="str">
        <f>IFERROR(__xludf.DUMMYFUNCTION("""COMPUTED_VALUE"""),"Dalvir Suri")</f>
        <v>Dalvir Suri</v>
      </c>
      <c r="C398" s="17" t="str">
        <f>IFERROR(__xludf.DUMMYFUNCTION("""COMPUTED_VALUE"""),"Co-founder")</f>
        <v>Co-founder</v>
      </c>
      <c r="D398" s="27" t="str">
        <f>IFERROR(__xludf.DUMMYFUNCTION("""COMPUTED_VALUE"""),"https://www.linkedin.com/in/dalvir-suri-5b078918/")</f>
        <v>https://www.linkedin.com/in/dalvir-suri-5b078918/</v>
      </c>
      <c r="E398" s="17"/>
      <c r="F398" s="17"/>
      <c r="G398" s="17"/>
      <c r="H398" s="17"/>
    </row>
    <row r="399">
      <c r="A399" s="17" t="str">
        <f>IFERROR(__xludf.DUMMYFUNCTION("""COMPUTED_VALUE"""),"BookMyShow")</f>
        <v>BookMyShow</v>
      </c>
      <c r="B399" s="17" t="str">
        <f>IFERROR(__xludf.DUMMYFUNCTION("""COMPUTED_VALUE"""),"Ashish Hemrajani")</f>
        <v>Ashish Hemrajani</v>
      </c>
      <c r="C399" s="17" t="str">
        <f>IFERROR(__xludf.DUMMYFUNCTION("""COMPUTED_VALUE"""),"Founder &amp; CEO")</f>
        <v>Founder &amp; CEO</v>
      </c>
      <c r="D399" s="27" t="str">
        <f>IFERROR(__xludf.DUMMYFUNCTION("""COMPUTED_VALUE"""),"https://www.linkedin.com/in/ashishhemrajani/")</f>
        <v>https://www.linkedin.com/in/ashishhemrajani/</v>
      </c>
      <c r="E399" s="17" t="str">
        <f>IFERROR(__xludf.DUMMYFUNCTION("""COMPUTED_VALUE"""),"98202 20847")</f>
        <v>98202 20847</v>
      </c>
      <c r="F399" s="17" t="str">
        <f>IFERROR(__xludf.DUMMYFUNCTION("""COMPUTED_VALUE"""),"ashish.hemrajani@bookmyshow.com")</f>
        <v>ashish.hemrajani@bookmyshow.com</v>
      </c>
      <c r="G399" s="17"/>
      <c r="H399" s="17"/>
    </row>
    <row r="400">
      <c r="A400" s="17" t="str">
        <f>IFERROR(__xludf.DUMMYFUNCTION("""COMPUTED_VALUE"""),"BookMyShow")</f>
        <v>BookMyShow</v>
      </c>
      <c r="B400" s="17" t="str">
        <f>IFERROR(__xludf.DUMMYFUNCTION("""COMPUTED_VALUE"""),"Parikshit Dar")</f>
        <v>Parikshit Dar</v>
      </c>
      <c r="C400" s="17" t="str">
        <f>IFERROR(__xludf.DUMMYFUNCTION("""COMPUTED_VALUE"""),"Co-founder &amp; Director")</f>
        <v>Co-founder &amp; Director</v>
      </c>
      <c r="D400" s="27" t="str">
        <f>IFERROR(__xludf.DUMMYFUNCTION("""COMPUTED_VALUE"""),"https://www.linkedin.com/in/parikshitdar/")</f>
        <v>https://www.linkedin.com/in/parikshitdar/</v>
      </c>
      <c r="E400" s="17"/>
      <c r="F400" s="17"/>
      <c r="G400" s="17"/>
      <c r="H400" s="17"/>
    </row>
    <row r="401">
      <c r="A401" s="17" t="str">
        <f>IFERROR(__xludf.DUMMYFUNCTION("""COMPUTED_VALUE"""),"Naaptol")</f>
        <v>Naaptol</v>
      </c>
      <c r="B401" s="17" t="str">
        <f>IFERROR(__xludf.DUMMYFUNCTION("""COMPUTED_VALUE"""),"Manu Agarwal")</f>
        <v>Manu Agarwal</v>
      </c>
      <c r="C401" s="17" t="str">
        <f>IFERROR(__xludf.DUMMYFUNCTION("""COMPUTED_VALUE"""),"Founder &amp; CEO")</f>
        <v>Founder &amp; CEO</v>
      </c>
      <c r="D401" s="27" t="str">
        <f>IFERROR(__xludf.DUMMYFUNCTION("""COMPUTED_VALUE"""),"https://www.linkedin.com/in/agarwalmanu/")</f>
        <v>https://www.linkedin.com/in/agarwalmanu/</v>
      </c>
      <c r="E401" s="17" t="str">
        <f>IFERROR(__xludf.DUMMYFUNCTION("""COMPUTED_VALUE"""),"912225405650")</f>
        <v>912225405650</v>
      </c>
      <c r="F401" s="17" t="str">
        <f>IFERROR(__xludf.DUMMYFUNCTION("""COMPUTED_VALUE"""),"manu.agarwal@naaptol.com")</f>
        <v>manu.agarwal@naaptol.com</v>
      </c>
      <c r="G401" s="17"/>
      <c r="H401" s="17"/>
    </row>
    <row r="402">
      <c r="A402" s="17" t="str">
        <f>IFERROR(__xludf.DUMMYFUNCTION("""COMPUTED_VALUE"""),"Pepperfry")</f>
        <v>Pepperfry</v>
      </c>
      <c r="B402" s="17" t="str">
        <f>IFERROR(__xludf.DUMMYFUNCTION("""COMPUTED_VALUE"""),"Ashish Shah")</f>
        <v>Ashish Shah</v>
      </c>
      <c r="C402" s="17" t="str">
        <f>IFERROR(__xludf.DUMMYFUNCTION("""COMPUTED_VALUE"""),"Co-founder &amp; CEO")</f>
        <v>Co-founder &amp; CEO</v>
      </c>
      <c r="D402" s="27" t="str">
        <f>IFERROR(__xludf.DUMMYFUNCTION("""COMPUTED_VALUE"""),"https://www.linkedin.com/in/asshah76/")</f>
        <v>https://www.linkedin.com/in/asshah76/</v>
      </c>
      <c r="E402" s="17" t="str">
        <f>IFERROR(__xludf.DUMMYFUNCTION("""COMPUTED_VALUE"""),"919930212006")</f>
        <v>919930212006</v>
      </c>
      <c r="F402" s="17" t="str">
        <f>IFERROR(__xludf.DUMMYFUNCTION("""COMPUTED_VALUE"""),"ashish.s@pepperfry.com")</f>
        <v>ashish.s@pepperfry.com</v>
      </c>
      <c r="G402" s="17"/>
      <c r="H402" s="17"/>
    </row>
    <row r="403">
      <c r="A403" s="17" t="str">
        <f>IFERROR(__xludf.DUMMYFUNCTION("""COMPUTED_VALUE"""),"JioSaavn")</f>
        <v>JioSaavn</v>
      </c>
      <c r="B403" s="17" t="str">
        <f>IFERROR(__xludf.DUMMYFUNCTION("""COMPUTED_VALUE"""),"Sahas Malhotra")</f>
        <v>Sahas Malhotra</v>
      </c>
      <c r="C403" s="17" t="str">
        <f>IFERROR(__xludf.DUMMYFUNCTION("""COMPUTED_VALUE"""),"Co-founder &amp; CEO (Saavn)")</f>
        <v>Co-founder &amp; CEO (Saavn)</v>
      </c>
      <c r="D403" s="27" t="str">
        <f>IFERROR(__xludf.DUMMYFUNCTION("""COMPUTED_VALUE"""),"https://www.linkedin.com/in/sahasmalhotra/")</f>
        <v>https://www.linkedin.com/in/sahasmalhotra/</v>
      </c>
      <c r="E403" s="17" t="str">
        <f>IFERROR(__xludf.DUMMYFUNCTION("""COMPUTED_VALUE"""),"919820099911")</f>
        <v>919820099911</v>
      </c>
      <c r="F403" s="17" t="str">
        <f>IFERROR(__xludf.DUMMYFUNCTION("""COMPUTED_VALUE"""),"sahasm@gmail.com")</f>
        <v>sahasm@gmail.com</v>
      </c>
      <c r="G403" s="17"/>
      <c r="H403" s="17"/>
    </row>
    <row r="404">
      <c r="A404" s="17" t="str">
        <f>IFERROR(__xludf.DUMMYFUNCTION("""COMPUTED_VALUE"""),"Dailyhunt")</f>
        <v>Dailyhunt</v>
      </c>
      <c r="B404" s="17" t="str">
        <f>IFERROR(__xludf.DUMMYFUNCTION("""COMPUTED_VALUE"""),"Virendra Gupta")</f>
        <v>Virendra Gupta</v>
      </c>
      <c r="C404" s="17" t="str">
        <f>IFERROR(__xludf.DUMMYFUNCTION("""COMPUTED_VALUE"""),"Founder &amp; CEO")</f>
        <v>Founder &amp; CEO</v>
      </c>
      <c r="D404" s="27" t="str">
        <f>IFERROR(__xludf.DUMMYFUNCTION("""COMPUTED_VALUE"""),"https://www.linkedin.com/in/virendra-gupta-190a44/")</f>
        <v>https://www.linkedin.com/in/virendra-gupta-190a44/</v>
      </c>
      <c r="E404" s="17" t="str">
        <f>IFERROR(__xludf.DUMMYFUNCTION("""COMPUTED_VALUE"""),"919900101088")</f>
        <v>919900101088</v>
      </c>
      <c r="F404" s="17" t="str">
        <f>IFERROR(__xludf.DUMMYFUNCTION("""COMPUTED_VALUE"""),"virendrag@gmail.com")</f>
        <v>virendrag@gmail.com</v>
      </c>
      <c r="G404" s="17"/>
      <c r="H404" s="17"/>
    </row>
    <row r="405">
      <c r="A405" s="17" t="str">
        <f>IFERROR(__xludf.DUMMYFUNCTION("""COMPUTED_VALUE"""),"Dailyhunt")</f>
        <v>Dailyhunt</v>
      </c>
      <c r="B405" s="17" t="str">
        <f>IFERROR(__xludf.DUMMYFUNCTION("""COMPUTED_VALUE"""),"Umang Bedi")</f>
        <v>Umang Bedi</v>
      </c>
      <c r="C405" s="17" t="str">
        <f>IFERROR(__xludf.DUMMYFUNCTION("""COMPUTED_VALUE"""),"Co-founder")</f>
        <v>Co-founder</v>
      </c>
      <c r="D405" s="27" t="str">
        <f>IFERROR(__xludf.DUMMYFUNCTION("""COMPUTED_VALUE"""),"https://www.linkedin.com/in/umangbedi/")</f>
        <v>https://www.linkedin.com/in/umangbedi/</v>
      </c>
      <c r="E405" s="17"/>
      <c r="F405" s="17"/>
      <c r="G405" s="17"/>
      <c r="H405" s="17"/>
    </row>
    <row r="406">
      <c r="A406" s="17" t="str">
        <f>IFERROR(__xludf.DUMMYFUNCTION("""COMPUTED_VALUE"""),"Bizongo")</f>
        <v>Bizongo</v>
      </c>
      <c r="B406" s="17" t="str">
        <f>IFERROR(__xludf.DUMMYFUNCTION("""COMPUTED_VALUE"""),"Aniket Deb")</f>
        <v>Aniket Deb</v>
      </c>
      <c r="C406" s="17" t="str">
        <f>IFERROR(__xludf.DUMMYFUNCTION("""COMPUTED_VALUE"""),"Co-founder &amp; CEO")</f>
        <v>Co-founder &amp; CEO</v>
      </c>
      <c r="D406" s="27" t="str">
        <f>IFERROR(__xludf.DUMMYFUNCTION("""COMPUTED_VALUE"""),"https://www.linkedin.com/in/aniketdeb/")</f>
        <v>https://www.linkedin.com/in/aniketdeb/</v>
      </c>
      <c r="E406" s="17" t="str">
        <f>IFERROR(__xludf.DUMMYFUNCTION("""COMPUTED_VALUE"""),"919930847270")</f>
        <v>919930847270</v>
      </c>
      <c r="F406" s="17" t="str">
        <f>IFERROR(__xludf.DUMMYFUNCTION("""COMPUTED_VALUE"""),"aniketdeb@gmail.com")</f>
        <v>aniketdeb@gmail.com</v>
      </c>
      <c r="G406" s="17"/>
      <c r="H406" s="17"/>
    </row>
    <row r="407">
      <c r="A407" s="17" t="str">
        <f>IFERROR(__xludf.DUMMYFUNCTION("""COMPUTED_VALUE"""),"Hopscotch")</f>
        <v>Hopscotch</v>
      </c>
      <c r="B407" s="17" t="str">
        <f>IFERROR(__xludf.DUMMYFUNCTION("""COMPUTED_VALUE"""),"Rahul Anand")</f>
        <v>Rahul Anand</v>
      </c>
      <c r="C407" s="17" t="str">
        <f>IFERROR(__xludf.DUMMYFUNCTION("""COMPUTED_VALUE"""),"Founder &amp; CEO")</f>
        <v>Founder &amp; CEO</v>
      </c>
      <c r="D407" s="27" t="str">
        <f>IFERROR(__xludf.DUMMYFUNCTION("""COMPUTED_VALUE"""),"https://www.linkedin.com/in/rahulsanand/")</f>
        <v>https://www.linkedin.com/in/rahulsanand/</v>
      </c>
      <c r="E407" s="17"/>
      <c r="F407" s="17" t="str">
        <f>IFERROR(__xludf.DUMMYFUNCTION("""COMPUTED_VALUE"""),"rahulsanand@gmail.com")</f>
        <v>rahulsanand@gmail.com</v>
      </c>
      <c r="G407" s="17"/>
      <c r="H407" s="17"/>
    </row>
    <row r="408">
      <c r="A408" s="17" t="str">
        <f>IFERROR(__xludf.DUMMYFUNCTION("""COMPUTED_VALUE"""),"MyGate")</f>
        <v>MyGate</v>
      </c>
      <c r="B408" s="17" t="str">
        <f>IFERROR(__xludf.DUMMYFUNCTION("""COMPUTED_VALUE"""),"Vijay Arisetty")</f>
        <v>Vijay Arisetty</v>
      </c>
      <c r="C408" s="17" t="str">
        <f>IFERROR(__xludf.DUMMYFUNCTION("""COMPUTED_VALUE"""),"Co-founder &amp; CEO")</f>
        <v>Co-founder &amp; CEO</v>
      </c>
      <c r="D408" s="27" t="str">
        <f>IFERROR(__xludf.DUMMYFUNCTION("""COMPUTED_VALUE"""),"https://www.linkedin.com/in/vijay-arisetty-b952084/")</f>
        <v>https://www.linkedin.com/in/vijay-arisetty-b952084/</v>
      </c>
      <c r="E408" s="17"/>
      <c r="F408" s="17"/>
      <c r="G408" s="17"/>
      <c r="H408" s="17"/>
    </row>
    <row r="409">
      <c r="A409" s="17" t="str">
        <f>IFERROR(__xludf.DUMMYFUNCTION("""COMPUTED_VALUE"""),"MyGate")</f>
        <v>MyGate</v>
      </c>
      <c r="B409" s="17" t="str">
        <f>IFERROR(__xludf.DUMMYFUNCTION("""COMPUTED_VALUE"""),"Abhishek Kumar")</f>
        <v>Abhishek Kumar</v>
      </c>
      <c r="C409" s="17" t="str">
        <f>IFERROR(__xludf.DUMMYFUNCTION("""COMPUTED_VALUE"""),"Co-founder")</f>
        <v>Co-founder</v>
      </c>
      <c r="D409" s="27" t="str">
        <f>IFERROR(__xludf.DUMMYFUNCTION("""COMPUTED_VALUE"""),"https://www.linkedin.com/in/abhishekkumariima/")</f>
        <v>https://www.linkedin.com/in/abhishekkumariima/</v>
      </c>
      <c r="E409" s="17" t="str">
        <f>IFERROR(__xludf.DUMMYFUNCTION("""COMPUTED_VALUE"""),"919916271092")</f>
        <v>919916271092</v>
      </c>
      <c r="F409" s="17" t="str">
        <f>IFERROR(__xludf.DUMMYFUNCTION("""COMPUTED_VALUE"""),"abhik1999@yahoo.com")</f>
        <v>abhik1999@yahoo.com</v>
      </c>
      <c r="G409" s="17"/>
      <c r="H409" s="17"/>
    </row>
    <row r="410">
      <c r="A410" s="17" t="str">
        <f>IFERROR(__xludf.DUMMYFUNCTION("""COMPUTED_VALUE"""),"Rentomojo")</f>
        <v>Rentomojo</v>
      </c>
      <c r="B410" s="17" t="str">
        <f>IFERROR(__xludf.DUMMYFUNCTION("""COMPUTED_VALUE"""),"Geetansh Bamania")</f>
        <v>Geetansh Bamania</v>
      </c>
      <c r="C410" s="17" t="str">
        <f>IFERROR(__xludf.DUMMYFUNCTION("""COMPUTED_VALUE"""),"Founder &amp; CEO")</f>
        <v>Founder &amp; CEO</v>
      </c>
      <c r="D410" s="27" t="str">
        <f>IFERROR(__xludf.DUMMYFUNCTION("""COMPUTED_VALUE"""),"https://www.linkedin.com/in/geetanshbamania/")</f>
        <v>https://www.linkedin.com/in/geetanshbamania/</v>
      </c>
      <c r="E410" s="17"/>
      <c r="F410" s="17" t="str">
        <f>IFERROR(__xludf.DUMMYFUNCTION("""COMPUTED_VALUE"""),"geetansh@rentomojo.com")</f>
        <v>geetansh@rentomojo.com</v>
      </c>
      <c r="G410" s="17"/>
      <c r="H410" s="17"/>
    </row>
    <row r="411">
      <c r="A411" s="17" t="str">
        <f>IFERROR(__xludf.DUMMYFUNCTION("""COMPUTED_VALUE"""),"Ninjacart")</f>
        <v>Ninjacart</v>
      </c>
      <c r="B411" s="17" t="str">
        <f>IFERROR(__xludf.DUMMYFUNCTION("""COMPUTED_VALUE"""),"Thirukumaran Nagarajan")</f>
        <v>Thirukumaran Nagarajan</v>
      </c>
      <c r="C411" s="17" t="str">
        <f>IFERROR(__xludf.DUMMYFUNCTION("""COMPUTED_VALUE"""),"Co-founder")</f>
        <v>Co-founder</v>
      </c>
      <c r="D411" s="27" t="str">
        <f>IFERROR(__xludf.DUMMYFUNCTION("""COMPUTED_VALUE"""),"https://www.linkedin.com/in/thirukumaran-nagarajan-51870242?originalSubdomain=in")</f>
        <v>https://www.linkedin.com/in/thirukumaran-nagarajan-51870242?originalSubdomain=in</v>
      </c>
      <c r="E411" s="17" t="str">
        <f>IFERROR(__xludf.DUMMYFUNCTION("""COMPUTED_VALUE"""),"919884358242")</f>
        <v>919884358242</v>
      </c>
      <c r="F411" s="17" t="str">
        <f>IFERROR(__xludf.DUMMYFUNCTION("""COMPUTED_VALUE"""),"thirukumarannagarajan@gmail.com")</f>
        <v>thirukumarannagarajan@gmail.com</v>
      </c>
      <c r="G411" s="17"/>
      <c r="H411" s="17"/>
    </row>
    <row r="412">
      <c r="A412" s="17" t="str">
        <f>IFERROR(__xludf.DUMMYFUNCTION("""COMPUTED_VALUE"""),"PayMate")</f>
        <v>PayMate</v>
      </c>
      <c r="B412" s="17" t="str">
        <f>IFERROR(__xludf.DUMMYFUNCTION("""COMPUTED_VALUE"""),"ravi vishvanathan")</f>
        <v>ravi vishvanathan</v>
      </c>
      <c r="C412" s="17" t="str">
        <f>IFERROR(__xludf.DUMMYFUNCTION("""COMPUTED_VALUE"""),"Co-Founder")</f>
        <v>Co-Founder</v>
      </c>
      <c r="D412" s="27" t="str">
        <f>IFERROR(__xludf.DUMMYFUNCTION("""COMPUTED_VALUE"""),"https://www.linkedin.com/in/ravi-vishvanathan-09922098/")</f>
        <v>https://www.linkedin.com/in/ravi-vishvanathan-09922098/</v>
      </c>
      <c r="E412" s="17" t="str">
        <f>IFERROR(__xludf.DUMMYFUNCTION("""COMPUTED_VALUE"""),"93238 30354")</f>
        <v>93238 30354</v>
      </c>
      <c r="F412" s="17" t="str">
        <f>IFERROR(__xludf.DUMMYFUNCTION("""COMPUTED_VALUE"""),"ravi@paymate.co.in")</f>
        <v>ravi@paymate.co.in</v>
      </c>
      <c r="G412" s="17"/>
      <c r="H412" s="17"/>
    </row>
    <row r="413">
      <c r="A413" s="17" t="str">
        <f>IFERROR(__xludf.DUMMYFUNCTION("""COMPUTED_VALUE"""),"Mswipe")</f>
        <v>Mswipe</v>
      </c>
      <c r="B413" s="17" t="str">
        <f>IFERROR(__xludf.DUMMYFUNCTION("""COMPUTED_VALUE"""),"Manish Patel")</f>
        <v>Manish Patel</v>
      </c>
      <c r="C413" s="17" t="str">
        <f>IFERROR(__xludf.DUMMYFUNCTION("""COMPUTED_VALUE"""),"Founder")</f>
        <v>Founder</v>
      </c>
      <c r="D413" s="27" t="str">
        <f>IFERROR(__xludf.DUMMYFUNCTION("""COMPUTED_VALUE"""),"https://www.linkedin.com/in/manish-patel-827a1124/")</f>
        <v>https://www.linkedin.com/in/manish-patel-827a1124/</v>
      </c>
      <c r="E413" s="17" t="str">
        <f>IFERROR(__xludf.DUMMYFUNCTION("""COMPUTED_VALUE"""),"912223716773")</f>
        <v>912223716773</v>
      </c>
      <c r="F413" s="17" t="str">
        <f>IFERROR(__xludf.DUMMYFUNCTION("""COMPUTED_VALUE"""),"manish@mswipe.com")</f>
        <v>manish@mswipe.com</v>
      </c>
      <c r="G413" s="17"/>
      <c r="H413" s="17"/>
    </row>
    <row r="414">
      <c r="A414" s="17" t="str">
        <f>IFERROR(__xludf.DUMMYFUNCTION("""COMPUTED_VALUE"""),"Mswipe")</f>
        <v>Mswipe</v>
      </c>
      <c r="B414" s="17" t="str">
        <f>IFERROR(__xludf.DUMMYFUNCTION("""COMPUTED_VALUE"""),"Ketan Patel")</f>
        <v>Ketan Patel</v>
      </c>
      <c r="C414" s="17" t="str">
        <f>IFERROR(__xludf.DUMMYFUNCTION("""COMPUTED_VALUE"""),"Co-founder &amp; CEO")</f>
        <v>Co-founder &amp; CEO</v>
      </c>
      <c r="D414" s="27" t="str">
        <f>IFERROR(__xludf.DUMMYFUNCTION("""COMPUTED_VALUE"""),"https://www.linkedin.com/in/ketan-patel-0814b7/")</f>
        <v>https://www.linkedin.com/in/ketan-patel-0814b7/</v>
      </c>
      <c r="E414" s="17"/>
      <c r="F414" s="17"/>
      <c r="G414" s="17"/>
      <c r="H414" s="17"/>
    </row>
    <row r="415">
      <c r="A415" s="17" t="str">
        <f>IFERROR(__xludf.DUMMYFUNCTION("""COMPUTED_VALUE"""),"Keventers")</f>
        <v>Keventers</v>
      </c>
      <c r="B415" s="17" t="str">
        <f>IFERROR(__xludf.DUMMYFUNCTION("""COMPUTED_VALUE"""),"Agastya Dalmia")</f>
        <v>Agastya Dalmia</v>
      </c>
      <c r="C415" s="17" t="str">
        <f>IFERROR(__xludf.DUMMYFUNCTION("""COMPUTED_VALUE"""),"Co-founder &amp; CEO")</f>
        <v>Co-founder &amp; CEO</v>
      </c>
      <c r="D415" s="27" t="str">
        <f>IFERROR(__xludf.DUMMYFUNCTION("""COMPUTED_VALUE"""),"https://www.linkedin.com/in/agastya-dalmia-10b05139/")</f>
        <v>https://www.linkedin.com/in/agastya-dalmia-10b05139/</v>
      </c>
      <c r="E415" s="17" t="str">
        <f>IFERROR(__xludf.DUMMYFUNCTION("""COMPUTED_VALUE"""),"919910031990")</f>
        <v>919910031990</v>
      </c>
      <c r="F415" s="17" t="str">
        <f>IFERROR(__xludf.DUMMYFUNCTION("""COMPUTED_VALUE"""),"agastyadalmia@gmail.com")</f>
        <v>agastyadalmia@gmail.com</v>
      </c>
      <c r="G415" s="17"/>
      <c r="H415" s="17"/>
    </row>
    <row r="416">
      <c r="A416" s="17" t="str">
        <f>IFERROR(__xludf.DUMMYFUNCTION("""COMPUTED_VALUE"""),"Keventers")</f>
        <v>Keventers</v>
      </c>
      <c r="B416" s="17" t="str">
        <f>IFERROR(__xludf.DUMMYFUNCTION("""COMPUTED_VALUE"""),"Aman Arora")</f>
        <v>Aman Arora</v>
      </c>
      <c r="C416" s="17" t="str">
        <f>IFERROR(__xludf.DUMMYFUNCTION("""COMPUTED_VALUE"""),"Co-founder &amp; CMO")</f>
        <v>Co-founder &amp; CMO</v>
      </c>
      <c r="D416" s="27" t="str">
        <f>IFERROR(__xludf.DUMMYFUNCTION("""COMPUTED_VALUE"""),"https://www.linkedin.com/in/aman-arora-20a8b945/")</f>
        <v>https://www.linkedin.com/in/aman-arora-20a8b945/</v>
      </c>
      <c r="E416" s="17"/>
      <c r="F416" s="17"/>
      <c r="G416" s="17"/>
      <c r="H416" s="17"/>
    </row>
    <row r="417">
      <c r="A417" s="17" t="str">
        <f>IFERROR(__xludf.DUMMYFUNCTION("""COMPUTED_VALUE"""),"Digit Insurance")</f>
        <v>Digit Insurance</v>
      </c>
      <c r="B417" s="17" t="str">
        <f>IFERROR(__xludf.DUMMYFUNCTION("""COMPUTED_VALUE"""),"Kamesh Goyal")</f>
        <v>Kamesh Goyal</v>
      </c>
      <c r="C417" s="17" t="str">
        <f>IFERROR(__xludf.DUMMYFUNCTION("""COMPUTED_VALUE"""),"Founder &amp; Chairman")</f>
        <v>Founder &amp; Chairman</v>
      </c>
      <c r="D417" s="27" t="str">
        <f>IFERROR(__xludf.DUMMYFUNCTION("""COMPUTED_VALUE"""),"linkedin.com/in/kameshgoyal?originalSubdomain=in")</f>
        <v>linkedin.com/in/kameshgoyal?originalSubdomain=in</v>
      </c>
      <c r="E417" s="17"/>
      <c r="F417" s="17" t="str">
        <f>IFERROR(__xludf.DUMMYFUNCTION("""COMPUTED_VALUE"""),"kameshgoyal@hotmail.com")</f>
        <v>kameshgoyal@hotmail.com</v>
      </c>
      <c r="G417" s="17"/>
      <c r="H417" s="17"/>
    </row>
    <row r="418">
      <c r="A418" s="17" t="str">
        <f>IFERROR(__xludf.DUMMYFUNCTION("""COMPUTED_VALUE"""),"Acme Group")</f>
        <v>Acme Group</v>
      </c>
      <c r="B418" s="17" t="str">
        <f>IFERROR(__xludf.DUMMYFUNCTION("""COMPUTED_VALUE"""),"Manoj Kumar Upadhyay")</f>
        <v>Manoj Kumar Upadhyay</v>
      </c>
      <c r="C418" s="17" t="str">
        <f>IFERROR(__xludf.DUMMYFUNCTION("""COMPUTED_VALUE"""),"Founder &amp; Chairman")</f>
        <v>Founder &amp; Chairman</v>
      </c>
      <c r="D418" s="27" t="str">
        <f>IFERROR(__xludf.DUMMYFUNCTION("""COMPUTED_VALUE"""),"linkedin.com/in/manoj-upadhyay-013a5410?originalSubdomain=in")</f>
        <v>linkedin.com/in/manoj-upadhyay-013a5410?originalSubdomain=in</v>
      </c>
      <c r="E418" s="17" t="str">
        <f>IFERROR(__xludf.DUMMYFUNCTION("""COMPUTED_VALUE"""),"911247117002")</f>
        <v>911247117002</v>
      </c>
      <c r="F418" s="17" t="str">
        <f>IFERROR(__xludf.DUMMYFUNCTION("""COMPUTED_VALUE"""),"manoj@acme.in")</f>
        <v>manoj@acme.in</v>
      </c>
      <c r="G418" s="17"/>
      <c r="H418" s="17"/>
    </row>
    <row r="419">
      <c r="A419" s="17" t="str">
        <f>IFERROR(__xludf.DUMMYFUNCTION("""COMPUTED_VALUE"""),"Goibibo")</f>
        <v>Goibibo</v>
      </c>
      <c r="B419" s="17" t="str">
        <f>IFERROR(__xludf.DUMMYFUNCTION("""COMPUTED_VALUE"""),"Ashish Kashyap")</f>
        <v>Ashish Kashyap</v>
      </c>
      <c r="C419" s="17" t="str">
        <f>IFERROR(__xludf.DUMMYFUNCTION("""COMPUTED_VALUE"""),"Founder")</f>
        <v>Founder</v>
      </c>
      <c r="D419" s="27" t="str">
        <f>IFERROR(__xludf.DUMMYFUNCTION("""COMPUTED_VALUE"""),"https://www.linkedin.com/in/ashishkashyap/")</f>
        <v>https://www.linkedin.com/in/ashishkashyap/</v>
      </c>
      <c r="E419" s="17" t="str">
        <f>IFERROR(__xludf.DUMMYFUNCTION("""COMPUTED_VALUE"""),"919910335033")</f>
        <v>919910335033</v>
      </c>
      <c r="F419" s="17" t="str">
        <f>IFERROR(__xludf.DUMMYFUNCTION("""COMPUTED_VALUE"""),"kashyapashish@gmail.com")</f>
        <v>kashyapashish@gmail.com</v>
      </c>
      <c r="G419" s="17"/>
      <c r="H419" s="17"/>
    </row>
    <row r="420">
      <c r="A420" s="17" t="str">
        <f>IFERROR(__xludf.DUMMYFUNCTION("""COMPUTED_VALUE"""),"OLX India")</f>
        <v>OLX India</v>
      </c>
      <c r="B420" s="17" t="str">
        <f>IFERROR(__xludf.DUMMYFUNCTION("""COMPUTED_VALUE"""),"Amit Kumar")</f>
        <v>Amit Kumar</v>
      </c>
      <c r="C420" s="17" t="str">
        <f>IFERROR(__xludf.DUMMYFUNCTION("""COMPUTED_VALUE"""),"CEO (OLX Group India)")</f>
        <v>CEO (OLX Group India)</v>
      </c>
      <c r="D420" s="27" t="str">
        <f>IFERROR(__xludf.DUMMYFUNCTION("""COMPUTED_VALUE"""),"https://www.linkedin.com/in/execamit/")</f>
        <v>https://www.linkedin.com/in/execamit/</v>
      </c>
      <c r="E420" s="17" t="str">
        <f>IFERROR(__xludf.DUMMYFUNCTION("""COMPUTED_VALUE"""),"919910581562")</f>
        <v>919910581562</v>
      </c>
      <c r="F420" s="17" t="str">
        <f>IFERROR(__xludf.DUMMYFUNCTION("""COMPUTED_VALUE"""),"execamit@gmail.com")</f>
        <v>execamit@gmail.com</v>
      </c>
      <c r="G420" s="17"/>
      <c r="H420" s="17"/>
    </row>
    <row r="421">
      <c r="A421" s="17" t="str">
        <f>IFERROR(__xludf.DUMMYFUNCTION("""COMPUTED_VALUE"""),"EaseMyTrip")</f>
        <v>EaseMyTrip</v>
      </c>
      <c r="B421" s="17" t="str">
        <f>IFERROR(__xludf.DUMMYFUNCTION("""COMPUTED_VALUE"""),"Nishant Pitti")</f>
        <v>Nishant Pitti</v>
      </c>
      <c r="C421" s="17" t="str">
        <f>IFERROR(__xludf.DUMMYFUNCTION("""COMPUTED_VALUE"""),"Co-founder &amp; CEO")</f>
        <v>Co-founder &amp; CEO</v>
      </c>
      <c r="D421" s="27" t="str">
        <f>IFERROR(__xludf.DUMMYFUNCTION("""COMPUTED_VALUE"""),"https://www.linkedin.com/in/nishant-pitti-a956b079/")</f>
        <v>https://www.linkedin.com/in/nishant-pitti-a956b079/</v>
      </c>
      <c r="E421" s="17" t="str">
        <f>IFERROR(__xludf.DUMMYFUNCTION("""COMPUTED_VALUE"""),"919891055993")</f>
        <v>919891055993</v>
      </c>
      <c r="F421" s="17" t="str">
        <f>IFERROR(__xludf.DUMMYFUNCTION("""COMPUTED_VALUE"""),"nishant@easemytrip.com")</f>
        <v>nishant@easemytrip.com</v>
      </c>
      <c r="G421" s="17"/>
      <c r="H421" s="17"/>
    </row>
    <row r="422">
      <c r="A422" s="17" t="str">
        <f>IFERROR(__xludf.DUMMYFUNCTION("""COMPUTED_VALUE"""),"EaseMyTrip")</f>
        <v>EaseMyTrip</v>
      </c>
      <c r="B422" s="17" t="str">
        <f>IFERROR(__xludf.DUMMYFUNCTION("""COMPUTED_VALUE"""),"Rikant Pitti")</f>
        <v>Rikant Pitti</v>
      </c>
      <c r="C422" s="17" t="str">
        <f>IFERROR(__xludf.DUMMYFUNCTION("""COMPUTED_VALUE"""),"Co-founder")</f>
        <v>Co-founder</v>
      </c>
      <c r="D422" s="27" t="str">
        <f>IFERROR(__xludf.DUMMYFUNCTION("""COMPUTED_VALUE"""),"https://www.linkedin.com/in/rikantpitti/")</f>
        <v>https://www.linkedin.com/in/rikantpitti/</v>
      </c>
      <c r="E422" s="17"/>
      <c r="F422" s="17"/>
      <c r="G422" s="17"/>
      <c r="H422" s="17"/>
    </row>
    <row r="423">
      <c r="A423" s="17" t="str">
        <f>IFERROR(__xludf.DUMMYFUNCTION("""COMPUTED_VALUE"""),"WinZO")</f>
        <v>WinZO</v>
      </c>
      <c r="B423" s="17" t="str">
        <f>IFERROR(__xludf.DUMMYFUNCTION("""COMPUTED_VALUE"""),"Paavan Nanda")</f>
        <v>Paavan Nanda</v>
      </c>
      <c r="C423" s="17" t="str">
        <f>IFERROR(__xludf.DUMMYFUNCTION("""COMPUTED_VALUE"""),"Co-founder")</f>
        <v>Co-founder</v>
      </c>
      <c r="D423" s="27" t="str">
        <f>IFERROR(__xludf.DUMMYFUNCTION("""COMPUTED_VALUE"""),"https://www.linkedin.com/in/paavan-nanda-68b41924/")</f>
        <v>https://www.linkedin.com/in/paavan-nanda-68b41924/</v>
      </c>
      <c r="E423" s="17" t="str">
        <f>IFERROR(__xludf.DUMMYFUNCTION("""COMPUTED_VALUE"""),"96543 67797")</f>
        <v>96543 67797</v>
      </c>
      <c r="F423" s="17" t="str">
        <f>IFERROR(__xludf.DUMMYFUNCTION("""COMPUTED_VALUE"""),"paavan@winzogames.com")</f>
        <v>paavan@winzogames.com</v>
      </c>
      <c r="G423" s="17"/>
      <c r="H423" s="17"/>
    </row>
    <row r="424">
      <c r="A424" s="17" t="str">
        <f>IFERROR(__xludf.DUMMYFUNCTION("""COMPUTED_VALUE"""),"WinZO")</f>
        <v>WinZO</v>
      </c>
      <c r="B424" s="17" t="str">
        <f>IFERROR(__xludf.DUMMYFUNCTION("""COMPUTED_VALUE"""),"Saumya Singh Rathore")</f>
        <v>Saumya Singh Rathore</v>
      </c>
      <c r="C424" s="17" t="str">
        <f>IFERROR(__xludf.DUMMYFUNCTION("""COMPUTED_VALUE"""),"Co-founder")</f>
        <v>Co-founder</v>
      </c>
      <c r="D424" s="27" t="str">
        <f>IFERROR(__xludf.DUMMYFUNCTION("""COMPUTED_VALUE"""),"https://www.linkedin.com/in/saumya-singh-rathore/")</f>
        <v>https://www.linkedin.com/in/saumya-singh-rathore/</v>
      </c>
      <c r="E424" s="17"/>
      <c r="F424" s="17"/>
      <c r="G424" s="17"/>
      <c r="H424" s="17"/>
    </row>
    <row r="425">
      <c r="A425" s="17" t="str">
        <f>IFERROR(__xludf.DUMMYFUNCTION("""COMPUTED_VALUE"""),"StockGro")</f>
        <v>StockGro</v>
      </c>
      <c r="B425" s="17" t="str">
        <f>IFERROR(__xludf.DUMMYFUNCTION("""COMPUTED_VALUE"""),"Ajay Lakhotia")</f>
        <v>Ajay Lakhotia</v>
      </c>
      <c r="C425" s="17" t="str">
        <f>IFERROR(__xludf.DUMMYFUNCTION("""COMPUTED_VALUE"""),"Founder &amp; CEO")</f>
        <v>Founder &amp; CEO</v>
      </c>
      <c r="D425" s="27" t="str">
        <f>IFERROR(__xludf.DUMMYFUNCTION("""COMPUTED_VALUE"""),"https://www.linkedin.com/in/ajaylakhotia/")</f>
        <v>https://www.linkedin.com/in/ajaylakhotia/</v>
      </c>
      <c r="E425" s="17" t="str">
        <f>IFERROR(__xludf.DUMMYFUNCTION("""COMPUTED_VALUE"""),"918105422255")</f>
        <v>918105422255</v>
      </c>
      <c r="F425" s="17" t="str">
        <f>IFERROR(__xludf.DUMMYFUNCTION("""COMPUTED_VALUE"""),"ajaylakhotiamba@gmail.com")</f>
        <v>ajaylakhotiamba@gmail.com</v>
      </c>
      <c r="G425" s="17"/>
      <c r="H425" s="17"/>
    </row>
    <row r="426">
      <c r="A426" s="17" t="str">
        <f>IFERROR(__xludf.DUMMYFUNCTION("""COMPUTED_VALUE"""),"BankBazaar")</f>
        <v>BankBazaar</v>
      </c>
      <c r="B426" s="17" t="str">
        <f>IFERROR(__xludf.DUMMYFUNCTION("""COMPUTED_VALUE"""),"Adhil Shetty")</f>
        <v>Adhil Shetty</v>
      </c>
      <c r="C426" s="17" t="str">
        <f>IFERROR(__xludf.DUMMYFUNCTION("""COMPUTED_VALUE"""),"Co-founder &amp; CEO")</f>
        <v>Co-founder &amp; CEO</v>
      </c>
      <c r="D426" s="27" t="str">
        <f>IFERROR(__xludf.DUMMYFUNCTION("""COMPUTED_VALUE"""),"https://www.linkedin.com/in/adhilshetty/")</f>
        <v>https://www.linkedin.com/in/adhilshetty/</v>
      </c>
      <c r="E426" s="17" t="str">
        <f>IFERROR(__xludf.DUMMYFUNCTION("""COMPUTED_VALUE"""),"919884001769")</f>
        <v>919884001769</v>
      </c>
      <c r="F426" s="17" t="str">
        <f>IFERROR(__xludf.DUMMYFUNCTION("""COMPUTED_VALUE"""),"shettyadhil@yahoo.com")</f>
        <v>shettyadhil@yahoo.com</v>
      </c>
      <c r="G426" s="17"/>
      <c r="H426" s="17"/>
    </row>
    <row r="427">
      <c r="A427" s="17" t="str">
        <f>IFERROR(__xludf.DUMMYFUNCTION("""COMPUTED_VALUE"""),"BankBazaar")</f>
        <v>BankBazaar</v>
      </c>
      <c r="B427" s="17" t="str">
        <f>IFERROR(__xludf.DUMMYFUNCTION("""COMPUTED_VALUE"""),"Arjun Shetty")</f>
        <v>Arjun Shetty</v>
      </c>
      <c r="C427" s="17" t="str">
        <f>IFERROR(__xludf.DUMMYFUNCTION("""COMPUTED_VALUE"""),"Co-founder")</f>
        <v>Co-founder</v>
      </c>
      <c r="D427" s="27" t="str">
        <f>IFERROR(__xludf.DUMMYFUNCTION("""COMPUTED_VALUE"""),"https://www.linkedin.com/in/arjun-shetty-bb/")</f>
        <v>https://www.linkedin.com/in/arjun-shetty-bb/</v>
      </c>
      <c r="E427" s="17"/>
      <c r="F427" s="17"/>
      <c r="G427" s="17"/>
      <c r="H427" s="17"/>
    </row>
    <row r="428">
      <c r="A428" s="17" t="str">
        <f>IFERROR(__xludf.DUMMYFUNCTION("""COMPUTED_VALUE"""),"CarTrade")</f>
        <v>CarTrade</v>
      </c>
      <c r="B428" s="17" t="str">
        <f>IFERROR(__xludf.DUMMYFUNCTION("""COMPUTED_VALUE"""),"Vinay Sanghi")</f>
        <v>Vinay Sanghi</v>
      </c>
      <c r="C428" s="17" t="str">
        <f>IFERROR(__xludf.DUMMYFUNCTION("""COMPUTED_VALUE"""),"Founder &amp; Chairman")</f>
        <v>Founder &amp; Chairman</v>
      </c>
      <c r="D428" s="27" t="str">
        <f>IFERROR(__xludf.DUMMYFUNCTION("""COMPUTED_VALUE"""),"https://www.linkedin.com/in/vinay-sanghi-296a4413/")</f>
        <v>https://www.linkedin.com/in/vinay-sanghi-296a4413/</v>
      </c>
      <c r="E428" s="17" t="str">
        <f>IFERROR(__xludf.DUMMYFUNCTION("""COMPUTED_VALUE"""),"98209 44998")</f>
        <v>98209 44998</v>
      </c>
      <c r="F428" s="17" t="str">
        <f>IFERROR(__xludf.DUMMYFUNCTION("""COMPUTED_VALUE"""),"varundiya@gmail.com")</f>
        <v>varundiya@gmail.com</v>
      </c>
      <c r="G428" s="17"/>
      <c r="H428" s="17"/>
    </row>
    <row r="429">
      <c r="A429" s="17" t="str">
        <f>IFERROR(__xludf.DUMMYFUNCTION("""COMPUTED_VALUE"""),"Khatabook")</f>
        <v>Khatabook</v>
      </c>
      <c r="B429" s="17" t="str">
        <f>IFERROR(__xludf.DUMMYFUNCTION("""COMPUTED_VALUE"""),"Ravish Naresh")</f>
        <v>Ravish Naresh</v>
      </c>
      <c r="C429" s="17" t="str">
        <f>IFERROR(__xludf.DUMMYFUNCTION("""COMPUTED_VALUE"""),"Co-founder &amp; CEO")</f>
        <v>Co-founder &amp; CEO</v>
      </c>
      <c r="D429" s="27" t="str">
        <f>IFERROR(__xludf.DUMMYFUNCTION("""COMPUTED_VALUE"""),"linkedin.com/in/ravish-naresh-72543359?originalSubdomain=in")</f>
        <v>linkedin.com/in/ravish-naresh-72543359?originalSubdomain=in</v>
      </c>
      <c r="E429" s="17" t="str">
        <f>IFERROR(__xludf.DUMMYFUNCTION("""COMPUTED_VALUE"""),"99207 32828")</f>
        <v>99207 32828</v>
      </c>
      <c r="F429" s="17" t="str">
        <f>IFERROR(__xludf.DUMMYFUNCTION("""COMPUTED_VALUE"""),"ravish.naresh@gmail.com")</f>
        <v>ravish.naresh@gmail.com</v>
      </c>
      <c r="G429" s="17"/>
      <c r="H429" s="17"/>
    </row>
    <row r="430">
      <c r="A430" s="17" t="str">
        <f>IFERROR(__xludf.DUMMYFUNCTION("""COMPUTED_VALUE"""),"Clear (ClearTax)")</f>
        <v>Clear (ClearTax)</v>
      </c>
      <c r="B430" s="17" t="str">
        <f>IFERROR(__xludf.DUMMYFUNCTION("""COMPUTED_VALUE"""),"Archit Gupta")</f>
        <v>Archit Gupta</v>
      </c>
      <c r="C430" s="17" t="str">
        <f>IFERROR(__xludf.DUMMYFUNCTION("""COMPUTED_VALUE"""),"Founder &amp; CEO")</f>
        <v>Founder &amp; CEO</v>
      </c>
      <c r="D430" s="27" t="str">
        <f>IFERROR(__xludf.DUMMYFUNCTION("""COMPUTED_VALUE"""),"https://www.linkedin.com/in/architgupta/")</f>
        <v>https://www.linkedin.com/in/architgupta/</v>
      </c>
      <c r="E430" s="17" t="str">
        <f>IFERROR(__xludf.DUMMYFUNCTION("""COMPUTED_VALUE"""),"88269 89988")</f>
        <v>88269 89988</v>
      </c>
      <c r="F430" s="17" t="str">
        <f>IFERROR(__xludf.DUMMYFUNCTION("""COMPUTED_VALUE"""),"archit@cleartax.in")</f>
        <v>archit@cleartax.in</v>
      </c>
      <c r="G430" s="17"/>
      <c r="H430" s="17"/>
    </row>
    <row r="431">
      <c r="A431" s="17" t="str">
        <f>IFERROR(__xludf.DUMMYFUNCTION("""COMPUTED_VALUE"""),"Paper Boat")</f>
        <v>Paper Boat</v>
      </c>
      <c r="B431" s="17" t="str">
        <f>IFERROR(__xludf.DUMMYFUNCTION("""COMPUTED_VALUE"""),"Neeraj Kakkar")</f>
        <v>Neeraj Kakkar</v>
      </c>
      <c r="C431" s="17" t="str">
        <f>IFERROR(__xludf.DUMMYFUNCTION("""COMPUTED_VALUE"""),"Co-founder &amp; CEO")</f>
        <v>Co-founder &amp; CEO</v>
      </c>
      <c r="D431" s="27" t="str">
        <f>IFERROR(__xludf.DUMMYFUNCTION("""COMPUTED_VALUE"""),"https://www.linkedin.com/in/neeraj-kakkar-2410839/")</f>
        <v>https://www.linkedin.com/in/neeraj-kakkar-2410839/</v>
      </c>
      <c r="E431" s="17" t="str">
        <f>IFERROR(__xludf.DUMMYFUNCTION("""COMPUTED_VALUE"""),"919711829001")</f>
        <v>919711829001</v>
      </c>
      <c r="F431" s="17" t="str">
        <f>IFERROR(__xludf.DUMMYFUNCTION("""COMPUTED_VALUE"""),"neeraj@hectorbeverages.com")</f>
        <v>neeraj@hectorbeverages.com</v>
      </c>
      <c r="G431" s="17"/>
      <c r="H431" s="17"/>
    </row>
    <row r="432">
      <c r="A432" s="17" t="str">
        <f>IFERROR(__xludf.DUMMYFUNCTION("""COMPUTED_VALUE"""),"Paper Boat")</f>
        <v>Paper Boat</v>
      </c>
      <c r="B432" s="17" t="str">
        <f>IFERROR(__xludf.DUMMYFUNCTION("""COMPUTED_VALUE"""),"Neeraj Biyani")</f>
        <v>Neeraj Biyani</v>
      </c>
      <c r="C432" s="17" t="str">
        <f>IFERROR(__xludf.DUMMYFUNCTION("""COMPUTED_VALUE"""),"Co-founder")</f>
        <v>Co-founder</v>
      </c>
      <c r="D432" s="27" t="str">
        <f>IFERROR(__xludf.DUMMYFUNCTION("""COMPUTED_VALUE"""),"https://www.linkedin.com/in/neeraj-biyani-7411234/")</f>
        <v>https://www.linkedin.com/in/neeraj-biyani-7411234/</v>
      </c>
      <c r="E432" s="17"/>
      <c r="F432" s="17"/>
      <c r="G432" s="17"/>
      <c r="H432" s="17"/>
    </row>
    <row r="433">
      <c r="A433" s="17" t="str">
        <f>IFERROR(__xludf.DUMMYFUNCTION("""COMPUTED_VALUE"""),"Juspay")</f>
        <v>Juspay</v>
      </c>
      <c r="B433" s="17" t="str">
        <f>IFERROR(__xludf.DUMMYFUNCTION("""COMPUTED_VALUE"""),"Vimal Kumar")</f>
        <v>Vimal Kumar</v>
      </c>
      <c r="C433" s="17" t="str">
        <f>IFERROR(__xludf.DUMMYFUNCTION("""COMPUTED_VALUE"""),"Founder &amp; CEO")</f>
        <v>Founder &amp; CEO</v>
      </c>
      <c r="D433" s="27" t="str">
        <f>IFERROR(__xludf.DUMMYFUNCTION("""COMPUTED_VALUE"""),"https://www.linkedin.com/in/kumarvimal?originalSubdomain=in")</f>
        <v>https://www.linkedin.com/in/kumarvimal?originalSubdomain=in</v>
      </c>
      <c r="E433" s="17" t="str">
        <f>IFERROR(__xludf.DUMMYFUNCTION("""COMPUTED_VALUE"""),"919962552575")</f>
        <v>919962552575</v>
      </c>
      <c r="F433" s="17" t="str">
        <f>IFERROR(__xludf.DUMMYFUNCTION("""COMPUTED_VALUE"""),"vimalkumar@gmail.com")</f>
        <v>vimalkumar@gmail.com</v>
      </c>
      <c r="G433" s="17"/>
      <c r="H433" s="17"/>
    </row>
    <row r="434">
      <c r="A434" s="17" t="str">
        <f>IFERROR(__xludf.DUMMYFUNCTION("""COMPUTED_VALUE"""),"Darwinbox")</f>
        <v>Darwinbox</v>
      </c>
      <c r="B434" s="17" t="str">
        <f>IFERROR(__xludf.DUMMYFUNCTION("""COMPUTED_VALUE"""),"Jayant Paleti")</f>
        <v>Jayant Paleti</v>
      </c>
      <c r="C434" s="17" t="str">
        <f>IFERROR(__xludf.DUMMYFUNCTION("""COMPUTED_VALUE"""),"Co-founder")</f>
        <v>Co-founder</v>
      </c>
      <c r="D434" s="27" t="str">
        <f>IFERROR(__xludf.DUMMYFUNCTION("""COMPUTED_VALUE"""),"https://www.linkedin.com/in/jayantpaleti/")</f>
        <v>https://www.linkedin.com/in/jayantpaleti/</v>
      </c>
      <c r="E434" s="17"/>
      <c r="F434" s="17" t="str">
        <f>IFERROR(__xludf.DUMMYFUNCTION("""COMPUTED_VALUE"""),"jayantpaleti@gmail.com")</f>
        <v>jayantpaleti@gmail.com</v>
      </c>
      <c r="G434" s="17"/>
      <c r="H434" s="17"/>
    </row>
    <row r="435">
      <c r="A435" s="17" t="str">
        <f>IFERROR(__xludf.DUMMYFUNCTION("""COMPUTED_VALUE"""),"Darwinbox")</f>
        <v>Darwinbox</v>
      </c>
      <c r="B435" s="17" t="str">
        <f>IFERROR(__xludf.DUMMYFUNCTION("""COMPUTED_VALUE"""),"Chaitanya Peddi")</f>
        <v>Chaitanya Peddi</v>
      </c>
      <c r="C435" s="17" t="str">
        <f>IFERROR(__xludf.DUMMYFUNCTION("""COMPUTED_VALUE"""),"Co-founder")</f>
        <v>Co-founder</v>
      </c>
      <c r="D435" s="27" t="str">
        <f>IFERROR(__xludf.DUMMYFUNCTION("""COMPUTED_VALUE"""),"https://www.linkedin.com/in/chaitanyapeddi/")</f>
        <v>https://www.linkedin.com/in/chaitanyapeddi/</v>
      </c>
      <c r="E435" s="17"/>
      <c r="F435" s="17"/>
      <c r="G435" s="17"/>
      <c r="H435" s="17"/>
    </row>
    <row r="436">
      <c r="A436" s="17" t="str">
        <f>IFERROR(__xludf.DUMMYFUNCTION("""COMPUTED_VALUE"""),"Darwinbox")</f>
        <v>Darwinbox</v>
      </c>
      <c r="B436" s="17" t="str">
        <f>IFERROR(__xludf.DUMMYFUNCTION("""COMPUTED_VALUE"""),"Rohit Chennamaneni")</f>
        <v>Rohit Chennamaneni</v>
      </c>
      <c r="C436" s="17" t="str">
        <f>IFERROR(__xludf.DUMMYFUNCTION("""COMPUTED_VALUE"""),"Co-founder")</f>
        <v>Co-founder</v>
      </c>
      <c r="D436" s="27" t="str">
        <f>IFERROR(__xludf.DUMMYFUNCTION("""COMPUTED_VALUE"""),"https://www.linkedin.com/in/rohit-chennamaneni/")</f>
        <v>https://www.linkedin.com/in/rohit-chennamaneni/</v>
      </c>
      <c r="E436" s="17"/>
      <c r="F436" s="17"/>
      <c r="G436" s="17"/>
      <c r="H436" s="17"/>
    </row>
    <row r="437">
      <c r="A437" s="17" t="str">
        <f>IFERROR(__xludf.DUMMYFUNCTION("""COMPUTED_VALUE"""),"ixigo")</f>
        <v>ixigo</v>
      </c>
      <c r="B437" s="17" t="str">
        <f>IFERROR(__xludf.DUMMYFUNCTION("""COMPUTED_VALUE"""),"Aloke Bajpai")</f>
        <v>Aloke Bajpai</v>
      </c>
      <c r="C437" s="17" t="str">
        <f>IFERROR(__xludf.DUMMYFUNCTION("""COMPUTED_VALUE"""),"Co-founder &amp; CEO")</f>
        <v>Co-founder &amp; CEO</v>
      </c>
      <c r="D437" s="27" t="str">
        <f>IFERROR(__xludf.DUMMYFUNCTION("""COMPUTED_VALUE"""),"https://www.linkedin.com/in/alokebajpai/")</f>
        <v>https://www.linkedin.com/in/alokebajpai/</v>
      </c>
      <c r="E437" s="17" t="str">
        <f>IFERROR(__xludf.DUMMYFUNCTION("""COMPUTED_VALUE"""),"911244045281")</f>
        <v>911244045281</v>
      </c>
      <c r="F437" s="17" t="str">
        <f>IFERROR(__xludf.DUMMYFUNCTION("""COMPUTED_VALUE"""),"abajpai@gmail.com")</f>
        <v>abajpai@gmail.com</v>
      </c>
      <c r="G437" s="17"/>
      <c r="H437" s="17"/>
    </row>
    <row r="438">
      <c r="A438" s="17" t="str">
        <f>IFERROR(__xludf.DUMMYFUNCTION("""COMPUTED_VALUE"""),"ixigo")</f>
        <v>ixigo</v>
      </c>
      <c r="B438" s="17" t="str">
        <f>IFERROR(__xludf.DUMMYFUNCTION("""COMPUTED_VALUE"""),"Rajnish Kumar")</f>
        <v>Rajnish Kumar</v>
      </c>
      <c r="C438" s="17" t="str">
        <f>IFERROR(__xludf.DUMMYFUNCTION("""COMPUTED_VALUE"""),"Co-founder &amp; CTO")</f>
        <v>Co-founder &amp; CTO</v>
      </c>
      <c r="D438" s="27" t="str">
        <f>IFERROR(__xludf.DUMMYFUNCTION("""COMPUTED_VALUE"""),"https://www.linkedin.com/in/rajnishkumar-ixigo/")</f>
        <v>https://www.linkedin.com/in/rajnishkumar-ixigo/</v>
      </c>
      <c r="E438" s="17"/>
      <c r="F438" s="17"/>
      <c r="G438" s="17"/>
      <c r="H438" s="17"/>
    </row>
    <row r="439">
      <c r="A439" s="17" t="str">
        <f>IFERROR(__xludf.DUMMYFUNCTION("""COMPUTED_VALUE"""),"Inshorts")</f>
        <v>Inshorts</v>
      </c>
      <c r="B439" s="17" t="str">
        <f>IFERROR(__xludf.DUMMYFUNCTION("""COMPUTED_VALUE"""),"Azhar Iqubal")</f>
        <v>Azhar Iqubal</v>
      </c>
      <c r="C439" s="17" t="str">
        <f>IFERROR(__xludf.DUMMYFUNCTION("""COMPUTED_VALUE"""),"Co-founder &amp; CEO")</f>
        <v>Co-founder &amp; CEO</v>
      </c>
      <c r="D439" s="27" t="str">
        <f>IFERROR(__xludf.DUMMYFUNCTION("""COMPUTED_VALUE"""),"https://www.linkedin.com/in/azhariqubal/")</f>
        <v>https://www.linkedin.com/in/azhariqubal/</v>
      </c>
      <c r="E439" s="17" t="str">
        <f>IFERROR(__xludf.DUMMYFUNCTION("""COMPUTED_VALUE"""),"919871746577")</f>
        <v>919871746577</v>
      </c>
      <c r="F439" s="17" t="str">
        <f>IFERROR(__xludf.DUMMYFUNCTION("""COMPUTED_VALUE"""),"azhariitd@gmail.com")</f>
        <v>azhariitd@gmail.com</v>
      </c>
      <c r="G439" s="17"/>
      <c r="H439" s="17"/>
    </row>
    <row r="440">
      <c r="A440" s="17" t="str">
        <f>IFERROR(__xludf.DUMMYFUNCTION("""COMPUTED_VALUE"""),"Inshorts")</f>
        <v>Inshorts</v>
      </c>
      <c r="B440" s="17" t="str">
        <f>IFERROR(__xludf.DUMMYFUNCTION("""COMPUTED_VALUE"""),"Deepit Purkayastha")</f>
        <v>Deepit Purkayastha</v>
      </c>
      <c r="C440" s="17" t="str">
        <f>IFERROR(__xludf.DUMMYFUNCTION("""COMPUTED_VALUE"""),"Co-founder")</f>
        <v>Co-founder</v>
      </c>
      <c r="D440" s="27" t="str">
        <f>IFERROR(__xludf.DUMMYFUNCTION("""COMPUTED_VALUE"""),"https://www.linkedin.com/in/deepit-purkayastha/")</f>
        <v>https://www.linkedin.com/in/deepit-purkayastha/</v>
      </c>
      <c r="E440" s="17"/>
      <c r="F440" s="17"/>
      <c r="G440" s="17"/>
      <c r="H440" s="17"/>
    </row>
    <row r="441">
      <c r="A441" s="17" t="str">
        <f>IFERROR(__xludf.DUMMYFUNCTION("""COMPUTED_VALUE"""),"Cricbuzz")</f>
        <v>Cricbuzz</v>
      </c>
      <c r="B441" s="17" t="str">
        <f>IFERROR(__xludf.DUMMYFUNCTION("""COMPUTED_VALUE"""),"Pankaj Chhaparwal")</f>
        <v>Pankaj Chhaparwal</v>
      </c>
      <c r="C441" s="17" t="str">
        <f>IFERROR(__xludf.DUMMYFUNCTION("""COMPUTED_VALUE"""),"Co-founder &amp; CEO")</f>
        <v>Co-founder &amp; CEO</v>
      </c>
      <c r="D441" s="27" t="str">
        <f>IFERROR(__xludf.DUMMYFUNCTION("""COMPUTED_VALUE"""),"linkedin.com/in/cpankaj?originalSubdomain=in")</f>
        <v>linkedin.com/in/cpankaj?originalSubdomain=in</v>
      </c>
      <c r="E441" s="17" t="str">
        <f>IFERROR(__xludf.DUMMYFUNCTION("""COMPUTED_VALUE"""),"918040965631")</f>
        <v>918040965631</v>
      </c>
      <c r="F441" s="17" t="str">
        <f>IFERROR(__xludf.DUMMYFUNCTION("""COMPUTED_VALUE"""),"cpankaj@gmail.com")</f>
        <v>cpankaj@gmail.com</v>
      </c>
      <c r="G441" s="17"/>
      <c r="H441" s="17"/>
    </row>
    <row r="442">
      <c r="A442" s="17" t="str">
        <f>IFERROR(__xludf.DUMMYFUNCTION("""COMPUTED_VALUE"""),"Zebronics")</f>
        <v>Zebronics</v>
      </c>
      <c r="B442" s="17" t="str">
        <f>IFERROR(__xludf.DUMMYFUNCTION("""COMPUTED_VALUE"""),"Rajesh Doshi")</f>
        <v>Rajesh Doshi</v>
      </c>
      <c r="C442" s="17" t="str">
        <f>IFERROR(__xludf.DUMMYFUNCTION("""COMPUTED_VALUE"""),"Co-founder &amp; Director")</f>
        <v>Co-founder &amp; Director</v>
      </c>
      <c r="D442" s="27" t="str">
        <f>IFERROR(__xludf.DUMMYFUNCTION("""COMPUTED_VALUE"""),"https://www.linkedin.com/in/rajesh-doshi-aa578566/")</f>
        <v>https://www.linkedin.com/in/rajesh-doshi-aa578566/</v>
      </c>
      <c r="E442" s="17" t="str">
        <f>IFERROR(__xludf.DUMMYFUNCTION("""COMPUTED_VALUE"""),"98407 77905")</f>
        <v>98407 77905</v>
      </c>
      <c r="F442" s="17" t="str">
        <f>IFERROR(__xludf.DUMMYFUNCTION("""COMPUTED_VALUE"""),"rajesh.doshi@zebronics.com")</f>
        <v>rajesh.doshi@zebronics.com</v>
      </c>
      <c r="G442" s="17"/>
      <c r="H442" s="17"/>
    </row>
    <row r="443">
      <c r="A443" s="17" t="str">
        <f>IFERROR(__xludf.DUMMYFUNCTION("""COMPUTED_VALUE"""),"Quikr")</f>
        <v>Quikr</v>
      </c>
      <c r="B443" s="17" t="str">
        <f>IFERROR(__xludf.DUMMYFUNCTION("""COMPUTED_VALUE"""),"Pranay Chulet")</f>
        <v>Pranay Chulet</v>
      </c>
      <c r="C443" s="17" t="str">
        <f>IFERROR(__xludf.DUMMYFUNCTION("""COMPUTED_VALUE"""),"Co founder")</f>
        <v>Co founder</v>
      </c>
      <c r="D443" s="27" t="str">
        <f>IFERROR(__xludf.DUMMYFUNCTION("""COMPUTED_VALUE"""),"https://www.linkedin.com/in/pranay-chulet-3911a7/")</f>
        <v>https://www.linkedin.com/in/pranay-chulet-3911a7/</v>
      </c>
      <c r="E443" s="17" t="str">
        <f>IFERROR(__xludf.DUMMYFUNCTION("""COMPUTED_VALUE"""),"919619161818")</f>
        <v>919619161818</v>
      </c>
      <c r="F443" s="17" t="str">
        <f>IFERROR(__xludf.DUMMYFUNCTION("""COMPUTED_VALUE"""),"pranay@tarmack.com")</f>
        <v>pranay@tarmack.com</v>
      </c>
      <c r="G443" s="17"/>
      <c r="H443" s="17"/>
    </row>
    <row r="444">
      <c r="A444" s="17" t="str">
        <f>IFERROR(__xludf.DUMMYFUNCTION("""COMPUTED_VALUE"""),"Credit Saison India")</f>
        <v>Credit Saison India</v>
      </c>
      <c r="B444" s="17" t="str">
        <f>IFERROR(__xludf.DUMMYFUNCTION("""COMPUTED_VALUE"""),"Ms. Presha Paragash")</f>
        <v>Ms. Presha Paragash</v>
      </c>
      <c r="C444" s="17" t="str">
        <f>IFERROR(__xludf.DUMMYFUNCTION("""COMPUTED_VALUE"""),"CEO &amp; Whole-time Director")</f>
        <v>CEO &amp; Whole-time Director</v>
      </c>
      <c r="D444" s="27" t="str">
        <f>IFERROR(__xludf.DUMMYFUNCTION("""COMPUTED_VALUE"""),"https://www.linkedin.com/in/presha-p-a179415b/")</f>
        <v>https://www.linkedin.com/in/presha-p-a179415b/</v>
      </c>
      <c r="E444" s="17"/>
      <c r="F444" s="17" t="str">
        <f>IFERROR(__xludf.DUMMYFUNCTION("""COMPUTED_VALUE"""),"paragashp@gmail.com")</f>
        <v>paragashp@gmail.com</v>
      </c>
      <c r="G444" s="17"/>
      <c r="H444" s="17"/>
    </row>
    <row r="445">
      <c r="A445" s="17" t="str">
        <f>IFERROR(__xludf.DUMMYFUNCTION("""COMPUTED_VALUE"""),"MakeO (toothsi/skinnsi)")</f>
        <v>MakeO (toothsi/skinnsi)</v>
      </c>
      <c r="B445" s="17" t="str">
        <f>IFERROR(__xludf.DUMMYFUNCTION("""COMPUTED_VALUE"""),"Dr. Arpi Mehta")</f>
        <v>Dr. Arpi Mehta</v>
      </c>
      <c r="C445" s="17" t="str">
        <f>IFERROR(__xludf.DUMMYFUNCTION("""COMPUTED_VALUE"""),"Co-Founder &amp; CEO")</f>
        <v>Co-Founder &amp; CEO</v>
      </c>
      <c r="D445" s="27" t="str">
        <f>IFERROR(__xludf.DUMMYFUNCTION("""COMPUTED_VALUE"""),"https://www.linkedin.com/in/dr-arpi-mehta-b16871159/")</f>
        <v>https://www.linkedin.com/in/dr-arpi-mehta-b16871159/</v>
      </c>
      <c r="E445" s="17"/>
      <c r="F445" s="17" t="str">
        <f>IFERROR(__xludf.DUMMYFUNCTION("""COMPUTED_VALUE"""),"arpi@toothsi.in")</f>
        <v>arpi@toothsi.in</v>
      </c>
      <c r="G445" s="17"/>
      <c r="H445" s="17"/>
    </row>
    <row r="446">
      <c r="A446" s="17" t="str">
        <f>IFERROR(__xludf.DUMMYFUNCTION("""COMPUTED_VALUE"""),"EKA Mobility")</f>
        <v>EKA Mobility</v>
      </c>
      <c r="B446" s="17" t="str">
        <f>IFERROR(__xludf.DUMMYFUNCTION("""COMPUTED_VALUE"""),"Dr. Sudhir Mehta")</f>
        <v>Dr. Sudhir Mehta</v>
      </c>
      <c r="C446" s="17" t="str">
        <f>IFERROR(__xludf.DUMMYFUNCTION("""COMPUTED_VALUE"""),"Founder &amp; Chairman")</f>
        <v>Founder &amp; Chairman</v>
      </c>
      <c r="D446" s="27" t="str">
        <f>IFERROR(__xludf.DUMMYFUNCTION("""COMPUTED_VALUE"""),"https://www.linkedin.com/in/dr-sudhir-mehta-79a2839/")</f>
        <v>https://www.linkedin.com/in/dr-sudhir-mehta-79a2839/</v>
      </c>
      <c r="E446" s="17" t="str">
        <f>IFERROR(__xludf.DUMMYFUNCTION("""COMPUTED_VALUE"""),"912025630651")</f>
        <v>912025630651</v>
      </c>
      <c r="F446" s="17" t="str">
        <f>IFERROR(__xludf.DUMMYFUNCTION("""COMPUTED_VALUE"""),"drsudhirmehta@gmail.com")</f>
        <v>drsudhirmehta@gmail.com</v>
      </c>
      <c r="G446" s="17"/>
      <c r="H446" s="17"/>
    </row>
    <row r="447">
      <c r="A447" s="17" t="str">
        <f>IFERROR(__xludf.DUMMYFUNCTION("""COMPUTED_VALUE"""),"Truemeds")</f>
        <v>Truemeds</v>
      </c>
      <c r="B447" s="17" t="str">
        <f>IFERROR(__xludf.DUMMYFUNCTION("""COMPUTED_VALUE"""),"Mr. Akshat Nayyar")</f>
        <v>Mr. Akshat Nayyar</v>
      </c>
      <c r="C447" s="17" t="str">
        <f>IFERROR(__xludf.DUMMYFUNCTION("""COMPUTED_VALUE"""),"Co-Founder &amp; CEO")</f>
        <v>Co-Founder &amp; CEO</v>
      </c>
      <c r="D447" s="27" t="str">
        <f>IFERROR(__xludf.DUMMYFUNCTION("""COMPUTED_VALUE"""),"linkedin.com/in/akshat-nayyar")</f>
        <v>linkedin.com/in/akshat-nayyar</v>
      </c>
      <c r="E447" s="17" t="str">
        <f>IFERROR(__xludf.DUMMYFUNCTION("""COMPUTED_VALUE"""),"919168884886")</f>
        <v>919168884886</v>
      </c>
      <c r="F447" s="17" t="str">
        <f>IFERROR(__xludf.DUMMYFUNCTION("""COMPUTED_VALUE"""),"akshatnayyar@gmail.com")</f>
        <v>akshatnayyar@gmail.com</v>
      </c>
      <c r="G447" s="17"/>
      <c r="H447" s="17"/>
    </row>
    <row r="448">
      <c r="A448" s="17" t="str">
        <f>IFERROR(__xludf.DUMMYFUNCTION("""COMPUTED_VALUE"""),"Atomberg Technologies")</f>
        <v>Atomberg Technologies</v>
      </c>
      <c r="B448" s="17" t="str">
        <f>IFERROR(__xludf.DUMMYFUNCTION("""COMPUTED_VALUE"""),"Mr. Manoj Meena")</f>
        <v>Mr. Manoj Meena</v>
      </c>
      <c r="C448" s="17" t="str">
        <f>IFERROR(__xludf.DUMMYFUNCTION("""COMPUTED_VALUE"""),"Founder &amp; CEO")</f>
        <v>Founder &amp; CEO</v>
      </c>
      <c r="D448" s="27" t="str">
        <f>IFERROR(__xludf.DUMMYFUNCTION("""COMPUTED_VALUE"""),"https://www.linkedin.com/in/manoj-meena-46510415/")</f>
        <v>https://www.linkedin.com/in/manoj-meena-46510415/</v>
      </c>
      <c r="E448" s="17" t="str">
        <f>IFERROR(__xludf.DUMMYFUNCTION("""COMPUTED_VALUE"""),"96191 39602")</f>
        <v>96191 39602</v>
      </c>
      <c r="F448" s="17" t="str">
        <f>IFERROR(__xludf.DUMMYFUNCTION("""COMPUTED_VALUE"""),"manoj@atomberg.com")</f>
        <v>manoj@atomberg.com</v>
      </c>
      <c r="G448" s="17"/>
      <c r="H448" s="17"/>
    </row>
    <row r="449">
      <c r="A449" s="17" t="str">
        <f>IFERROR(__xludf.DUMMYFUNCTION("""COMPUTED_VALUE"""),"Lohum Cleantech")</f>
        <v>Lohum Cleantech</v>
      </c>
      <c r="B449" s="17" t="str">
        <f>IFERROR(__xludf.DUMMYFUNCTION("""COMPUTED_VALUE"""),"Mr. Rajat Verma")</f>
        <v>Mr. Rajat Verma</v>
      </c>
      <c r="C449" s="17" t="str">
        <f>IFERROR(__xludf.DUMMYFUNCTION("""COMPUTED_VALUE"""),"Founder &amp; CEO")</f>
        <v>Founder &amp; CEO</v>
      </c>
      <c r="D449" s="27" t="str">
        <f>IFERROR(__xludf.DUMMYFUNCTION("""COMPUTED_VALUE"""),"https://www.linkedin.com/in/rajat-verma-751773/")</f>
        <v>https://www.linkedin.com/in/rajat-verma-751773/</v>
      </c>
      <c r="E449" s="17" t="str">
        <f>IFERROR(__xludf.DUMMYFUNCTION("""COMPUTED_VALUE"""),"99710 25817")</f>
        <v>99710 25817</v>
      </c>
      <c r="F449" s="17" t="str">
        <f>IFERROR(__xludf.DUMMYFUNCTION("""COMPUTED_VALUE"""),"rajat.verma@lohum.com")</f>
        <v>rajat.verma@lohum.com</v>
      </c>
      <c r="G449" s="17"/>
      <c r="H449" s="17"/>
    </row>
    <row r="450">
      <c r="A450" s="17" t="str">
        <f>IFERROR(__xludf.DUMMYFUNCTION("""COMPUTED_VALUE"""),"Ripplr")</f>
        <v>Ripplr</v>
      </c>
      <c r="B450" s="17" t="str">
        <f>IFERROR(__xludf.DUMMYFUNCTION("""COMPUTED_VALUE"""),"Mr. Abhishek Nehru")</f>
        <v>Mr. Abhishek Nehru</v>
      </c>
      <c r="C450" s="17" t="str">
        <f>IFERROR(__xludf.DUMMYFUNCTION("""COMPUTED_VALUE"""),"Co-Founder")</f>
        <v>Co-Founder</v>
      </c>
      <c r="D450" s="27" t="str">
        <f>IFERROR(__xludf.DUMMYFUNCTION("""COMPUTED_VALUE"""),"https://www.linkedin.com/in/abhisheknehru/")</f>
        <v>https://www.linkedin.com/in/abhisheknehru/</v>
      </c>
      <c r="E450" s="17" t="str">
        <f>IFERROR(__xludf.DUMMYFUNCTION("""COMPUTED_VALUE"""),"919590013999")</f>
        <v>919590013999</v>
      </c>
      <c r="F450" s="17" t="str">
        <f>IFERROR(__xludf.DUMMYFUNCTION("""COMPUTED_VALUE"""),"abhisheknehru@gmail.com")</f>
        <v>abhisheknehru@gmail.com</v>
      </c>
      <c r="G450" s="17"/>
      <c r="H450" s="17"/>
    </row>
    <row r="451">
      <c r="A451" s="17" t="str">
        <f>IFERROR(__xludf.DUMMYFUNCTION("""COMPUTED_VALUE"""),"Battery Smart")</f>
        <v>Battery Smart</v>
      </c>
      <c r="B451" s="17" t="str">
        <f>IFERROR(__xludf.DUMMYFUNCTION("""COMPUTED_VALUE"""),"Mr. Pulkit Khurana")</f>
        <v>Mr. Pulkit Khurana</v>
      </c>
      <c r="C451" s="17" t="str">
        <f>IFERROR(__xludf.DUMMYFUNCTION("""COMPUTED_VALUE"""),"Co-Founder &amp; CEO")</f>
        <v>Co-Founder &amp; CEO</v>
      </c>
      <c r="D451" s="27" t="str">
        <f>IFERROR(__xludf.DUMMYFUNCTION("""COMPUTED_VALUE"""),"https://www.linkedin.com/in/pulkitkhurana/")</f>
        <v>https://www.linkedin.com/in/pulkitkhurana/</v>
      </c>
      <c r="E451" s="17" t="str">
        <f>IFERROR(__xludf.DUMMYFUNCTION("""COMPUTED_VALUE"""),"919650677767")</f>
        <v>919650677767</v>
      </c>
      <c r="F451" s="17" t="str">
        <f>IFERROR(__xludf.DUMMYFUNCTION("""COMPUTED_VALUE"""),"pulkitkhurana1@gmail.com")</f>
        <v>pulkitkhurana1@gmail.com</v>
      </c>
      <c r="G451" s="17"/>
      <c r="H451" s="17"/>
    </row>
    <row r="452">
      <c r="A452" s="17" t="str">
        <f>IFERROR(__xludf.DUMMYFUNCTION("""COMPUTED_VALUE"""),"TI Clean Mobility")</f>
        <v>TI Clean Mobility</v>
      </c>
      <c r="B452" s="17" t="str">
        <f>IFERROR(__xludf.DUMMYFUNCTION("""COMPUTED_VALUE"""),"Mr. Manish Arora")</f>
        <v>Mr. Manish Arora</v>
      </c>
      <c r="C452" s="17" t="str">
        <f>IFERROR(__xludf.DUMMYFUNCTION("""COMPUTED_VALUE"""),"CEO")</f>
        <v>CEO</v>
      </c>
      <c r="D452" s="27" t="str">
        <f>IFERROR(__xludf.DUMMYFUNCTION("""COMPUTED_VALUE"""),"https://www.linkedin.com/in/manish-arora-50499614/")</f>
        <v>https://www.linkedin.com/in/manish-arora-50499614/</v>
      </c>
      <c r="E452" s="17" t="str">
        <f>IFERROR(__xludf.DUMMYFUNCTION("""COMPUTED_VALUE"""),"98104 95578")</f>
        <v>98104 95578</v>
      </c>
      <c r="F452" s="17" t="str">
        <f>IFERROR(__xludf.DUMMYFUNCTION("""COMPUTED_VALUE"""),"arora.manish@mahindra.com")</f>
        <v>arora.manish@mahindra.com</v>
      </c>
      <c r="G452" s="17"/>
      <c r="H452" s="17"/>
    </row>
    <row r="453">
      <c r="A453" s="17" t="str">
        <f>IFERROR(__xludf.DUMMYFUNCTION("""COMPUTED_VALUE"""),"Absolute")</f>
        <v>Absolute</v>
      </c>
      <c r="B453" s="17" t="str">
        <f>IFERROR(__xludf.DUMMYFUNCTION("""COMPUTED_VALUE"""),"Mr. Prateek Rawat")</f>
        <v>Mr. Prateek Rawat</v>
      </c>
      <c r="C453" s="17" t="str">
        <f>IFERROR(__xludf.DUMMYFUNCTION("""COMPUTED_VALUE"""),"Founder &amp; Group CEO")</f>
        <v>Founder &amp; Group CEO</v>
      </c>
      <c r="D453" s="27" t="str">
        <f>IFERROR(__xludf.DUMMYFUNCTION("""COMPUTED_VALUE"""),"https://www.linkedin.com/in/rawatprateek/")</f>
        <v>https://www.linkedin.com/in/rawatprateek/</v>
      </c>
      <c r="E453" s="17" t="str">
        <f>IFERROR(__xludf.DUMMYFUNCTION("""COMPUTED_VALUE"""),"919711821394")</f>
        <v>919711821394</v>
      </c>
      <c r="F453" s="17" t="str">
        <f>IFERROR(__xludf.DUMMYFUNCTION("""COMPUTED_VALUE"""),"prateekrawat@gmail.com")</f>
        <v>prateekrawat@gmail.com</v>
      </c>
      <c r="G453" s="17"/>
      <c r="H453" s="17"/>
    </row>
    <row r="454">
      <c r="A454" s="17" t="str">
        <f>IFERROR(__xludf.DUMMYFUNCTION("""COMPUTED_VALUE"""),"Girnar Finserv")</f>
        <v>Girnar Finserv</v>
      </c>
      <c r="B454" s="17" t="str">
        <f>IFERROR(__xludf.DUMMYFUNCTION("""COMPUTED_VALUE"""),"Mr. Amit Jain")</f>
        <v>Mr. Amit Jain</v>
      </c>
      <c r="C454" s="17" t="str">
        <f>IFERROR(__xludf.DUMMYFUNCTION("""COMPUTED_VALUE"""),"Co-Founder &amp; CEO (GirnarSoft)")</f>
        <v>Co-Founder &amp; CEO (GirnarSoft)</v>
      </c>
      <c r="D454" s="27" t="str">
        <f>IFERROR(__xludf.DUMMYFUNCTION("""COMPUTED_VALUE"""),"https://www.linkedin.com/in/cardekhoamitjain/")</f>
        <v>https://www.linkedin.com/in/cardekhoamitjain/</v>
      </c>
      <c r="E454" s="17" t="str">
        <f>IFERROR(__xludf.DUMMYFUNCTION("""COMPUTED_VALUE"""),"911412620451")</f>
        <v>911412620451</v>
      </c>
      <c r="F454" s="17" t="str">
        <f>IFERROR(__xludf.DUMMYFUNCTION("""COMPUTED_VALUE"""),"amitjain01@gmail.com")</f>
        <v>amitjain01@gmail.com</v>
      </c>
      <c r="G454" s="17"/>
      <c r="H454" s="17"/>
    </row>
    <row r="455">
      <c r="A455" s="17" t="str">
        <f>IFERROR(__xludf.DUMMYFUNCTION("""COMPUTED_VALUE"""),"Bounce Infinity")</f>
        <v>Bounce Infinity</v>
      </c>
      <c r="B455" s="17" t="str">
        <f>IFERROR(__xludf.DUMMYFUNCTION("""COMPUTED_VALUE"""),"Mr. Vivekananda Hallekere")</f>
        <v>Mr. Vivekananda Hallekere</v>
      </c>
      <c r="C455" s="17" t="str">
        <f>IFERROR(__xludf.DUMMYFUNCTION("""COMPUTED_VALUE"""),"Co-Founder &amp; CEO")</f>
        <v>Co-Founder &amp; CEO</v>
      </c>
      <c r="D455" s="27" t="str">
        <f>IFERROR(__xludf.DUMMYFUNCTION("""COMPUTED_VALUE"""),"linkedin.com/in/vivekananda-hallekere-0483bb19?originalSubdomain=in")</f>
        <v>linkedin.com/in/vivekananda-hallekere-0483bb19?originalSubdomain=in</v>
      </c>
      <c r="E455" s="17" t="str">
        <f>IFERROR(__xludf.DUMMYFUNCTION("""COMPUTED_VALUE"""),"919986244195")</f>
        <v>919986244195</v>
      </c>
      <c r="F455" s="17" t="str">
        <f>IFERROR(__xludf.DUMMYFUNCTION("""COMPUTED_VALUE"""),"vivekhsn@gmail.com")</f>
        <v>vivekhsn@gmail.com</v>
      </c>
      <c r="G455" s="17"/>
      <c r="H455" s="17"/>
    </row>
    <row r="456">
      <c r="A456" s="17" t="str">
        <f>IFERROR(__xludf.DUMMYFUNCTION("""COMPUTED_VALUE"""),"Table Space")</f>
        <v>Table Space</v>
      </c>
      <c r="B456" s="17" t="str">
        <f>IFERROR(__xludf.DUMMYFUNCTION("""COMPUTED_VALUE"""),"Mr. Karan Chopra")</f>
        <v>Mr. Karan Chopra</v>
      </c>
      <c r="C456" s="17" t="str">
        <f>IFERROR(__xludf.DUMMYFUNCTION("""COMPUTED_VALUE"""),"Co-Founder &amp; Co-CEO")</f>
        <v>Co-Founder &amp; Co-CEO</v>
      </c>
      <c r="D456" s="27" t="str">
        <f>IFERROR(__xludf.DUMMYFUNCTION("""COMPUTED_VALUE"""),"https://www.linkedin.com/in/amit-banerji-36533b4/")</f>
        <v>https://www.linkedin.com/in/amit-banerji-36533b4/</v>
      </c>
      <c r="E456" s="17"/>
      <c r="F456" s="17" t="str">
        <f>IFERROR(__xludf.DUMMYFUNCTION("""COMPUTED_VALUE"""),"amitbanerji131@gmail.com")</f>
        <v>amitbanerji131@gmail.com</v>
      </c>
      <c r="G456" s="17"/>
      <c r="H456" s="17"/>
    </row>
    <row r="457">
      <c r="A457" s="17" t="str">
        <f>IFERROR(__xludf.DUMMYFUNCTION("""COMPUTED_VALUE"""),"ARISE IIP")</f>
        <v>ARISE IIP</v>
      </c>
      <c r="B457" s="17" t="str">
        <f>IFERROR(__xludf.DUMMYFUNCTION("""COMPUTED_VALUE"""),"Mr. Gagan Gupta")</f>
        <v>Mr. Gagan Gupta</v>
      </c>
      <c r="C457" s="17" t="str">
        <f>IFERROR(__xludf.DUMMYFUNCTION("""COMPUTED_VALUE"""),"Founder &amp; CEO")</f>
        <v>Founder &amp; CEO</v>
      </c>
      <c r="D457" s="27" t="str">
        <f>IFERROR(__xludf.DUMMYFUNCTION("""COMPUTED_VALUE"""),"https://www.linkedin.com/in/gagan-gupta-2a407215/")</f>
        <v>https://www.linkedin.com/in/gagan-gupta-2a407215/</v>
      </c>
      <c r="E457" s="17" t="str">
        <f>IFERROR(__xludf.DUMMYFUNCTION("""COMPUTED_VALUE"""),"241 77 85 90 99")</f>
        <v>241 77 85 90 99</v>
      </c>
      <c r="F457" s="17" t="str">
        <f>IFERROR(__xludf.DUMMYFUNCTION("""COMPUTED_VALUE"""),"gagan.gupta@equitane.com")</f>
        <v>gagan.gupta@equitane.com</v>
      </c>
      <c r="G457" s="17"/>
      <c r="H457" s="17"/>
    </row>
    <row r="458">
      <c r="A458" s="17" t="str">
        <f>IFERROR(__xludf.DUMMYFUNCTION("""COMPUTED_VALUE"""),"Serentica Renewables")</f>
        <v>Serentica Renewables</v>
      </c>
      <c r="B458" s="17" t="str">
        <f>IFERROR(__xludf.DUMMYFUNCTION("""COMPUTED_VALUE"""),"Mr. Akshay Hiranandani")</f>
        <v>Mr. Akshay Hiranandani</v>
      </c>
      <c r="C458" s="17" t="str">
        <f>IFERROR(__xludf.DUMMYFUNCTION("""COMPUTED_VALUE"""),"CEO")</f>
        <v>CEO</v>
      </c>
      <c r="D458" s="27" t="str">
        <f>IFERROR(__xludf.DUMMYFUNCTION("""COMPUTED_VALUE"""),"https://www.linkedin.com/in/akshay-hiranandani-82a1b7b/")</f>
        <v>https://www.linkedin.com/in/akshay-hiranandani-82a1b7b/</v>
      </c>
      <c r="E458" s="17" t="str">
        <f>IFERROR(__xludf.DUMMYFUNCTION("""COMPUTED_VALUE"""),"91 96199 95753")</f>
        <v>91 96199 95753</v>
      </c>
      <c r="F458" s="17" t="str">
        <f>IFERROR(__xludf.DUMMYFUNCTION("""COMPUTED_VALUE"""),"akshay.hiranandani@serenticaglobal.com")</f>
        <v>akshay.hiranandani@serenticaglobal.com</v>
      </c>
      <c r="G458" s="17"/>
      <c r="H458" s="17"/>
    </row>
    <row r="459">
      <c r="A459" s="17" t="str">
        <f>IFERROR(__xludf.DUMMYFUNCTION("""COMPUTED_VALUE"""),"Chingari")</f>
        <v>Chingari</v>
      </c>
      <c r="B459" s="17" t="str">
        <f>IFERROR(__xludf.DUMMYFUNCTION("""COMPUTED_VALUE"""),"Mr. Sumit Ghosh")</f>
        <v>Mr. Sumit Ghosh</v>
      </c>
      <c r="C459" s="17" t="str">
        <f>IFERROR(__xludf.DUMMYFUNCTION("""COMPUTED_VALUE"""),"Co-Founder &amp; CEO")</f>
        <v>Co-Founder &amp; CEO</v>
      </c>
      <c r="D459" s="27" t="str">
        <f>IFERROR(__xludf.DUMMYFUNCTION("""COMPUTED_VALUE"""),"https://www.linkedin.com/in/sumit-chingari/")</f>
        <v>https://www.linkedin.com/in/sumit-chingari/</v>
      </c>
      <c r="E459" s="17" t="str">
        <f>IFERROR(__xludf.DUMMYFUNCTION("""COMPUTED_VALUE"""),"919954385701")</f>
        <v>919954385701</v>
      </c>
      <c r="F459" s="17" t="str">
        <f>IFERROR(__xludf.DUMMYFUNCTION("""COMPUTED_VALUE"""),"sumit@chingari.io")</f>
        <v>sumit@chingari.io</v>
      </c>
      <c r="G459" s="17"/>
      <c r="H459" s="17"/>
    </row>
    <row r="460">
      <c r="A460" s="17" t="str">
        <f>IFERROR(__xludf.DUMMYFUNCTION("""COMPUTED_VALUE"""),"Greaves Electric Mobility")</f>
        <v>Greaves Electric Mobility</v>
      </c>
      <c r="B460" s="17" t="str">
        <f>IFERROR(__xludf.DUMMYFUNCTION("""COMPUTED_VALUE"""),"K. Vijaya Kumar")</f>
        <v>K. Vijaya Kumar</v>
      </c>
      <c r="C460" s="17" t="str">
        <f>IFERROR(__xludf.DUMMYFUNCTION("""COMPUTED_VALUE"""),"Executive Director &amp; CEO")</f>
        <v>Executive Director &amp; CEO</v>
      </c>
      <c r="D460" s="27" t="str">
        <f>IFERROR(__xludf.DUMMYFUNCTION("""COMPUTED_VALUE"""),"https://www.linkedin.com/in/kvkumar?originalSubdomain=in")</f>
        <v>https://www.linkedin.com/in/kvkumar?originalSubdomain=in</v>
      </c>
      <c r="E460" s="17" t="str">
        <f>IFERROR(__xludf.DUMMYFUNCTION("""COMPUTED_VALUE"""),"918939970003")</f>
        <v>918939970003</v>
      </c>
      <c r="F460" s="17" t="str">
        <f>IFERROR(__xludf.DUMMYFUNCTION("""COMPUTED_VALUE"""),"kvijayak@gmail.com")</f>
        <v>kvijayak@gmail.com</v>
      </c>
      <c r="G460" s="17"/>
      <c r="H460" s="17"/>
    </row>
    <row r="461">
      <c r="A461" s="17" t="str">
        <f>IFERROR(__xludf.DUMMYFUNCTION("""COMPUTED_VALUE"""),"Kissht")</f>
        <v>Kissht</v>
      </c>
      <c r="B461" s="17" t="str">
        <f>IFERROR(__xludf.DUMMYFUNCTION("""COMPUTED_VALUE"""),"Krishnan Vishwanathan")</f>
        <v>Krishnan Vishwanathan</v>
      </c>
      <c r="C461" s="17" t="str">
        <f>IFERROR(__xludf.DUMMYFUNCTION("""COMPUTED_VALUE"""),"Co-Founder &amp; CEO")</f>
        <v>Co-Founder &amp; CEO</v>
      </c>
      <c r="D461" s="27" t="str">
        <f>IFERROR(__xludf.DUMMYFUNCTION("""COMPUTED_VALUE"""),"https://www.linkedin.com/in/krishnan-vishwanathan-76a970/?originalSubdomain=in")</f>
        <v>https://www.linkedin.com/in/krishnan-vishwanathan-76a970/?originalSubdomain=in</v>
      </c>
      <c r="E461" s="17" t="str">
        <f>IFERROR(__xludf.DUMMYFUNCTION("""COMPUTED_VALUE"""),"18455625376")</f>
        <v>18455625376</v>
      </c>
      <c r="F461" s="17" t="str">
        <f>IFERROR(__xludf.DUMMYFUNCTION("""COMPUTED_VALUE"""),"krishnan.vishwanathan@kissht.com")</f>
        <v>krishnan.vishwanathan@kissht.com</v>
      </c>
      <c r="G461" s="17"/>
      <c r="H461" s="17"/>
    </row>
    <row r="462">
      <c r="A462" s="17" t="str">
        <f>IFERROR(__xludf.DUMMYFUNCTION("""COMPUTED_VALUE"""),"Kissht")</f>
        <v>Kissht</v>
      </c>
      <c r="B462" s="17" t="str">
        <f>IFERROR(__xludf.DUMMYFUNCTION("""COMPUTED_VALUE"""),"Ranvir Singh")</f>
        <v>Ranvir Singh</v>
      </c>
      <c r="C462" s="17" t="str">
        <f>IFERROR(__xludf.DUMMYFUNCTION("""COMPUTED_VALUE"""),"Co-Founder")</f>
        <v>Co-Founder</v>
      </c>
      <c r="D462" s="27" t="str">
        <f>IFERROR(__xludf.DUMMYFUNCTION("""COMPUTED_VALUE"""),"https://www.linkedin.com/in/ranvir-singh-23701719/")</f>
        <v>https://www.linkedin.com/in/ranvir-singh-23701719/</v>
      </c>
      <c r="E462" s="17"/>
      <c r="F462" s="17" t="str">
        <f>IFERROR(__xludf.DUMMYFUNCTION("""COMPUTED_VALUE"""),"ranvirs@gmail.com")</f>
        <v>ranvirs@gmail.com</v>
      </c>
      <c r="G462" s="17"/>
      <c r="H462" s="17"/>
    </row>
    <row r="463">
      <c r="A463" s="17" t="str">
        <f>IFERROR(__xludf.DUMMYFUNCTION("""COMPUTED_VALUE"""),"Stashfin")</f>
        <v>Stashfin</v>
      </c>
      <c r="B463" s="17" t="str">
        <f>IFERROR(__xludf.DUMMYFUNCTION("""COMPUTED_VALUE"""),"Tushar Aggarwal")</f>
        <v>Tushar Aggarwal</v>
      </c>
      <c r="C463" s="17" t="str">
        <f>IFERROR(__xludf.DUMMYFUNCTION("""COMPUTED_VALUE"""),"Founder &amp; CEO")</f>
        <v>Founder &amp; CEO</v>
      </c>
      <c r="D463" s="27" t="str">
        <f>IFERROR(__xludf.DUMMYFUNCTION("""COMPUTED_VALUE"""),"https://www.linkedin.com/in/tushar-aggarwal-4883421/?originalSubdomain=in")</f>
        <v>https://www.linkedin.com/in/tushar-aggarwal-4883421/?originalSubdomain=in</v>
      </c>
      <c r="E463" s="17"/>
      <c r="F463" s="17" t="str">
        <f>IFERROR(__xludf.DUMMYFUNCTION("""COMPUTED_VALUE"""),"tushar.aggarwal@stashfin.com")</f>
        <v>tushar.aggarwal@stashfin.com</v>
      </c>
      <c r="G463" s="17"/>
      <c r="H463" s="17"/>
    </row>
    <row r="464">
      <c r="A464" s="17" t="str">
        <f>IFERROR(__xludf.DUMMYFUNCTION("""COMPUTED_VALUE"""),"Practo")</f>
        <v>Practo</v>
      </c>
      <c r="B464" s="17" t="str">
        <f>IFERROR(__xludf.DUMMYFUNCTION("""COMPUTED_VALUE"""),"Shashank ND")</f>
        <v>Shashank ND</v>
      </c>
      <c r="C464" s="17" t="str">
        <f>IFERROR(__xludf.DUMMYFUNCTION("""COMPUTED_VALUE"""),"Founder &amp; CEO")</f>
        <v>Founder &amp; CEO</v>
      </c>
      <c r="D464" s="27" t="str">
        <f>IFERROR(__xludf.DUMMYFUNCTION("""COMPUTED_VALUE"""),"https://www.linkedin.com/in/shashanknd/?originalSubdomain=in")</f>
        <v>https://www.linkedin.com/in/shashanknd/?originalSubdomain=in</v>
      </c>
      <c r="E464" s="17" t="str">
        <f>IFERROR(__xludf.DUMMYFUNCTION("""COMPUTED_VALUE"""),"919886302739")</f>
        <v>919886302739</v>
      </c>
      <c r="F464" s="17" t="str">
        <f>IFERROR(__xludf.DUMMYFUNCTION("""COMPUTED_VALUE"""),"naabosolutions@gmail.com")</f>
        <v>naabosolutions@gmail.com</v>
      </c>
      <c r="G464" s="17"/>
      <c r="H464" s="17"/>
    </row>
    <row r="465">
      <c r="A465" s="17" t="str">
        <f>IFERROR(__xludf.DUMMYFUNCTION("""COMPUTED_VALUE"""),"Servify")</f>
        <v>Servify</v>
      </c>
      <c r="B465" s="17" t="str">
        <f>IFERROR(__xludf.DUMMYFUNCTION("""COMPUTED_VALUE"""),"Sreevathsa Prabhakar")</f>
        <v>Sreevathsa Prabhakar</v>
      </c>
      <c r="C465" s="17" t="str">
        <f>IFERROR(__xludf.DUMMYFUNCTION("""COMPUTED_VALUE"""),"Founder")</f>
        <v>Founder</v>
      </c>
      <c r="D465" s="27" t="str">
        <f>IFERROR(__xludf.DUMMYFUNCTION("""COMPUTED_VALUE"""),"https://www.linkedin.com/in/sreevathsap/")</f>
        <v>https://www.linkedin.com/in/sreevathsap/</v>
      </c>
      <c r="E465" s="17" t="str">
        <f>IFERROR(__xludf.DUMMYFUNCTION("""COMPUTED_VALUE"""),"17022219986")</f>
        <v>17022219986</v>
      </c>
      <c r="F465" s="17" t="str">
        <f>IFERROR(__xludf.DUMMYFUNCTION("""COMPUTED_VALUE"""),"sreevathsap@gmail.com")</f>
        <v>sreevathsap@gmail.com</v>
      </c>
      <c r="G465" s="17"/>
      <c r="H465" s="17"/>
    </row>
    <row r="466">
      <c r="A466" s="17" t="str">
        <f>IFERROR(__xludf.DUMMYFUNCTION("""COMPUTED_VALUE"""),"FanCraze")</f>
        <v>FanCraze</v>
      </c>
      <c r="B466" s="17" t="str">
        <f>IFERROR(__xludf.DUMMYFUNCTION("""COMPUTED_VALUE"""),"Anshum Bhambri")</f>
        <v>Anshum Bhambri</v>
      </c>
      <c r="C466" s="17" t="str">
        <f>IFERROR(__xludf.DUMMYFUNCTION("""COMPUTED_VALUE"""),"CEO &amp; Co-Founder")</f>
        <v>CEO &amp; Co-Founder</v>
      </c>
      <c r="D466" s="27" t="str">
        <f>IFERROR(__xludf.DUMMYFUNCTION("""COMPUTED_VALUE"""),"https://www.linkedin.com/in/anshumbhambri/")</f>
        <v>https://www.linkedin.com/in/anshumbhambri/</v>
      </c>
      <c r="E466" s="17"/>
      <c r="F466" s="17" t="str">
        <f>IFERROR(__xludf.DUMMYFUNCTION("""COMPUTED_VALUE"""),"a@fancraze.com")</f>
        <v>a@fancraze.com</v>
      </c>
      <c r="G466" s="17"/>
      <c r="H466" s="17"/>
    </row>
    <row r="467">
      <c r="A467" s="17" t="str">
        <f>IFERROR(__xludf.DUMMYFUNCTION("""COMPUTED_VALUE"""),"Isprava")</f>
        <v>Isprava</v>
      </c>
      <c r="B467" s="17" t="str">
        <f>IFERROR(__xludf.DUMMYFUNCTION("""COMPUTED_VALUE"""),"Nibhrant Shah")</f>
        <v>Nibhrant Shah</v>
      </c>
      <c r="C467" s="17" t="str">
        <f>IFERROR(__xludf.DUMMYFUNCTION("""COMPUTED_VALUE"""),"Co-Founder &amp; CEO")</f>
        <v>Co-Founder &amp; CEO</v>
      </c>
      <c r="D467" s="27" t="str">
        <f>IFERROR(__xludf.DUMMYFUNCTION("""COMPUTED_VALUE"""),"https://www.linkedin.com/in/nibhrantshah/?originalSubdomain=in")</f>
        <v>https://www.linkedin.com/in/nibhrantshah/?originalSubdomain=in</v>
      </c>
      <c r="E467" s="17" t="str">
        <f>IFERROR(__xludf.DUMMYFUNCTION("""COMPUTED_VALUE"""),"919819852790")</f>
        <v>919819852790</v>
      </c>
      <c r="F467" s="17" t="str">
        <f>IFERROR(__xludf.DUMMYFUNCTION("""COMPUTED_VALUE"""),"nibhrant.shah@themisaccounting.com")</f>
        <v>nibhrant.shah@themisaccounting.com</v>
      </c>
      <c r="G467" s="17"/>
      <c r="H467" s="17"/>
    </row>
    <row r="468">
      <c r="A468" s="17" t="str">
        <f>IFERROR(__xludf.DUMMYFUNCTION("""COMPUTED_VALUE"""),"Pocket FM")</f>
        <v>Pocket FM</v>
      </c>
      <c r="B468" s="17" t="str">
        <f>IFERROR(__xludf.DUMMYFUNCTION("""COMPUTED_VALUE"""),"Rohan Nayak")</f>
        <v>Rohan Nayak</v>
      </c>
      <c r="C468" s="17" t="str">
        <f>IFERROR(__xludf.DUMMYFUNCTION("""COMPUTED_VALUE"""),"Co-Founder &amp; CEO")</f>
        <v>Co-Founder &amp; CEO</v>
      </c>
      <c r="D468" s="27" t="str">
        <f>IFERROR(__xludf.DUMMYFUNCTION("""COMPUTED_VALUE"""),"https://www.linkedin.com/in/rohan-nayak/?originalSubdomain=in")</f>
        <v>https://www.linkedin.com/in/rohan-nayak/?originalSubdomain=in</v>
      </c>
      <c r="E468" s="17" t="str">
        <f>IFERROR(__xludf.DUMMYFUNCTION("""COMPUTED_VALUE"""),"918509679865")</f>
        <v>918509679865</v>
      </c>
      <c r="F468" s="17" t="str">
        <f>IFERROR(__xludf.DUMMYFUNCTION("""COMPUTED_VALUE"""),"rohannayak0622@gmail.com")</f>
        <v>rohannayak0622@gmail.com</v>
      </c>
      <c r="G468" s="17"/>
      <c r="H468" s="17"/>
    </row>
    <row r="469">
      <c r="A469" s="17" t="str">
        <f>IFERROR(__xludf.DUMMYFUNCTION("""COMPUTED_VALUE"""),"CityMall")</f>
        <v>CityMall</v>
      </c>
      <c r="B469" s="17" t="str">
        <f>IFERROR(__xludf.DUMMYFUNCTION("""COMPUTED_VALUE"""),"Angad Kikla")</f>
        <v>Angad Kikla</v>
      </c>
      <c r="C469" s="17" t="str">
        <f>IFERROR(__xludf.DUMMYFUNCTION("""COMPUTED_VALUE"""),"Co-Founder &amp; CEO")</f>
        <v>Co-Founder &amp; CEO</v>
      </c>
      <c r="D469" s="27" t="str">
        <f>IFERROR(__xludf.DUMMYFUNCTION("""COMPUTED_VALUE"""),"https://www.linkedin.com/in/angad-k-68478312/?originalSubdomain=in")</f>
        <v>https://www.linkedin.com/in/angad-k-68478312/?originalSubdomain=in</v>
      </c>
      <c r="E469" s="17" t="str">
        <f>IFERROR(__xludf.DUMMYFUNCTION("""COMPUTED_VALUE"""),"919873550237")</f>
        <v>919873550237</v>
      </c>
      <c r="F469" s="17" t="str">
        <f>IFERROR(__xludf.DUMMYFUNCTION("""COMPUTED_VALUE"""),"angad@citymall.live")</f>
        <v>angad@citymall.live</v>
      </c>
      <c r="G469" s="17"/>
      <c r="H469" s="17"/>
    </row>
    <row r="470">
      <c r="A470" s="17" t="str">
        <f>IFERROR(__xludf.DUMMYFUNCTION("""COMPUTED_VALUE"""),"Mintifi")</f>
        <v>Mintifi</v>
      </c>
      <c r="B470" s="17" t="str">
        <f>IFERROR(__xludf.DUMMYFUNCTION("""COMPUTED_VALUE"""),"Anup Agarwal")</f>
        <v>Anup Agarwal</v>
      </c>
      <c r="C470" s="17" t="str">
        <f>IFERROR(__xludf.DUMMYFUNCTION("""COMPUTED_VALUE"""),"Co-Founder &amp; CEO")</f>
        <v>Co-Founder &amp; CEO</v>
      </c>
      <c r="D470" s="27" t="str">
        <f>IFERROR(__xludf.DUMMYFUNCTION("""COMPUTED_VALUE"""),"https://www.linkedin.com/in/anup-agarwal-2033222/?originalSubdomain=in")</f>
        <v>https://www.linkedin.com/in/anup-agarwal-2033222/?originalSubdomain=in</v>
      </c>
      <c r="E470" s="17"/>
      <c r="F470" s="17" t="str">
        <f>IFERROR(__xludf.DUMMYFUNCTION("""COMPUTED_VALUE"""),"anup@mintifi.com")</f>
        <v>anup@mintifi.com</v>
      </c>
      <c r="G470" s="17"/>
      <c r="H470" s="17"/>
    </row>
    <row r="471">
      <c r="A471" s="17" t="str">
        <f>IFERROR(__xludf.DUMMYFUNCTION("""COMPUTED_VALUE"""),"Polygon")</f>
        <v>Polygon</v>
      </c>
      <c r="B471" s="17" t="str">
        <f>IFERROR(__xludf.DUMMYFUNCTION("""COMPUTED_VALUE"""),"Sandeep Nailwal")</f>
        <v>Sandeep Nailwal</v>
      </c>
      <c r="C471" s="17" t="str">
        <f>IFERROR(__xludf.DUMMYFUNCTION("""COMPUTED_VALUE"""),"Co-Founder")</f>
        <v>Co-Founder</v>
      </c>
      <c r="D471" s="27" t="str">
        <f>IFERROR(__xludf.DUMMYFUNCTION("""COMPUTED_VALUE"""),"https://www.linkedin.com/in/sandeep-nailwal-60709a33/")</f>
        <v>https://www.linkedin.com/in/sandeep-nailwal-60709a33/</v>
      </c>
      <c r="E471" s="17"/>
      <c r="F471" s="17" t="str">
        <f>IFERROR(__xludf.DUMMYFUNCTION("""COMPUTED_VALUE"""),"sandeep@polygon.technology")</f>
        <v>sandeep@polygon.technology</v>
      </c>
      <c r="G471" s="17"/>
      <c r="H471" s="17"/>
    </row>
    <row r="472">
      <c r="A472" s="17" t="str">
        <f>IFERROR(__xludf.DUMMYFUNCTION("""COMPUTED_VALUE"""),"Pixis")</f>
        <v>Pixis</v>
      </c>
      <c r="B472" s="17" t="str">
        <f>IFERROR(__xludf.DUMMYFUNCTION("""COMPUTED_VALUE"""),"Shubham A. Mishra")</f>
        <v>Shubham A. Mishra</v>
      </c>
      <c r="C472" s="17" t="str">
        <f>IFERROR(__xludf.DUMMYFUNCTION("""COMPUTED_VALUE"""),"Co-Founder &amp; CEO")</f>
        <v>Co-Founder &amp; CEO</v>
      </c>
      <c r="D472" s="27" t="str">
        <f>IFERROR(__xludf.DUMMYFUNCTION("""COMPUTED_VALUE"""),"https://www.linkedin.com/in/shubham015/")</f>
        <v>https://www.linkedin.com/in/shubham015/</v>
      </c>
      <c r="E472" s="17" t="str">
        <f>IFERROR(__xludf.DUMMYFUNCTION("""COMPUTED_VALUE"""),"918692074159")</f>
        <v>918692074159</v>
      </c>
      <c r="F472" s="17" t="str">
        <f>IFERROR(__xludf.DUMMYFUNCTION("""COMPUTED_VALUE"""),"shubhammishra015@gmail.com")</f>
        <v>shubhammishra015@gmail.com</v>
      </c>
      <c r="G472" s="17"/>
      <c r="H472" s="17"/>
    </row>
    <row r="473">
      <c r="A473" s="17" t="str">
        <f>IFERROR(__xludf.DUMMYFUNCTION("""COMPUTED_VALUE"""),"Zupee")</f>
        <v>Zupee</v>
      </c>
      <c r="B473" s="17" t="str">
        <f>IFERROR(__xludf.DUMMYFUNCTION("""COMPUTED_VALUE"""),"Dilsher Singh Malhi")</f>
        <v>Dilsher Singh Malhi</v>
      </c>
      <c r="C473" s="17" t="str">
        <f>IFERROR(__xludf.DUMMYFUNCTION("""COMPUTED_VALUE"""),"Founder &amp; CEO")</f>
        <v>Founder &amp; CEO</v>
      </c>
      <c r="D473" s="27" t="str">
        <f>IFERROR(__xludf.DUMMYFUNCTION("""COMPUTED_VALUE"""),"https://www.linkedin.com/in/dilsher-malhi-983ab5121/?originalSubdomain=in")</f>
        <v>https://www.linkedin.com/in/dilsher-malhi-983ab5121/?originalSubdomain=in</v>
      </c>
      <c r="E473" s="17" t="str">
        <f>IFERROR(__xludf.DUMMYFUNCTION("""COMPUTED_VALUE"""),"919664175952")</f>
        <v>919664175952</v>
      </c>
      <c r="F473" s="17" t="str">
        <f>IFERROR(__xludf.DUMMYFUNCTION("""COMPUTED_VALUE"""),"dilsher4486@gmail.com")</f>
        <v>dilsher4486@gmail.com</v>
      </c>
      <c r="G473" s="17"/>
      <c r="H473" s="17"/>
    </row>
    <row r="474">
      <c r="A474" s="17" t="str">
        <f>IFERROR(__xludf.DUMMYFUNCTION("""COMPUTED_VALUE"""),"Curefoods")</f>
        <v>Curefoods</v>
      </c>
      <c r="B474" s="17" t="str">
        <f>IFERROR(__xludf.DUMMYFUNCTION("""COMPUTED_VALUE"""),"Ankit Nagori")</f>
        <v>Ankit Nagori</v>
      </c>
      <c r="C474" s="17" t="str">
        <f>IFERROR(__xludf.DUMMYFUNCTION("""COMPUTED_VALUE"""),"Founder &amp; CEO")</f>
        <v>Founder &amp; CEO</v>
      </c>
      <c r="D474" s="27" t="str">
        <f>IFERROR(__xludf.DUMMYFUNCTION("""COMPUTED_VALUE"""),"https://www.linkedin.com/in/ankitnagori/?originalSubdomain=in")</f>
        <v>https://www.linkedin.com/in/ankitnagori/?originalSubdomain=in</v>
      </c>
      <c r="E474" s="17"/>
      <c r="F474" s="17" t="str">
        <f>IFERROR(__xludf.DUMMYFUNCTION("""COMPUTED_VALUE"""),"ankit@curefoods.in")</f>
        <v>ankit@curefoods.in</v>
      </c>
      <c r="G474" s="17"/>
      <c r="H474" s="17"/>
    </row>
    <row r="475">
      <c r="A475" s="17" t="str">
        <f>IFERROR(__xludf.DUMMYFUNCTION("""COMPUTED_VALUE"""),"TSLC")</f>
        <v>TSLC</v>
      </c>
      <c r="B475" s="17" t="str">
        <f>IFERROR(__xludf.DUMMYFUNCTION("""COMPUTED_VALUE"""),"Deepak H Saluja")</f>
        <v>Deepak H Saluja</v>
      </c>
      <c r="C475" s="17" t="str">
        <f>IFERROR(__xludf.DUMMYFUNCTION("""COMPUTED_VALUE"""),"Founder")</f>
        <v>Founder</v>
      </c>
      <c r="D475" s="27" t="str">
        <f>IFERROR(__xludf.DUMMYFUNCTION("""COMPUTED_VALUE"""),"linkedin.com/in/deepak-h-saluja?originalSubdomain=ae")</f>
        <v>linkedin.com/in/deepak-h-saluja?originalSubdomain=ae</v>
      </c>
      <c r="E475" s="17"/>
      <c r="F475" s="17"/>
      <c r="G475" s="17"/>
      <c r="H475" s="17"/>
    </row>
    <row r="476">
      <c r="A476" s="17" t="str">
        <f>IFERROR(__xludf.DUMMYFUNCTION("""COMPUTED_VALUE"""),"GirnarSoft (CarDekho)")</f>
        <v>GirnarSoft (CarDekho)</v>
      </c>
      <c r="B476" s="17" t="str">
        <f>IFERROR(__xludf.DUMMYFUNCTION("""COMPUTED_VALUE"""),"Amit Jain")</f>
        <v>Amit Jain</v>
      </c>
      <c r="C476" s="17" t="str">
        <f>IFERROR(__xludf.DUMMYFUNCTION("""COMPUTED_VALUE"""),"CEO &amp; Co-Founder")</f>
        <v>CEO &amp; Co-Founder</v>
      </c>
      <c r="D476" s="27" t="str">
        <f>IFERROR(__xludf.DUMMYFUNCTION("""COMPUTED_VALUE"""),"https://www.linkedin.com/in/cardekhoamitjain/?originalSubdomain=in")</f>
        <v>https://www.linkedin.com/in/cardekhoamitjain/?originalSubdomain=in</v>
      </c>
      <c r="E476" s="17" t="str">
        <f>IFERROR(__xludf.DUMMYFUNCTION("""COMPUTED_VALUE"""),"911412620451")</f>
        <v>911412620451</v>
      </c>
      <c r="F476" s="17" t="str">
        <f>IFERROR(__xludf.DUMMYFUNCTION("""COMPUTED_VALUE"""),"amitjain01@gmail.com")</f>
        <v>amitjain01@gmail.com</v>
      </c>
      <c r="G476" s="17"/>
      <c r="H476" s="17"/>
    </row>
    <row r="477">
      <c r="A477" s="17" t="str">
        <f>IFERROR(__xludf.DUMMYFUNCTION("""COMPUTED_VALUE"""),"Zolve")</f>
        <v>Zolve</v>
      </c>
      <c r="B477" s="17" t="str">
        <f>IFERROR(__xludf.DUMMYFUNCTION("""COMPUTED_VALUE"""),"Raghunandan G")</f>
        <v>Raghunandan G</v>
      </c>
      <c r="C477" s="17" t="str">
        <f>IFERROR(__xludf.DUMMYFUNCTION("""COMPUTED_VALUE"""),"Founder &amp; CEO")</f>
        <v>Founder &amp; CEO</v>
      </c>
      <c r="D477" s="27" t="str">
        <f>IFERROR(__xludf.DUMMYFUNCTION("""COMPUTED_VALUE"""),"https://www.linkedin.com/in/graghunandan/?originalSubdomain=in")</f>
        <v>https://www.linkedin.com/in/graghunandan/?originalSubdomain=in</v>
      </c>
      <c r="E477" s="17"/>
      <c r="F477" s="17" t="str">
        <f>IFERROR(__xludf.DUMMYFUNCTION("""COMPUTED_VALUE"""),"raghu@zolve.com")</f>
        <v>raghu@zolve.com</v>
      </c>
      <c r="G477" s="17"/>
      <c r="H477" s="17"/>
    </row>
    <row r="478">
      <c r="A478" s="17" t="str">
        <f>IFERROR(__xludf.DUMMYFUNCTION("""COMPUTED_VALUE"""),"AgroStar")</f>
        <v>AgroStar</v>
      </c>
      <c r="B478" s="17" t="str">
        <f>IFERROR(__xludf.DUMMYFUNCTION("""COMPUTED_VALUE"""),"Shardul Sheth")</f>
        <v>Shardul Sheth</v>
      </c>
      <c r="C478" s="17" t="str">
        <f>IFERROR(__xludf.DUMMYFUNCTION("""COMPUTED_VALUE"""),"Co-Founder &amp; CEO")</f>
        <v>Co-Founder &amp; CEO</v>
      </c>
      <c r="D478" s="27" t="str">
        <f>IFERROR(__xludf.DUMMYFUNCTION("""COMPUTED_VALUE"""),"https://www.linkedin.com/in/shardul-sheth-aa1aa659/?originalSubdomain=in")</f>
        <v>https://www.linkedin.com/in/shardul-sheth-aa1aa659/?originalSubdomain=in</v>
      </c>
      <c r="E478" s="17" t="str">
        <f>IFERROR(__xludf.DUMMYFUNCTION("""COMPUTED_VALUE"""),"919870227704")</f>
        <v>919870227704</v>
      </c>
      <c r="F478" s="17" t="str">
        <f>IFERROR(__xludf.DUMMYFUNCTION("""COMPUTED_VALUE"""),"shardulsheth@gmail.com")</f>
        <v>shardulsheth@gmail.com</v>
      </c>
      <c r="G478" s="17"/>
      <c r="H478" s="17"/>
    </row>
    <row r="479">
      <c r="A479" s="17" t="str">
        <f>IFERROR(__xludf.DUMMYFUNCTION("""COMPUTED_VALUE"""),"MoEngage")</f>
        <v>MoEngage</v>
      </c>
      <c r="B479" s="17" t="str">
        <f>IFERROR(__xludf.DUMMYFUNCTION("""COMPUTED_VALUE"""),"Raviteja Dodda")</f>
        <v>Raviteja Dodda</v>
      </c>
      <c r="C479" s="17" t="str">
        <f>IFERROR(__xludf.DUMMYFUNCTION("""COMPUTED_VALUE"""),"Co-Founder &amp; CEO")</f>
        <v>Co-Founder &amp; CEO</v>
      </c>
      <c r="D479" s="27" t="str">
        <f>IFERROR(__xludf.DUMMYFUNCTION("""COMPUTED_VALUE"""),"https://www.linkedin.com/in/rteja/")</f>
        <v>https://www.linkedin.com/in/rteja/</v>
      </c>
      <c r="E479" s="17" t="str">
        <f>IFERROR(__xludf.DUMMYFUNCTION("""COMPUTED_VALUE"""),"8971746048")</f>
        <v>8971746048</v>
      </c>
      <c r="F479" s="17" t="str">
        <f>IFERROR(__xludf.DUMMYFUNCTION("""COMPUTED_VALUE"""),"raviteja2007@gmail.com")</f>
        <v>raviteja2007@gmail.com</v>
      </c>
      <c r="G479" s="17"/>
      <c r="H479" s="17"/>
    </row>
    <row r="480">
      <c r="A480" s="17" t="str">
        <f>IFERROR(__xludf.DUMMYFUNCTION("""COMPUTED_VALUE"""),"myTVS")</f>
        <v>myTVS</v>
      </c>
      <c r="B480" s="17" t="str">
        <f>IFERROR(__xludf.DUMMYFUNCTION("""COMPUTED_VALUE"""),"Sunil Dhingra ")</f>
        <v>Sunil Dhingra </v>
      </c>
      <c r="C480" s="17" t="str">
        <f>IFERROR(__xludf.DUMMYFUNCTION("""COMPUTED_VALUE"""),"Founder")</f>
        <v>Founder</v>
      </c>
      <c r="D480" s="27" t="str">
        <f>IFERROR(__xludf.DUMMYFUNCTION("""COMPUTED_VALUE"""),"https://www.linkedin.com/in/sunildhingra/?originalSubdomain=in")</f>
        <v>https://www.linkedin.com/in/sunildhingra/?originalSubdomain=in</v>
      </c>
      <c r="E480" s="17" t="str">
        <f>IFERROR(__xludf.DUMMYFUNCTION("""COMPUTED_VALUE"""),"919910098826")</f>
        <v>919910098826</v>
      </c>
      <c r="F480" s="17" t="str">
        <f>IFERROR(__xludf.DUMMYFUNCTION("""COMPUTED_VALUE"""),"sunildhingra@gmail.com")</f>
        <v>sunildhingra@gmail.com</v>
      </c>
      <c r="G480" s="17"/>
      <c r="H480" s="17"/>
    </row>
    <row r="481">
      <c r="A481" s="17" t="str">
        <f>IFERROR(__xludf.DUMMYFUNCTION("""COMPUTED_VALUE"""),"KreditBee")</f>
        <v>KreditBee</v>
      </c>
      <c r="B481" s="17" t="str">
        <f>IFERROR(__xludf.DUMMYFUNCTION("""COMPUTED_VALUE"""),"Madhusudan Ekambaram")</f>
        <v>Madhusudan Ekambaram</v>
      </c>
      <c r="C481" s="17" t="str">
        <f>IFERROR(__xludf.DUMMYFUNCTION("""COMPUTED_VALUE"""),"Co-Founder &amp; CEO")</f>
        <v>Co-Founder &amp; CEO</v>
      </c>
      <c r="D481" s="27" t="str">
        <f>IFERROR(__xludf.DUMMYFUNCTION("""COMPUTED_VALUE"""),"https://www.linkedin.com/in/madhusudane/?originalSubdomain=in")</f>
        <v>https://www.linkedin.com/in/madhusudane/?originalSubdomain=in</v>
      </c>
      <c r="E481" s="17" t="str">
        <f>IFERROR(__xludf.DUMMYFUNCTION("""COMPUTED_VALUE"""),"919980527224")</f>
        <v>919980527224</v>
      </c>
      <c r="F481" s="17" t="str">
        <f>IFERROR(__xludf.DUMMYFUNCTION("""COMPUTED_VALUE"""),"gkndus@gmail.com")</f>
        <v>gkndus@gmail.com</v>
      </c>
      <c r="G481" s="17"/>
      <c r="H481" s="17"/>
    </row>
    <row r="482">
      <c r="A482" s="27" t="str">
        <f>IFERROR(__xludf.DUMMYFUNCTION("""COMPUTED_VALUE"""),"Observe.AI")</f>
        <v>Observe.AI</v>
      </c>
      <c r="B482" s="17" t="str">
        <f>IFERROR(__xludf.DUMMYFUNCTION("""COMPUTED_VALUE"""),"Swapnil Jain")</f>
        <v>Swapnil Jain</v>
      </c>
      <c r="C482" s="17" t="str">
        <f>IFERROR(__xludf.DUMMYFUNCTION("""COMPUTED_VALUE"""),"Co-Founder &amp; CEO")</f>
        <v>Co-Founder &amp; CEO</v>
      </c>
      <c r="D482" s="27" t="str">
        <f>IFERROR(__xludf.DUMMYFUNCTION("""COMPUTED_VALUE"""),"https://www.linkedin.com/in/voiceaiagent/")</f>
        <v>https://www.linkedin.com/in/voiceaiagent/</v>
      </c>
      <c r="E482" s="17" t="str">
        <f>IFERROR(__xludf.DUMMYFUNCTION("""COMPUTED_VALUE"""),"917022833357")</f>
        <v>917022833357</v>
      </c>
      <c r="F482" s="17" t="str">
        <f>IFERROR(__xludf.DUMMYFUNCTION("""COMPUTED_VALUE"""),"swapniljain849@gmail.com")</f>
        <v>swapniljain849@gmail.com</v>
      </c>
      <c r="G482" s="17"/>
      <c r="H482" s="17"/>
    </row>
    <row r="483">
      <c r="A483" s="17" t="str">
        <f>IFERROR(__xludf.DUMMYFUNCTION("""COMPUTED_VALUE"""),"WayCool")</f>
        <v>WayCool</v>
      </c>
      <c r="B483" s="17" t="str">
        <f>IFERROR(__xludf.DUMMYFUNCTION("""COMPUTED_VALUE"""),"Karthik Jayaraman")</f>
        <v>Karthik Jayaraman</v>
      </c>
      <c r="C483" s="17" t="str">
        <f>IFERROR(__xludf.DUMMYFUNCTION("""COMPUTED_VALUE"""),"Co-Founder &amp; MD")</f>
        <v>Co-Founder &amp; MD</v>
      </c>
      <c r="D483" s="27" t="str">
        <f>IFERROR(__xludf.DUMMYFUNCTION("""COMPUTED_VALUE"""),"https://www.linkedin.com/in/karthik-jayaraman-87924a1/?originalSubdomain=in")</f>
        <v>https://www.linkedin.com/in/karthik-jayaraman-87924a1/?originalSubdomain=in</v>
      </c>
      <c r="E483" s="17" t="str">
        <f>IFERROR(__xludf.DUMMYFUNCTION("""COMPUTED_VALUE"""),"919890623785")</f>
        <v>919890623785</v>
      </c>
      <c r="F483" s="17" t="str">
        <f>IFERROR(__xludf.DUMMYFUNCTION("""COMPUTED_VALUE"""),"karthik.jayaraman@waycool.in")</f>
        <v>karthik.jayaraman@waycool.in</v>
      </c>
      <c r="G483" s="17"/>
      <c r="H483" s="17"/>
    </row>
    <row r="484">
      <c r="A484" s="17" t="str">
        <f>IFERROR(__xludf.DUMMYFUNCTION("""COMPUTED_VALUE"""),"PharmEasy")</f>
        <v>PharmEasy</v>
      </c>
      <c r="B484" s="17" t="str">
        <f>IFERROR(__xludf.DUMMYFUNCTION("""COMPUTED_VALUE"""),"Dharmil Sheth")</f>
        <v>Dharmil Sheth</v>
      </c>
      <c r="C484" s="17" t="str">
        <f>IFERROR(__xludf.DUMMYFUNCTION("""COMPUTED_VALUE"""),"Co-Founder")</f>
        <v>Co-Founder</v>
      </c>
      <c r="D484" s="27" t="str">
        <f>IFERROR(__xludf.DUMMYFUNCTION("""COMPUTED_VALUE"""),"https://www.linkedin.com/in/dharmilsheth/?originalSubdomain=in")</f>
        <v>https://www.linkedin.com/in/dharmilsheth/?originalSubdomain=in</v>
      </c>
      <c r="E484" s="17" t="str">
        <f>IFERROR(__xludf.DUMMYFUNCTION("""COMPUTED_VALUE"""),"919870405893")</f>
        <v>919870405893</v>
      </c>
      <c r="F484" s="17" t="str">
        <f>IFERROR(__xludf.DUMMYFUNCTION("""COMPUTED_VALUE"""),"dharmilsheth88@gmail.com")</f>
        <v>dharmilsheth88@gmail.com</v>
      </c>
      <c r="G484" s="17"/>
      <c r="H484" s="17"/>
    </row>
    <row r="485">
      <c r="A485" s="17" t="str">
        <f>IFERROR(__xludf.DUMMYFUNCTION("""COMPUTED_VALUE"""),"CleverTap")</f>
        <v>CleverTap</v>
      </c>
      <c r="B485" s="17" t="str">
        <f>IFERROR(__xludf.DUMMYFUNCTION("""COMPUTED_VALUE"""),"Sidharth Malik")</f>
        <v>Sidharth Malik</v>
      </c>
      <c r="C485" s="17" t="str">
        <f>IFERROR(__xludf.DUMMYFUNCTION("""COMPUTED_VALUE"""),"CEO")</f>
        <v>CEO</v>
      </c>
      <c r="D485" s="17"/>
      <c r="E485" s="17"/>
      <c r="F485" s="17"/>
      <c r="G485" s="17"/>
      <c r="H485" s="17"/>
    </row>
    <row r="486">
      <c r="A486" s="17" t="str">
        <f>IFERROR(__xludf.DUMMYFUNCTION("""COMPUTED_VALUE"""),"CleverTap")</f>
        <v>CleverTap</v>
      </c>
      <c r="B486" s="17" t="str">
        <f>IFERROR(__xludf.DUMMYFUNCTION("""COMPUTED_VALUE"""),"Sunil Thomas")</f>
        <v>Sunil Thomas</v>
      </c>
      <c r="C486" s="17" t="str">
        <f>IFERROR(__xludf.DUMMYFUNCTION("""COMPUTED_VALUE"""),"Co-Founder")</f>
        <v>Co-Founder</v>
      </c>
      <c r="D486" s="27" t="str">
        <f>IFERROR(__xludf.DUMMYFUNCTION("""COMPUTED_VALUE"""),"https://www.linkedin.com/in/sunil-tom/")</f>
        <v>https://www.linkedin.com/in/sunil-tom/</v>
      </c>
      <c r="E486" s="17" t="str">
        <f>IFERROR(__xludf.DUMMYFUNCTION("""COMPUTED_VALUE"""),"19087634921")</f>
        <v>19087634921</v>
      </c>
      <c r="F486" s="17" t="str">
        <f>IFERROR(__xludf.DUMMYFUNCTION("""COMPUTED_VALUE"""),"sunil@clevertap.com")</f>
        <v>sunil@clevertap.com</v>
      </c>
      <c r="G486" s="17"/>
      <c r="H486" s="17"/>
    </row>
    <row r="487">
      <c r="A487" s="17" t="str">
        <f>IFERROR(__xludf.DUMMYFUNCTION("""COMPUTED_VALUE"""),"Bright Lifecare")</f>
        <v>Bright Lifecare</v>
      </c>
      <c r="B487" s="17" t="str">
        <f>IFERROR(__xludf.DUMMYFUNCTION("""COMPUTED_VALUE"""),"Sameer Maheshwari")</f>
        <v>Sameer Maheshwari</v>
      </c>
      <c r="C487" s="17" t="str">
        <f>IFERROR(__xludf.DUMMYFUNCTION("""COMPUTED_VALUE"""),"Founder &amp; CEO")</f>
        <v>Founder &amp; CEO</v>
      </c>
      <c r="D487" s="27" t="str">
        <f>IFERROR(__xludf.DUMMYFUNCTION("""COMPUTED_VALUE"""),"https://www.linkedin.com/in/sameer-maheshwari-7a8a78/?originalSubdomain=in")</f>
        <v>https://www.linkedin.com/in/sameer-maheshwari-7a8a78/?originalSubdomain=in</v>
      </c>
      <c r="E487" s="17"/>
      <c r="F487" s="17" t="str">
        <f>IFERROR(__xludf.DUMMYFUNCTION("""COMPUTED_VALUE"""),"sameer@healthkart.com")</f>
        <v>sameer@healthkart.com</v>
      </c>
      <c r="G487" s="17"/>
      <c r="H487" s="17"/>
    </row>
    <row r="488">
      <c r="A488" s="17" t="str">
        <f>IFERROR(__xludf.DUMMYFUNCTION("""COMPUTED_VALUE"""),"EatSure (Rebel Foods)")</f>
        <v>EatSure (Rebel Foods)</v>
      </c>
      <c r="B488" s="17" t="str">
        <f>IFERROR(__xludf.DUMMYFUNCTION("""COMPUTED_VALUE"""),"Jaydeep Barman")</f>
        <v>Jaydeep Barman</v>
      </c>
      <c r="C488" s="17" t="str">
        <f>IFERROR(__xludf.DUMMYFUNCTION("""COMPUTED_VALUE"""),"Co-Founder &amp; CEO")</f>
        <v>Co-Founder &amp; CEO</v>
      </c>
      <c r="D488" s="27" t="str">
        <f>IFERROR(__xludf.DUMMYFUNCTION("""COMPUTED_VALUE"""),"https://www.linkedin.com/in/jaydeepbarman/?originalSubdomain=in")</f>
        <v>https://www.linkedin.com/in/jaydeepbarman/?originalSubdomain=in</v>
      </c>
      <c r="E488" s="17" t="str">
        <f>IFERROR(__xludf.DUMMYFUNCTION("""COMPUTED_VALUE"""),"918655363939")</f>
        <v>918655363939</v>
      </c>
      <c r="F488" s="17" t="str">
        <f>IFERROR(__xludf.DUMMYFUNCTION("""COMPUTED_VALUE"""),"jaydeepbarman@gmail.com")</f>
        <v>jaydeepbarman@gmail.com</v>
      </c>
      <c r="G488" s="17"/>
      <c r="H488" s="17"/>
    </row>
    <row r="489">
      <c r="A489" s="17" t="str">
        <f>IFERROR(__xludf.DUMMYFUNCTION("""COMPUTED_VALUE"""),"DMI Finance")</f>
        <v>DMI Finance</v>
      </c>
      <c r="B489" s="17" t="str">
        <f>IFERROR(__xludf.DUMMYFUNCTION("""COMPUTED_VALUE"""),"Shivashish Chatterjee")</f>
        <v>Shivashish Chatterjee</v>
      </c>
      <c r="C489" s="17" t="str">
        <f>IFERROR(__xludf.DUMMYFUNCTION("""COMPUTED_VALUE"""),"Co-Founder &amp; Jt. MD")</f>
        <v>Co-Founder &amp; Jt. MD</v>
      </c>
      <c r="D489" s="27" t="str">
        <f>IFERROR(__xludf.DUMMYFUNCTION("""COMPUTED_VALUE"""),"http://linkedin.com/in/shivashish-chatterjee-51a6a57/?originalSubdomain=in")</f>
        <v>http://linkedin.com/in/shivashish-chatterjee-51a6a57/?originalSubdomain=in</v>
      </c>
      <c r="E489" s="17" t="str">
        <f>IFERROR(__xludf.DUMMYFUNCTION("""COMPUTED_VALUE"""),"19175170674")</f>
        <v>19175170674</v>
      </c>
      <c r="F489" s="17" t="str">
        <f>IFERROR(__xludf.DUMMYFUNCTION("""COMPUTED_VALUE"""),"shiv@dmifinance.in")</f>
        <v>shiv@dmifinance.in</v>
      </c>
      <c r="G489" s="17"/>
      <c r="H489" s="17"/>
    </row>
    <row r="490">
      <c r="A490" s="17" t="str">
        <f>IFERROR(__xludf.DUMMYFUNCTION("""COMPUTED_VALUE"""),"Lendingkart")</f>
        <v>Lendingkart</v>
      </c>
      <c r="B490" s="17" t="str">
        <f>IFERROR(__xludf.DUMMYFUNCTION("""COMPUTED_VALUE"""),"Harshvardhan Lunia")</f>
        <v>Harshvardhan Lunia</v>
      </c>
      <c r="C490" s="17" t="str">
        <f>IFERROR(__xludf.DUMMYFUNCTION("""COMPUTED_VALUE"""),"Founder &amp; CEO")</f>
        <v>Founder &amp; CEO</v>
      </c>
      <c r="D490" s="27" t="str">
        <f>IFERROR(__xludf.DUMMYFUNCTION("""COMPUTED_VALUE"""),"https://www.linkedin.com/in/harshvardhan-lunia-1189887/?originalSubdomain=in")</f>
        <v>https://www.linkedin.com/in/harshvardhan-lunia-1189887/?originalSubdomain=in</v>
      </c>
      <c r="E490" s="17" t="str">
        <f>IFERROR(__xludf.DUMMYFUNCTION("""COMPUTED_VALUE"""),"919909906384")</f>
        <v>919909906384</v>
      </c>
      <c r="F490" s="17" t="str">
        <f>IFERROR(__xludf.DUMMYFUNCTION("""COMPUTED_VALUE"""),"luniaharsh@gmail.com")</f>
        <v>luniaharsh@gmail.com</v>
      </c>
      <c r="G490" s="17"/>
      <c r="H490" s="17"/>
    </row>
    <row r="491">
      <c r="A491" s="17" t="str">
        <f>IFERROR(__xludf.DUMMYFUNCTION("""COMPUTED_VALUE"""),"Avaada Group")</f>
        <v>Avaada Group</v>
      </c>
      <c r="B491" s="17" t="str">
        <f>IFERROR(__xludf.DUMMYFUNCTION("""COMPUTED_VALUE"""),"Vineet Mittal")</f>
        <v>Vineet Mittal</v>
      </c>
      <c r="C491" s="17" t="str">
        <f>IFERROR(__xludf.DUMMYFUNCTION("""COMPUTED_VALUE"""),"Chairman &amp; Founder")</f>
        <v>Chairman &amp; Founder</v>
      </c>
      <c r="D491" s="27" t="str">
        <f>IFERROR(__xludf.DUMMYFUNCTION("""COMPUTED_VALUE"""),"https://www.linkedin.com/in/thevineetmittal/?originalSubdomain=in")</f>
        <v>https://www.linkedin.com/in/thevineetmittal/?originalSubdomain=in</v>
      </c>
      <c r="E491" s="17"/>
      <c r="F491" s="17" t="str">
        <f>IFERROR(__xludf.DUMMYFUNCTION("""COMPUTED_VALUE"""),"vineet@avaada.com")</f>
        <v>vineet@avaada.com</v>
      </c>
      <c r="G491" s="17"/>
      <c r="H491" s="17"/>
    </row>
    <row r="492">
      <c r="A492" s="17" t="str">
        <f>IFERROR(__xludf.DUMMYFUNCTION("""COMPUTED_VALUE"""),"Shubham Housing")</f>
        <v>Shubham Housing</v>
      </c>
      <c r="B492" s="17" t="str">
        <f>IFERROR(__xludf.DUMMYFUNCTION("""COMPUTED_VALUE"""),"Sanjay Chaturvedi")</f>
        <v>Sanjay Chaturvedi</v>
      </c>
      <c r="C492" s="17" t="str">
        <f>IFERROR(__xludf.DUMMYFUNCTION("""COMPUTED_VALUE"""),"Co-Founder &amp; CEO")</f>
        <v>Co-Founder &amp; CEO</v>
      </c>
      <c r="D492" s="27" t="str">
        <f>IFERROR(__xludf.DUMMYFUNCTION("""COMPUTED_VALUE"""),"https://www.linkedin.com/in/sachaturvedi/")</f>
        <v>https://www.linkedin.com/in/sachaturvedi/</v>
      </c>
      <c r="E492" s="17" t="str">
        <f>IFERROR(__xludf.DUMMYFUNCTION("""COMPUTED_VALUE"""),"919811873822")</f>
        <v>919811873822</v>
      </c>
      <c r="F492" s="17" t="str">
        <f>IFERROR(__xludf.DUMMYFUNCTION("""COMPUTED_VALUE"""),"sanjay.chaturvedi@hotmail.com")</f>
        <v>sanjay.chaturvedi@hotmail.com</v>
      </c>
      <c r="G492" s="17"/>
      <c r="H492" s="17"/>
    </row>
    <row r="493">
      <c r="A493" s="17" t="str">
        <f>IFERROR(__xludf.DUMMYFUNCTION("""COMPUTED_VALUE"""),"NeoGrowth")</f>
        <v>NeoGrowth</v>
      </c>
      <c r="B493" s="17" t="str">
        <f>IFERROR(__xludf.DUMMYFUNCTION("""COMPUTED_VALUE"""),"Piyush Khaitan ")</f>
        <v>Piyush Khaitan </v>
      </c>
      <c r="C493" s="17" t="str">
        <f>IFERROR(__xludf.DUMMYFUNCTION("""COMPUTED_VALUE"""),"Founder &amp; Chairman")</f>
        <v>Founder &amp; Chairman</v>
      </c>
      <c r="D493" s="27" t="str">
        <f>IFERROR(__xludf.DUMMYFUNCTION("""COMPUTED_VALUE"""),"https://www.linkedin.com/in/pkkhaitan/?originalSubdomain=in")</f>
        <v>https://www.linkedin.com/in/pkkhaitan/?originalSubdomain=in</v>
      </c>
      <c r="E493" s="17"/>
      <c r="F493" s="17" t="str">
        <f>IFERROR(__xludf.DUMMYFUNCTION("""COMPUTED_VALUE"""),"pk@neogrowth.in")</f>
        <v>pk@neogrowth.in</v>
      </c>
      <c r="G493" s="17"/>
      <c r="H493" s="17"/>
    </row>
    <row r="494">
      <c r="A494" s="17" t="str">
        <f>IFERROR(__xludf.DUMMYFUNCTION("""COMPUTED_VALUE"""),"Fincare")</f>
        <v>Fincare</v>
      </c>
      <c r="B494" s="17" t="str">
        <f>IFERROR(__xludf.DUMMYFUNCTION("""COMPUTED_VALUE"""),"Rajeev Yadav")</f>
        <v>Rajeev Yadav</v>
      </c>
      <c r="C494" s="17" t="str">
        <f>IFERROR(__xludf.DUMMYFUNCTION("""COMPUTED_VALUE"""),"MD &amp; CEO")</f>
        <v>MD &amp; CEO</v>
      </c>
      <c r="D494" s="27" t="str">
        <f>IFERROR(__xludf.DUMMYFUNCTION("""COMPUTED_VALUE"""),"https://www.linkedin.com/in/yadavrajeev/?originalSubdomain=in")</f>
        <v>https://www.linkedin.com/in/yadavrajeev/?originalSubdomain=in</v>
      </c>
      <c r="E494" s="17" t="str">
        <f>IFERROR(__xludf.DUMMYFUNCTION("""COMPUTED_VALUE"""),"919632288775")</f>
        <v>919632288775</v>
      </c>
      <c r="F494" s="17" t="str">
        <f>IFERROR(__xludf.DUMMYFUNCTION("""COMPUTED_VALUE"""),"yadav_rajeev@yahoo.com")</f>
        <v>yadav_rajeev@yahoo.com</v>
      </c>
      <c r="G494" s="17"/>
      <c r="H494" s="17"/>
    </row>
    <row r="495">
      <c r="A495" s="17" t="str">
        <f>IFERROR(__xludf.DUMMYFUNCTION("""COMPUTED_VALUE"""),"Cloudnine")</f>
        <v>Cloudnine</v>
      </c>
      <c r="B495" s="17" t="str">
        <f>IFERROR(__xludf.DUMMYFUNCTION("""COMPUTED_VALUE"""),"Dr. R. Kishore Kumar")</f>
        <v>Dr. R. Kishore Kumar</v>
      </c>
      <c r="C495" s="17" t="str">
        <f>IFERROR(__xludf.DUMMYFUNCTION("""COMPUTED_VALUE"""),"Founder &amp; Chairman")</f>
        <v>Founder &amp; Chairman</v>
      </c>
      <c r="D495" s="27" t="str">
        <f>IFERROR(__xludf.DUMMYFUNCTION("""COMPUTED_VALUE"""),"https://www.linkedin.com/in/drkishorekumar/?originalSubdomain=in")</f>
        <v>https://www.linkedin.com/in/drkishorekumar/?originalSubdomain=in</v>
      </c>
      <c r="E495" s="17"/>
      <c r="F495" s="17" t="str">
        <f>IFERROR(__xludf.DUMMYFUNCTION("""COMPUTED_VALUE"""),"kishkum@gmail.com")</f>
        <v>kishkum@gmail.com</v>
      </c>
      <c r="G495" s="17"/>
      <c r="H495" s="17"/>
    </row>
    <row r="496">
      <c r="A496" s="17" t="str">
        <f>IFERROR(__xludf.DUMMYFUNCTION("""COMPUTED_VALUE"""),"AceVector (Snapdeal)")</f>
        <v>AceVector (Snapdeal)</v>
      </c>
      <c r="B496" s="17" t="str">
        <f>IFERROR(__xludf.DUMMYFUNCTION("""COMPUTED_VALUE"""),"Kunal Bahl")</f>
        <v>Kunal Bahl</v>
      </c>
      <c r="C496" s="17" t="str">
        <f>IFERROR(__xludf.DUMMYFUNCTION("""COMPUTED_VALUE"""),"Co-Founder")</f>
        <v>Co-Founder</v>
      </c>
      <c r="D496" s="27" t="str">
        <f>IFERROR(__xludf.DUMMYFUNCTION("""COMPUTED_VALUE"""),"https://www.linkedin.com/in/kunalbahl?originalSubdomain=in")</f>
        <v>https://www.linkedin.com/in/kunalbahl?originalSubdomain=in</v>
      </c>
      <c r="E496" s="17"/>
      <c r="F496" s="17" t="str">
        <f>IFERROR(__xludf.DUMMYFUNCTION("""COMPUTED_VALUE"""),"kunalbahl@gmail.com")</f>
        <v>kunalbahl@gmail.com</v>
      </c>
      <c r="G496" s="17"/>
      <c r="H496" s="17"/>
    </row>
    <row r="497">
      <c r="A497" s="17" t="str">
        <f>IFERROR(__xludf.DUMMYFUNCTION("""COMPUTED_VALUE"""),"Accumax Lab")</f>
        <v>Accumax Lab</v>
      </c>
      <c r="B497" s="17" t="str">
        <f>IFERROR(__xludf.DUMMYFUNCTION("""COMPUTED_VALUE"""),"Chirag Shah")</f>
        <v>Chirag Shah</v>
      </c>
      <c r="C497" s="17" t="str">
        <f>IFERROR(__xludf.DUMMYFUNCTION("""COMPUTED_VALUE"""),"Co-Founder")</f>
        <v>Co-Founder</v>
      </c>
      <c r="D497" s="27" t="str">
        <f>IFERROR(__xludf.DUMMYFUNCTION("""COMPUTED_VALUE"""),"https://www.linkedin.com/in/chirag-shah-41303024?originalSubdomain=in")</f>
        <v>https://www.linkedin.com/in/chirag-shah-41303024?originalSubdomain=in</v>
      </c>
      <c r="E497" s="17"/>
      <c r="F497" s="17" t="str">
        <f>IFERROR(__xludf.DUMMYFUNCTION("""COMPUTED_VALUE"""),"chirag@accumaximum.com")</f>
        <v>chirag@accumaximum.com</v>
      </c>
      <c r="G497" s="17"/>
      <c r="H497" s="17"/>
    </row>
    <row r="498">
      <c r="A498" s="17" t="str">
        <f>IFERROR(__xludf.DUMMYFUNCTION("""COMPUTED_VALUE"""),"ACHF")</f>
        <v>ACHF</v>
      </c>
      <c r="B498" s="17" t="str">
        <f>IFERROR(__xludf.DUMMYFUNCTION("""COMPUTED_VALUE"""),"Ravi Subramanian")</f>
        <v>Ravi Subramanian</v>
      </c>
      <c r="C498" s="17" t="str">
        <f>IFERROR(__xludf.DUMMYFUNCTION("""COMPUTED_VALUE"""),"MD &amp; CEO")</f>
        <v>MD &amp; CEO</v>
      </c>
      <c r="D498" s="27" t="str">
        <f>IFERROR(__xludf.DUMMYFUNCTION("""COMPUTED_VALUE"""),"https://www.linkedin.com/in/ravisubramanian1/?originalSubdomain=in")</f>
        <v>https://www.linkedin.com/in/ravisubramanian1/?originalSubdomain=in</v>
      </c>
      <c r="E498" s="17"/>
      <c r="F498" s="17" t="str">
        <f>IFERROR(__xludf.DUMMYFUNCTION("""COMPUTED_VALUE"""),"ravi@truhomefinance.in")</f>
        <v>ravi@truhomefinance.in</v>
      </c>
      <c r="G498" s="17"/>
      <c r="H498" s="17"/>
    </row>
    <row r="499">
      <c r="A499" s="17" t="str">
        <f>IFERROR(__xludf.DUMMYFUNCTION("""COMPUTED_VALUE"""),"AgniKul Cosmos")</f>
        <v>AgniKul Cosmos</v>
      </c>
      <c r="B499" s="17" t="str">
        <f>IFERROR(__xludf.DUMMYFUNCTION("""COMPUTED_VALUE"""),"Srinath Ravichandran")</f>
        <v>Srinath Ravichandran</v>
      </c>
      <c r="C499" s="17" t="str">
        <f>IFERROR(__xludf.DUMMYFUNCTION("""COMPUTED_VALUE"""),"Co-Founder &amp; CEO")</f>
        <v>Co-Founder &amp; CEO</v>
      </c>
      <c r="D499" s="27" t="str">
        <f>IFERROR(__xludf.DUMMYFUNCTION("""COMPUTED_VALUE"""),"https://www.linkedin.com/in/srinath-ravichandran-09679a7/?originalSubdomain=in")</f>
        <v>https://www.linkedin.com/in/srinath-ravichandran-09679a7/?originalSubdomain=in</v>
      </c>
      <c r="E499" s="17"/>
      <c r="F499" s="17" t="str">
        <f>IFERROR(__xludf.DUMMYFUNCTION("""COMPUTED_VALUE"""),"srinath@agnikul.in")</f>
        <v>srinath@agnikul.in</v>
      </c>
      <c r="G499" s="17"/>
      <c r="H499" s="17"/>
    </row>
    <row r="500">
      <c r="A500" s="17" t="str">
        <f>IFERROR(__xludf.DUMMYFUNCTION("""COMPUTED_VALUE"""),"Ansr")</f>
        <v>Ansr</v>
      </c>
      <c r="B500" s="17" t="str">
        <f>IFERROR(__xludf.DUMMYFUNCTION("""COMPUTED_VALUE"""),"Lalit Ahuja")</f>
        <v>Lalit Ahuja</v>
      </c>
      <c r="C500" s="17" t="str">
        <f>IFERROR(__xludf.DUMMYFUNCTION("""COMPUTED_VALUE"""),"Founder &amp; CEO")</f>
        <v>Founder &amp; CEO</v>
      </c>
      <c r="D500" s="27" t="str">
        <f>IFERROR(__xludf.DUMMYFUNCTION("""COMPUTED_VALUE"""),"https://www.linkedin.com/in/lalit-ahuja-298139171/?originalSubdomain=in")</f>
        <v>https://www.linkedin.com/in/lalit-ahuja-298139171/?originalSubdomain=in</v>
      </c>
      <c r="E500" s="17"/>
      <c r="F500" s="17" t="str">
        <f>IFERROR(__xludf.DUMMYFUNCTION("""COMPUTED_VALUE"""),"srinath@agnikul.in")</f>
        <v>srinath@agnikul.in</v>
      </c>
      <c r="G500" s="17"/>
      <c r="H500" s="17"/>
    </row>
    <row r="501">
      <c r="A501" s="17" t="str">
        <f>IFERROR(__xludf.DUMMYFUNCTION("""COMPUTED_VALUE"""),"Apnaklub")</f>
        <v>Apnaklub</v>
      </c>
      <c r="B501" s="17" t="str">
        <f>IFERROR(__xludf.DUMMYFUNCTION("""COMPUTED_VALUE"""),"Shruti Shruti")</f>
        <v>Shruti Shruti</v>
      </c>
      <c r="C501" s="17" t="str">
        <f>IFERROR(__xludf.DUMMYFUNCTION("""COMPUTED_VALUE"""),"Co-Founder &amp; CEO")</f>
        <v>Co-Founder &amp; CEO</v>
      </c>
      <c r="D501" s="27" t="str">
        <f>IFERROR(__xludf.DUMMYFUNCTION("""COMPUTED_VALUE"""),"https://www.linkedin.com/in/shrutipy/?originalSubdomain=in")</f>
        <v>https://www.linkedin.com/in/shrutipy/?originalSubdomain=in</v>
      </c>
      <c r="E501" s="17"/>
      <c r="F501" s="17" t="str">
        <f>IFERROR(__xludf.DUMMYFUNCTION("""COMPUTED_VALUE"""),"shruti@apnaklub.com")</f>
        <v>shruti@apnaklub.com</v>
      </c>
      <c r="G501" s="17"/>
      <c r="H501" s="17"/>
    </row>
    <row r="502">
      <c r="A502" s="17" t="str">
        <f>IFERROR(__xludf.DUMMYFUNCTION("""COMPUTED_VALUE"""),"Appnomic")</f>
        <v>Appnomic</v>
      </c>
      <c r="B502" s="17" t="str">
        <f>IFERROR(__xludf.DUMMYFUNCTION("""COMPUTED_VALUE"""),"Paddy Padmanabhan")</f>
        <v>Paddy Padmanabhan</v>
      </c>
      <c r="C502" s="17" t="str">
        <f>IFERROR(__xludf.DUMMYFUNCTION("""COMPUTED_VALUE"""),"CEO")</f>
        <v>CEO</v>
      </c>
      <c r="D502" s="27" t="str">
        <f>IFERROR(__xludf.DUMMYFUNCTION("""COMPUTED_VALUE"""),"https://www.linkedin.com/in/paddy-padmanabhan-4619103/?originalSubdomain=in")</f>
        <v>https://www.linkedin.com/in/paddy-padmanabhan-4619103/?originalSubdomain=in</v>
      </c>
      <c r="E502" s="17"/>
      <c r="F502" s="17" t="str">
        <f>IFERROR(__xludf.DUMMYFUNCTION("""COMPUTED_VALUE"""),"dpaddy@appnomic.com")</f>
        <v>dpaddy@appnomic.com</v>
      </c>
      <c r="G502" s="17"/>
      <c r="H502" s="17"/>
    </row>
    <row r="503">
      <c r="A503" s="17" t="str">
        <f>IFERROR(__xludf.DUMMYFUNCTION("""COMPUTED_VALUE"""),"Appsmith")</f>
        <v>Appsmith</v>
      </c>
      <c r="B503" s="17" t="str">
        <f>IFERROR(__xludf.DUMMYFUNCTION("""COMPUTED_VALUE"""),"Abhishek Nayak")</f>
        <v>Abhishek Nayak</v>
      </c>
      <c r="C503" s="17" t="str">
        <f>IFERROR(__xludf.DUMMYFUNCTION("""COMPUTED_VALUE"""),"Co-Founder &amp; CEO")</f>
        <v>Co-Founder &amp; CEO</v>
      </c>
      <c r="D503" s="27" t="str">
        <f>IFERROR(__xludf.DUMMYFUNCTION("""COMPUTED_VALUE"""),"https://www.linkedin.com/in/abhisheknayak")</f>
        <v>https://www.linkedin.com/in/abhisheknayak</v>
      </c>
      <c r="E503" s="17"/>
      <c r="F503" s="17" t="str">
        <f>IFERROR(__xludf.DUMMYFUNCTION("""COMPUTED_VALUE"""),"nayakabhishek@gmail.com")</f>
        <v>nayakabhishek@gmail.com</v>
      </c>
      <c r="G503" s="17"/>
      <c r="H503" s="17"/>
    </row>
    <row r="504">
      <c r="A504" s="27" t="str">
        <f>IFERROR(__xludf.DUMMYFUNCTION("""COMPUTED_VALUE"""),"Arya.ag")</f>
        <v>Arya.ag</v>
      </c>
      <c r="B504" s="17" t="str">
        <f>IFERROR(__xludf.DUMMYFUNCTION("""COMPUTED_VALUE"""),"Prasanna Rao")</f>
        <v>Prasanna Rao</v>
      </c>
      <c r="C504" s="17" t="str">
        <f>IFERROR(__xludf.DUMMYFUNCTION("""COMPUTED_VALUE"""),"Co-Founder &amp; CEO")</f>
        <v>Co-Founder &amp; CEO</v>
      </c>
      <c r="D504" s="27" t="str">
        <f>IFERROR(__xludf.DUMMYFUNCTION("""COMPUTED_VALUE"""),"https://in.linkedin.com/in/prasanna-rao-a402ab44")</f>
        <v>https://in.linkedin.com/in/prasanna-rao-a402ab44</v>
      </c>
      <c r="E504" s="17"/>
      <c r="F504" s="17" t="str">
        <f>IFERROR(__xludf.DUMMYFUNCTION("""COMPUTED_VALUE"""),"nayakabhishek@gmail.com")</f>
        <v>nayakabhishek@gmail.com</v>
      </c>
      <c r="G504" s="17"/>
      <c r="H504" s="17"/>
    </row>
    <row r="505">
      <c r="A505" s="17" t="str">
        <f>IFERROR(__xludf.DUMMYFUNCTION("""COMPUTED_VALUE"""),"Arzooo")</f>
        <v>Arzooo</v>
      </c>
      <c r="B505" s="17" t="str">
        <f>IFERROR(__xludf.DUMMYFUNCTION("""COMPUTED_VALUE"""),"Khushnud Khan")</f>
        <v>Khushnud Khan</v>
      </c>
      <c r="C505" s="17" t="str">
        <f>IFERROR(__xludf.DUMMYFUNCTION("""COMPUTED_VALUE"""),"Co-Founder &amp; CEO")</f>
        <v>Co-Founder &amp; CEO</v>
      </c>
      <c r="D505" s="27" t="str">
        <f>IFERROR(__xludf.DUMMYFUNCTION("""COMPUTED_VALUE"""),"https://www.crunchbase.com/person/khushnud-khan")</f>
        <v>https://www.crunchbase.com/person/khushnud-khan</v>
      </c>
      <c r="E505" s="17"/>
      <c r="F505" s="17" t="str">
        <f>IFERROR(__xludf.DUMMYFUNCTION("""COMPUTED_VALUE"""),"khushnud@arzooo.com")</f>
        <v>khushnud@arzooo.com</v>
      </c>
      <c r="G505" s="17"/>
      <c r="H505" s="17"/>
    </row>
    <row r="506">
      <c r="A506" s="17" t="str">
        <f>IFERROR(__xludf.DUMMYFUNCTION("""COMPUTED_VALUE"""),"Avanti Finance")</f>
        <v>Avanti Finance</v>
      </c>
      <c r="B506" s="17" t="str">
        <f>IFERROR(__xludf.DUMMYFUNCTION("""COMPUTED_VALUE"""),"Rahul Gupta")</f>
        <v>Rahul Gupta</v>
      </c>
      <c r="C506" s="17" t="str">
        <f>IFERROR(__xludf.DUMMYFUNCTION("""COMPUTED_VALUE"""),"MD &amp; CEO")</f>
        <v>MD &amp; CEO</v>
      </c>
      <c r="D506" s="27" t="str">
        <f>IFERROR(__xludf.DUMMYFUNCTION("""COMPUTED_VALUE"""),"https://in.linkedin.com/in/gupta-rahul")</f>
        <v>https://in.linkedin.com/in/gupta-rahul</v>
      </c>
      <c r="E506" s="17"/>
      <c r="F506" s="17" t="str">
        <f>IFERROR(__xludf.DUMMYFUNCTION("""COMPUTED_VALUE"""),"rahul@avantifinance.in")</f>
        <v>rahul@avantifinance.in</v>
      </c>
      <c r="G506" s="17"/>
      <c r="H506" s="17"/>
    </row>
    <row r="507">
      <c r="A507" s="17" t="str">
        <f>IFERROR(__xludf.DUMMYFUNCTION("""COMPUTED_VALUE"""),"Avataar AI")</f>
        <v>Avataar AI</v>
      </c>
      <c r="B507" s="17" t="str">
        <f>IFERROR(__xludf.DUMMYFUNCTION("""COMPUTED_VALUE"""),"Sravanth Aluru")</f>
        <v>Sravanth Aluru</v>
      </c>
      <c r="C507" s="17" t="str">
        <f>IFERROR(__xludf.DUMMYFUNCTION("""COMPUTED_VALUE"""),"Co-Founder &amp; CEO")</f>
        <v>Co-Founder &amp; CEO</v>
      </c>
      <c r="D507" s="27" t="str">
        <f>IFERROR(__xludf.DUMMYFUNCTION("""COMPUTED_VALUE"""),"https://www.linkedin.com/in/sravanth/")</f>
        <v>https://www.linkedin.com/in/sravanth/</v>
      </c>
      <c r="E507" s="17"/>
      <c r="F507" s="17" t="str">
        <f>IFERROR(__xludf.DUMMYFUNCTION("""COMPUTED_VALUE"""),"sravanthaluru@gmail.com")</f>
        <v>sravanthaluru@gmail.com</v>
      </c>
      <c r="G507" s="17"/>
      <c r="H507" s="17"/>
    </row>
    <row r="508">
      <c r="A508" s="17" t="str">
        <f>IFERROR(__xludf.DUMMYFUNCTION("""COMPUTED_VALUE"""),"Avesthagen")</f>
        <v>Avesthagen</v>
      </c>
      <c r="B508" s="17" t="str">
        <f>IFERROR(__xludf.DUMMYFUNCTION("""COMPUTED_VALUE"""),"Villoo Morawala-Patell")</f>
        <v>Villoo Morawala-Patell</v>
      </c>
      <c r="C508" s="17" t="str">
        <f>IFERROR(__xludf.DUMMYFUNCTION("""COMPUTED_VALUE"""),"Founder &amp; CMD")</f>
        <v>Founder &amp; CMD</v>
      </c>
      <c r="D508" s="27" t="str">
        <f>IFERROR(__xludf.DUMMYFUNCTION("""COMPUTED_VALUE"""),"https://in.linkedin.com/in/villoo-morawala-patell-101720")</f>
        <v>https://in.linkedin.com/in/villoo-morawala-patell-101720</v>
      </c>
      <c r="E508" s="17"/>
      <c r="F508" s="17" t="str">
        <f>IFERROR(__xludf.DUMMYFUNCTION("""COMPUTED_VALUE"""),"villoopatell@mac.com")</f>
        <v>villoopatell@mac.com</v>
      </c>
      <c r="G508" s="17"/>
      <c r="H508" s="17"/>
    </row>
    <row r="509">
      <c r="A509" s="17" t="str">
        <f>IFERROR(__xludf.DUMMYFUNCTION("""COMPUTED_VALUE"""),"Bandhan Bank")</f>
        <v>Bandhan Bank</v>
      </c>
      <c r="B509" s="17" t="str">
        <f>IFERROR(__xludf.DUMMYFUNCTION("""COMPUTED_VALUE"""),"Chandra Shekhar Ghosh")</f>
        <v>Chandra Shekhar Ghosh</v>
      </c>
      <c r="C509" s="17" t="str">
        <f>IFERROR(__xludf.DUMMYFUNCTION("""COMPUTED_VALUE"""),"Founder &amp; MD")</f>
        <v>Founder &amp; MD</v>
      </c>
      <c r="D509" s="27" t="str">
        <f>IFERROR(__xludf.DUMMYFUNCTION("""COMPUTED_VALUE"""),"https://www.linkedin.com/posts/bandhanbank_shri-chandra-shekhar-ghosh-md-ceo-bandhan-activity-6981133832699699200-PxIn")</f>
        <v>https://www.linkedin.com/posts/bandhanbank_shri-chandra-shekhar-ghosh-md-ceo-bandhan-activity-6981133832699699200-PxIn</v>
      </c>
      <c r="E509" s="17"/>
      <c r="F509" s="17" t="str">
        <f>IFERROR(__xludf.DUMMYFUNCTION("""COMPUTED_VALUE"""),"md.ceo@bandhanbank.com")</f>
        <v>md.ceo@bandhanbank.com</v>
      </c>
      <c r="G509" s="17"/>
      <c r="H509" s="17"/>
    </row>
    <row r="510">
      <c r="A510" s="17" t="str">
        <f>IFERROR(__xludf.DUMMYFUNCTION("""COMPUTED_VALUE"""),"BeatO")</f>
        <v>BeatO</v>
      </c>
      <c r="B510" s="17" t="str">
        <f>IFERROR(__xludf.DUMMYFUNCTION("""COMPUTED_VALUE"""),"Gautam Chopra")</f>
        <v>Gautam Chopra</v>
      </c>
      <c r="C510" s="17" t="str">
        <f>IFERROR(__xludf.DUMMYFUNCTION("""COMPUTED_VALUE"""),"Co-Founder &amp; CEO")</f>
        <v>Co-Founder &amp; CEO</v>
      </c>
      <c r="D510" s="27" t="str">
        <f>IFERROR(__xludf.DUMMYFUNCTION("""COMPUTED_VALUE"""),"https://in.linkedin.com/in/gautam-c-3009a710")</f>
        <v>https://in.linkedin.com/in/gautam-c-3009a710</v>
      </c>
      <c r="E510" s="17"/>
      <c r="F510" s="17" t="str">
        <f>IFERROR(__xludf.DUMMYFUNCTION("""COMPUTED_VALUE"""),"gautamchopra@gmail.com")</f>
        <v>gautamchopra@gmail.com</v>
      </c>
      <c r="G510" s="17"/>
      <c r="H510" s="17"/>
    </row>
    <row r="511">
      <c r="A511" s="17" t="str">
        <f>IFERROR(__xludf.DUMMYFUNCTION("""COMPUTED_VALUE"""),"BELLAVITA")</f>
        <v>BELLAVITA</v>
      </c>
      <c r="B511" s="17" t="str">
        <f>IFERROR(__xludf.DUMMYFUNCTION("""COMPUTED_VALUE"""),"Aakash Anand")</f>
        <v>Aakash Anand</v>
      </c>
      <c r="C511" s="17" t="str">
        <f>IFERROR(__xludf.DUMMYFUNCTION("""COMPUTED_VALUE"""),"Founder &amp; CEO")</f>
        <v>Founder &amp; CEO</v>
      </c>
      <c r="D511" s="27" t="str">
        <f>IFERROR(__xludf.DUMMYFUNCTION("""COMPUTED_VALUE"""),"https://in.linkedin.com/in/aakashanand")</f>
        <v>https://in.linkedin.com/in/aakashanand</v>
      </c>
      <c r="E511" s="17"/>
      <c r="F511" s="17" t="str">
        <f>IFERROR(__xludf.DUMMYFUNCTION("""COMPUTED_VALUE"""),"anbcap@gmail.com")</f>
        <v>anbcap@gmail.com</v>
      </c>
      <c r="G511" s="17"/>
      <c r="H511" s="17"/>
    </row>
    <row r="512">
      <c r="A512" s="17" t="str">
        <f>IFERROR(__xludf.DUMMYFUNCTION("""COMPUTED_VALUE"""),"Bhilwara Energy")</f>
        <v>Bhilwara Energy</v>
      </c>
      <c r="B512" s="17" t="str">
        <f>IFERROR(__xludf.DUMMYFUNCTION("""COMPUTED_VALUE"""),"Hiren Shah")</f>
        <v>Hiren Shah</v>
      </c>
      <c r="C512" s="17" t="str">
        <f>IFERROR(__xludf.DUMMYFUNCTION("""COMPUTED_VALUE"""),"MD")</f>
        <v>MD</v>
      </c>
      <c r="D512" s="27" t="str">
        <f>IFERROR(__xludf.DUMMYFUNCTION("""COMPUTED_VALUE"""),"https://in.linkedin.com/in/hirenshah3")</f>
        <v>https://in.linkedin.com/in/hirenshah3</v>
      </c>
      <c r="E512" s="17"/>
      <c r="F512" s="17" t="str">
        <f>IFERROR(__xludf.DUMMYFUNCTION("""COMPUTED_VALUE"""),"hshah@replusengitech.com")</f>
        <v>hshah@replusengitech.com</v>
      </c>
      <c r="G512" s="17"/>
      <c r="H512" s="17"/>
    </row>
    <row r="513">
      <c r="A513" s="17" t="str">
        <f>IFERROR(__xludf.DUMMYFUNCTION("""COMPUTED_VALUE"""),"BIBA Apparels")</f>
        <v>BIBA Apparels</v>
      </c>
      <c r="B513" s="17" t="str">
        <f>IFERROR(__xludf.DUMMYFUNCTION("""COMPUTED_VALUE"""),"Meena Bindra")</f>
        <v>Meena Bindra</v>
      </c>
      <c r="C513" s="17" t="str">
        <f>IFERROR(__xludf.DUMMYFUNCTION("""COMPUTED_VALUE"""),"Founder")</f>
        <v>Founder</v>
      </c>
      <c r="D513" s="27" t="str">
        <f>IFERROR(__xludf.DUMMYFUNCTION("""COMPUTED_VALUE"""),"https://in.linkedin.com/in/meena-bindra-521ab69b")</f>
        <v>https://in.linkedin.com/in/meena-bindra-521ab69b</v>
      </c>
      <c r="E513" s="17"/>
      <c r="F513" s="17" t="str">
        <f>IFERROR(__xludf.DUMMYFUNCTION("""COMPUTED_VALUE"""),"meena.bindra@bibaindia.com")</f>
        <v>meena.bindra@bibaindia.com</v>
      </c>
      <c r="G513" s="17"/>
      <c r="H513" s="17"/>
    </row>
    <row r="514">
      <c r="A514" s="17" t="str">
        <f>IFERROR(__xludf.DUMMYFUNCTION("""COMPUTED_VALUE"""),"Bigspoon")</f>
        <v>Bigspoon</v>
      </c>
      <c r="B514" s="17" t="str">
        <f>IFERROR(__xludf.DUMMYFUNCTION("""COMPUTED_VALUE"""),"Kapil Mathrani")</f>
        <v>Kapil Mathrani</v>
      </c>
      <c r="C514" s="17" t="str">
        <f>IFERROR(__xludf.DUMMYFUNCTION("""COMPUTED_VALUE"""),"Co-Founder &amp; CEO")</f>
        <v>Co-Founder &amp; CEO</v>
      </c>
      <c r="D514" s="27" t="str">
        <f>IFERROR(__xludf.DUMMYFUNCTION("""COMPUTED_VALUE"""),"https://www.linkedin.com/in/kapilmathrani/")</f>
        <v>https://www.linkedin.com/in/kapilmathrani/</v>
      </c>
      <c r="E514" s="17"/>
      <c r="F514" s="17" t="str">
        <f>IFERROR(__xludf.DUMMYFUNCTION("""COMPUTED_VALUE"""),"mathranik@gmail.com")</f>
        <v>mathranik@gmail.com</v>
      </c>
      <c r="G514" s="17"/>
      <c r="H514" s="17"/>
    </row>
    <row r="515">
      <c r="A515" s="17" t="str">
        <f>IFERROR(__xludf.DUMMYFUNCTION("""COMPUTED_VALUE"""),"Bijnis")</f>
        <v>Bijnis</v>
      </c>
      <c r="B515" s="17" t="str">
        <f>IFERROR(__xludf.DUMMYFUNCTION("""COMPUTED_VALUE"""),"Siddharth Vij")</f>
        <v>Siddharth Vij</v>
      </c>
      <c r="C515" s="17" t="str">
        <f>IFERROR(__xludf.DUMMYFUNCTION("""COMPUTED_VALUE"""),"Co-Founder &amp; CEO")</f>
        <v>Co-Founder &amp; CEO</v>
      </c>
      <c r="D515" s="27" t="str">
        <f>IFERROR(__xludf.DUMMYFUNCTION("""COMPUTED_VALUE"""),"https://in.linkedin.com/in/siddharth-vij-ab4abb7a")</f>
        <v>https://in.linkedin.com/in/siddharth-vij-ab4abb7a</v>
      </c>
      <c r="E515" s="17"/>
      <c r="F515" s="17" t="str">
        <f>IFERROR(__xludf.DUMMYFUNCTION("""COMPUTED_VALUE"""),"siddharth@bijnis.com")</f>
        <v>siddharth@bijnis.com</v>
      </c>
      <c r="G515" s="17"/>
      <c r="H515" s="17"/>
    </row>
    <row r="516">
      <c r="A516" s="17" t="str">
        <f>IFERROR(__xludf.DUMMYFUNCTION("""COMPUTED_VALUE"""),"Biorad Medisys")</f>
        <v>Biorad Medisys</v>
      </c>
      <c r="B516" s="17" t="str">
        <f>IFERROR(__xludf.DUMMYFUNCTION("""COMPUTED_VALUE"""),"Jitendra Hegde")</f>
        <v>Jitendra Hegde</v>
      </c>
      <c r="C516" s="17" t="str">
        <f>IFERROR(__xludf.DUMMYFUNCTION("""COMPUTED_VALUE"""),"MD and founder")</f>
        <v>MD and founder</v>
      </c>
      <c r="D516" s="27" t="str">
        <f>IFERROR(__xludf.DUMMYFUNCTION("""COMPUTED_VALUE"""),"https://in.linkedin.com/in/jitendra-hegde-731246172")</f>
        <v>https://in.linkedin.com/in/jitendra-hegde-731246172</v>
      </c>
      <c r="E516" s="17"/>
      <c r="F516" s="17" t="str">
        <f>IFERROR(__xludf.DUMMYFUNCTION("""COMPUTED_VALUE"""),"jmhegde@bioradmedisys.com")</f>
        <v>jmhegde@bioradmedisys.com</v>
      </c>
      <c r="G516" s="17"/>
      <c r="H516" s="17"/>
    </row>
    <row r="517">
      <c r="A517" s="17" t="str">
        <f>IFERROR(__xludf.DUMMYFUNCTION("""COMPUTED_VALUE"""),"Bira 91")</f>
        <v>Bira 91</v>
      </c>
      <c r="B517" s="17" t="str">
        <f>IFERROR(__xludf.DUMMYFUNCTION("""COMPUTED_VALUE"""),"Ankur Jain")</f>
        <v>Ankur Jain</v>
      </c>
      <c r="C517" s="17" t="str">
        <f>IFERROR(__xludf.DUMMYFUNCTION("""COMPUTED_VALUE"""),"Founder &amp; CEO")</f>
        <v>Founder &amp; CEO</v>
      </c>
      <c r="D517" s="27" t="str">
        <f>IFERROR(__xludf.DUMMYFUNCTION("""COMPUTED_VALUE"""),"https://in.linkedin.com/in/ajain6")</f>
        <v>https://in.linkedin.com/in/ajain6</v>
      </c>
      <c r="E517" s="17"/>
      <c r="F517" s="17" t="str">
        <f>IFERROR(__xludf.DUMMYFUNCTION("""COMPUTED_VALUE"""),"ankur@bira91.com")</f>
        <v>ankur@bira91.com</v>
      </c>
      <c r="G517" s="17"/>
      <c r="H517" s="17"/>
    </row>
    <row r="518">
      <c r="A518" s="17" t="str">
        <f>IFERROR(__xludf.DUMMYFUNCTION("""COMPUTED_VALUE"""),"Blue Tokai Coffee")</f>
        <v>Blue Tokai Coffee</v>
      </c>
      <c r="B518" s="17" t="str">
        <f>IFERROR(__xludf.DUMMYFUNCTION("""COMPUTED_VALUE"""),"Matt Chitharanjan")</f>
        <v>Matt Chitharanjan</v>
      </c>
      <c r="C518" s="17" t="str">
        <f>IFERROR(__xludf.DUMMYFUNCTION("""COMPUTED_VALUE"""),"Co-Founder &amp; CEO")</f>
        <v>Co-Founder &amp; CEO</v>
      </c>
      <c r="D518" s="27" t="str">
        <f>IFERROR(__xludf.DUMMYFUNCTION("""COMPUTED_VALUE"""),"https://in.linkedin.com/in/mchitharanjan")</f>
        <v>https://in.linkedin.com/in/mchitharanjan</v>
      </c>
      <c r="E518" s="17"/>
      <c r="F518" s="17" t="str">
        <f>IFERROR(__xludf.DUMMYFUNCTION("""COMPUTED_VALUE"""),"mjc279@gmail.com")</f>
        <v>mjc279@gmail.com</v>
      </c>
      <c r="G518" s="17"/>
      <c r="H518" s="17"/>
    </row>
    <row r="519">
      <c r="A519" s="17" t="str">
        <f>IFERROR(__xludf.DUMMYFUNCTION("""COMPUTED_VALUE"""),"Borzo (WeFast)")</f>
        <v>Borzo (WeFast)</v>
      </c>
      <c r="B519" s="17" t="str">
        <f>IFERROR(__xludf.DUMMYFUNCTION("""COMPUTED_VALUE"""),"Alina Kisina")</f>
        <v>Alina Kisina</v>
      </c>
      <c r="C519" s="17" t="str">
        <f>IFERROR(__xludf.DUMMYFUNCTION("""COMPUTED_VALUE"""),"CEO")</f>
        <v>CEO</v>
      </c>
      <c r="D519" s="27" t="str">
        <f>IFERROR(__xludf.DUMMYFUNCTION("""COMPUTED_VALUE"""),"https://www.linkedin.com/in/alina-kisina-74b0478/")</f>
        <v>https://www.linkedin.com/in/alina-kisina-74b0478/</v>
      </c>
      <c r="E519" s="17"/>
      <c r="F519" s="17" t="str">
        <f>IFERROR(__xludf.DUMMYFUNCTION("""COMPUTED_VALUE"""),"alyusya75@mail.ru")</f>
        <v>alyusya75@mail.ru</v>
      </c>
      <c r="G519" s="17"/>
      <c r="H519" s="17"/>
    </row>
    <row r="520">
      <c r="A520" s="17" t="str">
        <f>IFERROR(__xludf.DUMMYFUNCTION("""COMPUTED_VALUE"""),"Box8 (EatClub)")</f>
        <v>Box8 (EatClub)</v>
      </c>
      <c r="B520" s="17" t="str">
        <f>IFERROR(__xludf.DUMMYFUNCTION("""COMPUTED_VALUE"""),"Amit Raj")</f>
        <v>Amit Raj</v>
      </c>
      <c r="C520" s="17" t="str">
        <f>IFERROR(__xludf.DUMMYFUNCTION("""COMPUTED_VALUE"""),"Co-Founder")</f>
        <v>Co-Founder</v>
      </c>
      <c r="D520" s="27" t="str">
        <f>IFERROR(__xludf.DUMMYFUNCTION("""COMPUTED_VALUE"""),"https://in.linkedin.com/in/amit-raj-06981213")</f>
        <v>https://in.linkedin.com/in/amit-raj-06981213</v>
      </c>
      <c r="E520" s="17"/>
      <c r="F520" s="17" t="str">
        <f>IFERROR(__xludf.DUMMYFUNCTION("""COMPUTED_VALUE"""),"getamitraj@gmail.com")</f>
        <v>getamitraj@gmail.com</v>
      </c>
      <c r="G520" s="17"/>
      <c r="H520" s="17"/>
    </row>
    <row r="521">
      <c r="A521" s="17" t="str">
        <f>IFERROR(__xludf.DUMMYFUNCTION("""COMPUTED_VALUE"""),"BPL Medical")</f>
        <v>BPL Medical</v>
      </c>
      <c r="B521" s="17" t="str">
        <f>IFERROR(__xludf.DUMMYFUNCTION("""COMPUTED_VALUE"""),"Sunil Khurana")</f>
        <v>Sunil Khurana</v>
      </c>
      <c r="C521" s="17" t="str">
        <f>IFERROR(__xludf.DUMMYFUNCTION("""COMPUTED_VALUE"""),"CEO &amp; MD")</f>
        <v>CEO &amp; MD</v>
      </c>
      <c r="D521" s="27" t="str">
        <f>IFERROR(__xludf.DUMMYFUNCTION("""COMPUTED_VALUE"""),"https://in.linkedin.com/in/sunil-khurana-230787121")</f>
        <v>https://in.linkedin.com/in/sunil-khurana-230787121</v>
      </c>
      <c r="E521" s="17"/>
      <c r="F521" s="17" t="str">
        <f>IFERROR(__xludf.DUMMYFUNCTION("""COMPUTED_VALUE"""),"khuranasunil1961@gmail.com")</f>
        <v>khuranasunil1961@gmail.com</v>
      </c>
      <c r="G521" s="17"/>
      <c r="H521" s="17"/>
    </row>
    <row r="522">
      <c r="A522" s="17" t="str">
        <f>IFERROR(__xludf.DUMMYFUNCTION("""COMPUTED_VALUE"""),"Branch International")</f>
        <v>Branch International</v>
      </c>
      <c r="B522" s="17" t="str">
        <f>IFERROR(__xludf.DUMMYFUNCTION("""COMPUTED_VALUE"""),"Matt Flannery")</f>
        <v>Matt Flannery</v>
      </c>
      <c r="C522" s="17" t="str">
        <f>IFERROR(__xludf.DUMMYFUNCTION("""COMPUTED_VALUE"""),"Founder &amp; CEO")</f>
        <v>Founder &amp; CEO</v>
      </c>
      <c r="D522" s="27" t="str">
        <f>IFERROR(__xludf.DUMMYFUNCTION("""COMPUTED_VALUE"""),"https://www.linkedin.com/in/matthew-flannery-4b6895111")</f>
        <v>https://www.linkedin.com/in/matthew-flannery-4b6895111</v>
      </c>
      <c r="E522" s="17"/>
      <c r="F522" s="17" t="str">
        <f>IFERROR(__xludf.DUMMYFUNCTION("""COMPUTED_VALUE"""),"mattflannery@gmail.com")</f>
        <v>mattflannery@gmail.com</v>
      </c>
      <c r="G522" s="17"/>
      <c r="H522" s="17"/>
    </row>
    <row r="523">
      <c r="A523" s="17" t="str">
        <f>IFERROR(__xludf.DUMMYFUNCTION("""COMPUTED_VALUE"""),"C5i (Course5)")</f>
        <v>C5i (Course5)</v>
      </c>
      <c r="B523" s="17" t="str">
        <f>IFERROR(__xludf.DUMMYFUNCTION("""COMPUTED_VALUE"""),"Ashwin Mittal")</f>
        <v>Ashwin Mittal</v>
      </c>
      <c r="C523" s="17" t="str">
        <f>IFERROR(__xludf.DUMMYFUNCTION("""COMPUTED_VALUE"""),"Chairman &amp; CEO")</f>
        <v>Chairman &amp; CEO</v>
      </c>
      <c r="D523" s="27" t="str">
        <f>IFERROR(__xludf.DUMMYFUNCTION("""COMPUTED_VALUE"""),"https://in.linkedin.com/in/ashwin-mittal-a99b09")</f>
        <v>https://in.linkedin.com/in/ashwin-mittal-a99b09</v>
      </c>
      <c r="E523" s="17"/>
      <c r="F523" s="17" t="str">
        <f>IFERROR(__xludf.DUMMYFUNCTION("""COMPUTED_VALUE"""),"ashwin.mittal@course5i.com")</f>
        <v>ashwin.mittal@course5i.com</v>
      </c>
      <c r="G523" s="17"/>
      <c r="H523" s="17"/>
    </row>
    <row r="524">
      <c r="A524" s="17" t="str">
        <f>IFERROR(__xludf.DUMMYFUNCTION("""COMPUTED_VALUE"""),"CallHealth")</f>
        <v>CallHealth</v>
      </c>
      <c r="B524" s="17" t="str">
        <f>IFERROR(__xludf.DUMMYFUNCTION("""COMPUTED_VALUE"""),"Hari Thalapalli")</f>
        <v>Hari Thalapalli</v>
      </c>
      <c r="C524" s="17" t="str">
        <f>IFERROR(__xludf.DUMMYFUNCTION("""COMPUTED_VALUE"""),"CEO")</f>
        <v>CEO</v>
      </c>
      <c r="D524" s="27" t="str">
        <f>IFERROR(__xludf.DUMMYFUNCTION("""COMPUTED_VALUE"""),"https://in.linkedin.com/in/hari-thalapalli-1bb45112")</f>
        <v>https://in.linkedin.com/in/hari-thalapalli-1bb45112</v>
      </c>
      <c r="E524" s="17"/>
      <c r="F524" s="17" t="str">
        <f>IFERROR(__xludf.DUMMYFUNCTION("""COMPUTED_VALUE"""),"hari@callhealth.com")</f>
        <v>hari@callhealth.com</v>
      </c>
      <c r="G524" s="17"/>
      <c r="H524" s="17"/>
    </row>
    <row r="525">
      <c r="A525" s="17" t="str">
        <f>IFERROR(__xludf.DUMMYFUNCTION("""COMPUTED_VALUE"""),"Captain Fresh")</f>
        <v>Captain Fresh</v>
      </c>
      <c r="B525" s="17" t="str">
        <f>IFERROR(__xludf.DUMMYFUNCTION("""COMPUTED_VALUE"""),"Utham Gowda")</f>
        <v>Utham Gowda</v>
      </c>
      <c r="C525" s="17" t="str">
        <f>IFERROR(__xludf.DUMMYFUNCTION("""COMPUTED_VALUE"""),"Founder &amp; CEO")</f>
        <v>Founder &amp; CEO</v>
      </c>
      <c r="D525" s="27" t="str">
        <f>IFERROR(__xludf.DUMMYFUNCTION("""COMPUTED_VALUE"""),"https://nl.linkedin.com/in/uthamks")</f>
        <v>https://nl.linkedin.com/in/uthamks</v>
      </c>
      <c r="E525" s="17"/>
      <c r="F525" s="17" t="str">
        <f>IFERROR(__xludf.DUMMYFUNCTION("""COMPUTED_VALUE"""),"utham@captainfresh.in")</f>
        <v>utham@captainfresh.in</v>
      </c>
      <c r="G525" s="17"/>
      <c r="H525" s="17"/>
    </row>
    <row r="526">
      <c r="A526" s="17" t="str">
        <f>IFERROR(__xludf.DUMMYFUNCTION("""COMPUTED_VALUE"""),"Cashfree Payments")</f>
        <v>Cashfree Payments</v>
      </c>
      <c r="B526" s="17" t="str">
        <f>IFERROR(__xludf.DUMMYFUNCTION("""COMPUTED_VALUE"""),"Akash Sinha")</f>
        <v>Akash Sinha</v>
      </c>
      <c r="C526" s="17" t="str">
        <f>IFERROR(__xludf.DUMMYFUNCTION("""COMPUTED_VALUE"""),"Co-Founder &amp; CEO")</f>
        <v>Co-Founder &amp; CEO</v>
      </c>
      <c r="D526" s="27" t="str">
        <f>IFERROR(__xludf.DUMMYFUNCTION("""COMPUTED_VALUE"""),"https://in.linkedin.com/in/sinhaakash")</f>
        <v>https://in.linkedin.com/in/sinhaakash</v>
      </c>
      <c r="E526" s="17"/>
      <c r="F526" s="17" t="str">
        <f>IFERROR(__xludf.DUMMYFUNCTION("""COMPUTED_VALUE"""),"akashindya@gmail.com")</f>
        <v>akashindya@gmail.com</v>
      </c>
      <c r="G526" s="17"/>
      <c r="H526" s="17"/>
    </row>
    <row r="527">
      <c r="A527" s="17" t="str">
        <f>IFERROR(__xludf.DUMMYFUNCTION("""COMPUTED_VALUE"""),"CBREX")</f>
        <v>CBREX</v>
      </c>
      <c r="B527" s="17" t="str">
        <f>IFERROR(__xludf.DUMMYFUNCTION("""COMPUTED_VALUE"""),"Gautam Sinha")</f>
        <v>Gautam Sinha</v>
      </c>
      <c r="C527" s="17" t="str">
        <f>IFERROR(__xludf.DUMMYFUNCTION("""COMPUTED_VALUE"""),"Co-Founder &amp; CEO")</f>
        <v>Co-Founder &amp; CEO</v>
      </c>
      <c r="D527" s="27" t="str">
        <f>IFERROR(__xludf.DUMMYFUNCTION("""COMPUTED_VALUE"""),"linkedin.com/in/gautamsinha")</f>
        <v>linkedin.com/in/gautamsinha</v>
      </c>
      <c r="E527" s="17"/>
      <c r="F527" s="17"/>
      <c r="G527" s="17"/>
      <c r="H527" s="17"/>
    </row>
    <row r="528">
      <c r="A528" s="17" t="str">
        <f>IFERROR(__xludf.DUMMYFUNCTION("""COMPUTED_VALUE"""),"Centre for Sight")</f>
        <v>Centre for Sight</v>
      </c>
      <c r="B528" s="17" t="str">
        <f>IFERROR(__xludf.DUMMYFUNCTION("""COMPUTED_VALUE"""),"Dr. Mahipal Sachdev")</f>
        <v>Dr. Mahipal Sachdev</v>
      </c>
      <c r="C528" s="17" t="str">
        <f>IFERROR(__xludf.DUMMYFUNCTION("""COMPUTED_VALUE"""),"Chairman &amp; MD")</f>
        <v>Chairman &amp; MD</v>
      </c>
      <c r="D528" s="27" t="str">
        <f>IFERROR(__xludf.DUMMYFUNCTION("""COMPUTED_VALUE"""),"linkedin.com/in/drmahipalsachdev")</f>
        <v>linkedin.com/in/drmahipalsachdev</v>
      </c>
      <c r="E528" s="17"/>
      <c r="F528" s="17"/>
      <c r="G528" s="17"/>
      <c r="H528" s="17"/>
    </row>
    <row r="529">
      <c r="A529" s="17" t="str">
        <f>IFERROR(__xludf.DUMMYFUNCTION("""COMPUTED_VALUE"""),"Chalo")</f>
        <v>Chalo</v>
      </c>
      <c r="B529" s="17" t="str">
        <f>IFERROR(__xludf.DUMMYFUNCTION("""COMPUTED_VALUE"""),"Mohit Dubey")</f>
        <v>Mohit Dubey</v>
      </c>
      <c r="C529" s="17" t="str">
        <f>IFERROR(__xludf.DUMMYFUNCTION("""COMPUTED_VALUE"""),"Co-Founder &amp; CEO")</f>
        <v>Co-Founder &amp; CEO</v>
      </c>
      <c r="D529" s="27" t="str">
        <f>IFERROR(__xludf.DUMMYFUNCTION("""COMPUTED_VALUE"""),"linkedin.com/in/mohit-dubey")</f>
        <v>linkedin.com/in/mohit-dubey</v>
      </c>
      <c r="E529" s="17"/>
      <c r="F529" s="17"/>
      <c r="G529" s="17"/>
      <c r="H529" s="17"/>
    </row>
    <row r="530">
      <c r="A530" s="17" t="str">
        <f>IFERROR(__xludf.DUMMYFUNCTION("""COMPUTED_VALUE"""),"Change.org India")</f>
        <v>Change.org India</v>
      </c>
      <c r="B530" s="17" t="str">
        <f>IFERROR(__xludf.DUMMYFUNCTION("""COMPUTED_VALUE"""),"Nida Hasan")</f>
        <v>Nida Hasan</v>
      </c>
      <c r="C530" s="17" t="str">
        <f>IFERROR(__xludf.DUMMYFUNCTION("""COMPUTED_VALUE"""),"Country Director")</f>
        <v>Country Director</v>
      </c>
      <c r="D530" s="27" t="str">
        <f>IFERROR(__xludf.DUMMYFUNCTION("""COMPUTED_VALUE"""),"linkedin.com/in/nida-hasan")</f>
        <v>linkedin.com/in/nida-hasan</v>
      </c>
      <c r="E530" s="17"/>
      <c r="F530" s="17"/>
      <c r="G530" s="17"/>
      <c r="H530" s="17"/>
    </row>
    <row r="531">
      <c r="A531" s="17" t="str">
        <f>IFERROR(__xludf.DUMMYFUNCTION("""COMPUTED_VALUE"""),"Charge Zone")</f>
        <v>Charge Zone</v>
      </c>
      <c r="B531" s="17" t="str">
        <f>IFERROR(__xludf.DUMMYFUNCTION("""COMPUTED_VALUE"""),"Kartikey Hariyani")</f>
        <v>Kartikey Hariyani</v>
      </c>
      <c r="C531" s="17" t="str">
        <f>IFERROR(__xludf.DUMMYFUNCTION("""COMPUTED_VALUE"""),"Founder &amp; CEO")</f>
        <v>Founder &amp; CEO</v>
      </c>
      <c r="D531" s="27" t="str">
        <f>IFERROR(__xludf.DUMMYFUNCTION("""COMPUTED_VALUE"""),"linkedin.com/in/kartikey-hariyani")</f>
        <v>linkedin.com/in/kartikey-hariyani</v>
      </c>
      <c r="E531" s="17"/>
      <c r="F531" s="17"/>
      <c r="G531" s="17"/>
      <c r="H531" s="17"/>
    </row>
    <row r="532">
      <c r="A532" s="17" t="str">
        <f>IFERROR(__xludf.DUMMYFUNCTION("""COMPUTED_VALUE"""),"Clix Capital")</f>
        <v>Clix Capital</v>
      </c>
      <c r="B532" s="17" t="str">
        <f>IFERROR(__xludf.DUMMYFUNCTION("""COMPUTED_VALUE"""),"Rakesh Kaul")</f>
        <v>Rakesh Kaul</v>
      </c>
      <c r="C532" s="17" t="str">
        <f>IFERROR(__xludf.DUMMYFUNCTION("""COMPUTED_VALUE"""),"CEO")</f>
        <v>CEO</v>
      </c>
      <c r="D532" s="27" t="str">
        <f>IFERROR(__xludf.DUMMYFUNCTION("""COMPUTED_VALUE"""),"linkedin.com/in/rakesh-kaul")</f>
        <v>linkedin.com/in/rakesh-kaul</v>
      </c>
      <c r="E532" s="17"/>
      <c r="F532" s="17"/>
      <c r="G532" s="17"/>
      <c r="H532" s="17"/>
    </row>
    <row r="533">
      <c r="A533" s="17" t="str">
        <f>IFERROR(__xludf.DUMMYFUNCTION("""COMPUTED_VALUE"""),"Cogoport")</f>
        <v>Cogoport</v>
      </c>
      <c r="B533" s="17" t="str">
        <f>IFERROR(__xludf.DUMMYFUNCTION("""COMPUTED_VALUE"""),"Amitabh Kumar")</f>
        <v>Amitabh Kumar</v>
      </c>
      <c r="C533" s="17" t="str">
        <f>IFERROR(__xludf.DUMMYFUNCTION("""COMPUTED_VALUE"""),"Founder")</f>
        <v>Founder</v>
      </c>
      <c r="D533" s="27" t="str">
        <f>IFERROR(__xludf.DUMMYFUNCTION("""COMPUTED_VALUE"""),"linkedin.com/in/amitabh-kumar")</f>
        <v>linkedin.com/in/amitabh-kumar</v>
      </c>
      <c r="E533" s="17"/>
      <c r="F533" s="17"/>
      <c r="G533" s="17"/>
      <c r="H533" s="17"/>
    </row>
    <row r="534">
      <c r="A534" s="17" t="str">
        <f>IFERROR(__xludf.DUMMYFUNCTION("""COMPUTED_VALUE"""),"CredAble")</f>
        <v>CredAble</v>
      </c>
      <c r="B534" s="17" t="str">
        <f>IFERROR(__xludf.DUMMYFUNCTION("""COMPUTED_VALUE"""),"Nirav Choksi")</f>
        <v>Nirav Choksi</v>
      </c>
      <c r="C534" s="17" t="str">
        <f>IFERROR(__xludf.DUMMYFUNCTION("""COMPUTED_VALUE"""),"Co-Founder &amp; CEO")</f>
        <v>Co-Founder &amp; CEO</v>
      </c>
      <c r="D534" s="27" t="str">
        <f>IFERROR(__xludf.DUMMYFUNCTION("""COMPUTED_VALUE"""),"linkedin.com/in/nirav-choksi")</f>
        <v>linkedin.com/in/nirav-choksi</v>
      </c>
      <c r="E534" s="17"/>
      <c r="F534" s="17"/>
      <c r="G534" s="17"/>
      <c r="H534" s="17"/>
    </row>
    <row r="535">
      <c r="A535" s="17" t="str">
        <f>IFERROR(__xludf.DUMMYFUNCTION("""COMPUTED_VALUE"""),"Credgenics")</f>
        <v>Credgenics</v>
      </c>
      <c r="B535" s="17" t="str">
        <f>IFERROR(__xludf.DUMMYFUNCTION("""COMPUTED_VALUE"""),"Rishabh Goel")</f>
        <v>Rishabh Goel</v>
      </c>
      <c r="C535" s="17" t="str">
        <f>IFERROR(__xludf.DUMMYFUNCTION("""COMPUTED_VALUE"""),"Co-Founder &amp; CEO")</f>
        <v>Co-Founder &amp; CEO</v>
      </c>
      <c r="D535" s="27" t="str">
        <f>IFERROR(__xludf.DUMMYFUNCTION("""COMPUTED_VALUE"""),"linkedin.com/in/rishabh-goel")</f>
        <v>linkedin.com/in/rishabh-goel</v>
      </c>
      <c r="E535" s="17"/>
      <c r="F535" s="17"/>
      <c r="G535" s="17"/>
      <c r="H535" s="17"/>
    </row>
    <row r="536">
      <c r="A536" s="17" t="str">
        <f>IFERROR(__xludf.DUMMYFUNCTION("""COMPUTED_VALUE"""),"Crofarm (Otipy)")</f>
        <v>Crofarm (Otipy)</v>
      </c>
      <c r="B536" s="17" t="str">
        <f>IFERROR(__xludf.DUMMYFUNCTION("""COMPUTED_VALUE"""),"Varun Khurana")</f>
        <v>Varun Khurana</v>
      </c>
      <c r="C536" s="17" t="str">
        <f>IFERROR(__xludf.DUMMYFUNCTION("""COMPUTED_VALUE"""),"Founder &amp; CEO")</f>
        <v>Founder &amp; CEO</v>
      </c>
      <c r="D536" s="27" t="str">
        <f>IFERROR(__xludf.DUMMYFUNCTION("""COMPUTED_VALUE"""),"linkedin.com/in/varunkhurana")</f>
        <v>linkedin.com/in/varunkhurana</v>
      </c>
      <c r="E536" s="17"/>
      <c r="F536" s="17"/>
      <c r="G536" s="17"/>
      <c r="H536" s="17"/>
    </row>
    <row r="537">
      <c r="A537" s="17" t="str">
        <f>IFERROR(__xludf.DUMMYFUNCTION("""COMPUTED_VALUE"""),"CrowdAnalytix")</f>
        <v>CrowdAnalytix</v>
      </c>
      <c r="B537" s="17" t="str">
        <f>IFERROR(__xludf.DUMMYFUNCTION("""COMPUTED_VALUE"""),"Divyabh Mishra")</f>
        <v>Divyabh Mishra</v>
      </c>
      <c r="C537" s="17" t="str">
        <f>IFERROR(__xludf.DUMMYFUNCTION("""COMPUTED_VALUE"""),"CEO")</f>
        <v>CEO</v>
      </c>
      <c r="D537" s="27" t="str">
        <f>IFERROR(__xludf.DUMMYFUNCTION("""COMPUTED_VALUE"""),"linkedin.com/in/divyabhmishra")</f>
        <v>linkedin.com/in/divyabhmishra</v>
      </c>
      <c r="E537" s="17"/>
      <c r="F537" s="17"/>
      <c r="G537" s="17"/>
      <c r="H537" s="17"/>
    </row>
    <row r="538">
      <c r="A538" s="17" t="str">
        <f>IFERROR(__xludf.DUMMYFUNCTION("""COMPUTED_VALUE"""),"CtrlS")</f>
        <v>CtrlS</v>
      </c>
      <c r="B538" s="17" t="str">
        <f>IFERROR(__xludf.DUMMYFUNCTION("""COMPUTED_VALUE"""),"Sridhar Pinnapureddy")</f>
        <v>Sridhar Pinnapureddy</v>
      </c>
      <c r="C538" s="17" t="str">
        <f>IFERROR(__xludf.DUMMYFUNCTION("""COMPUTED_VALUE"""),"Founder &amp; CEO")</f>
        <v>Founder &amp; CEO</v>
      </c>
      <c r="D538" s="27" t="str">
        <f>IFERROR(__xludf.DUMMYFUNCTION("""COMPUTED_VALUE"""),"linkedin.com/in/sridharpinnapureddy")</f>
        <v>linkedin.com/in/sridharpinnapureddy</v>
      </c>
      <c r="E538" s="17"/>
      <c r="F538" s="17"/>
      <c r="G538" s="17"/>
      <c r="H538" s="17"/>
    </row>
    <row r="539">
      <c r="A539" s="17" t="str">
        <f>IFERROR(__xludf.DUMMYFUNCTION("""COMPUTED_VALUE"""),"DeHaat")</f>
        <v>DeHaat</v>
      </c>
      <c r="B539" s="17" t="str">
        <f>IFERROR(__xludf.DUMMYFUNCTION("""COMPUTED_VALUE"""),"Shashank Kumar")</f>
        <v>Shashank Kumar</v>
      </c>
      <c r="C539" s="17" t="str">
        <f>IFERROR(__xludf.DUMMYFUNCTION("""COMPUTED_VALUE"""),"Co-Founder &amp; CEO")</f>
        <v>Co-Founder &amp; CEO</v>
      </c>
      <c r="D539" s="27" t="str">
        <f>IFERROR(__xludf.DUMMYFUNCTION("""COMPUTED_VALUE"""),"linkedin.com/in/shashank-kumar-dehaat")</f>
        <v>linkedin.com/in/shashank-kumar-dehaat</v>
      </c>
      <c r="E539" s="17"/>
      <c r="F539" s="17"/>
      <c r="G539" s="17"/>
      <c r="H539" s="17"/>
    </row>
    <row r="540">
      <c r="A540" s="17" t="str">
        <f>IFERROR(__xludf.DUMMYFUNCTION("""COMPUTED_VALUE"""),"Disprz")</f>
        <v>Disprz</v>
      </c>
      <c r="B540" s="17" t="str">
        <f>IFERROR(__xludf.DUMMYFUNCTION("""COMPUTED_VALUE"""),"Subramanian Viswanathan")</f>
        <v>Subramanian Viswanathan</v>
      </c>
      <c r="C540" s="17" t="str">
        <f>IFERROR(__xludf.DUMMYFUNCTION("""COMPUTED_VALUE"""),"Co-Founder &amp; CEO")</f>
        <v>Co-Founder &amp; CEO</v>
      </c>
      <c r="D540" s="27" t="str">
        <f>IFERROR(__xludf.DUMMYFUNCTION("""COMPUTED_VALUE"""),"linkedin.com/in/subramanianviswanathan")</f>
        <v>linkedin.com/in/subramanianviswanathan</v>
      </c>
      <c r="E540" s="17"/>
      <c r="F540" s="17"/>
      <c r="G540" s="17"/>
      <c r="H540" s="17"/>
    </row>
    <row r="541">
      <c r="A541" s="17" t="str">
        <f>IFERROR(__xludf.DUMMYFUNCTION("""COMPUTED_VALUE"""),"Doceree")</f>
        <v>Doceree</v>
      </c>
      <c r="B541" s="17" t="str">
        <f>IFERROR(__xludf.DUMMYFUNCTION("""COMPUTED_VALUE"""),"Harshit Jain")</f>
        <v>Harshit Jain</v>
      </c>
      <c r="C541" s="17" t="str">
        <f>IFERROR(__xludf.DUMMYFUNCTION("""COMPUTED_VALUE"""),"Founder &amp; Global CEO")</f>
        <v>Founder &amp; Global CEO</v>
      </c>
      <c r="D541" s="27" t="str">
        <f>IFERROR(__xludf.DUMMYFUNCTION("""COMPUTED_VALUE"""),"linkedin.com/in/harshitjainmd")</f>
        <v>linkedin.com/in/harshitjainmd</v>
      </c>
      <c r="E541" s="17"/>
      <c r="F541" s="17"/>
      <c r="G541" s="17"/>
      <c r="H541" s="17"/>
    </row>
    <row r="542">
      <c r="A542" s="17" t="str">
        <f>IFERROR(__xludf.DUMMYFUNCTION("""COMPUTED_VALUE"""),"DotPe")</f>
        <v>DotPe</v>
      </c>
      <c r="B542" s="17" t="str">
        <f>IFERROR(__xludf.DUMMYFUNCTION("""COMPUTED_VALUE"""),"Shailaz Nag")</f>
        <v>Shailaz Nag</v>
      </c>
      <c r="C542" s="17" t="str">
        <f>IFERROR(__xludf.DUMMYFUNCTION("""COMPUTED_VALUE"""),"Co-Founder &amp; CEO")</f>
        <v>Co-Founder &amp; CEO</v>
      </c>
      <c r="D542" s="27" t="str">
        <f>IFERROR(__xludf.DUMMYFUNCTION("""COMPUTED_VALUE"""),"linkedin.com/in/shailaz-nag")</f>
        <v>linkedin.com/in/shailaz-nag</v>
      </c>
      <c r="E542" s="17"/>
      <c r="F542" s="17"/>
      <c r="G542" s="17"/>
      <c r="H542" s="17"/>
    </row>
    <row r="543">
      <c r="A543" s="17" t="str">
        <f>IFERROR(__xludf.DUMMYFUNCTION("""COMPUTED_VALUE"""),"Dvara KGFS")</f>
        <v>Dvara KGFS</v>
      </c>
      <c r="B543" s="17" t="str">
        <f>IFERROR(__xludf.DUMMYFUNCTION("""COMPUTED_VALUE"""),"LVLN Murty")</f>
        <v>LVLN Murty</v>
      </c>
      <c r="C543" s="17" t="str">
        <f>IFERROR(__xludf.DUMMYFUNCTION("""COMPUTED_VALUE"""),"CEO")</f>
        <v>CEO</v>
      </c>
      <c r="D543" s="27" t="str">
        <f>IFERROR(__xludf.DUMMYFUNCTION("""COMPUTED_VALUE"""),"linkedin.com/in/lvlnmurty")</f>
        <v>linkedin.com/in/lvlnmurty</v>
      </c>
      <c r="E543" s="17"/>
      <c r="F543" s="17"/>
      <c r="G543" s="17"/>
      <c r="H543" s="17"/>
    </row>
    <row r="544">
      <c r="A544" s="17" t="str">
        <f>IFERROR(__xludf.DUMMYFUNCTION("""COMPUTED_VALUE"""),"Epigamia")</f>
        <v>Epigamia</v>
      </c>
      <c r="B544" s="17" t="str">
        <f>IFERROR(__xludf.DUMMYFUNCTION("""COMPUTED_VALUE"""),"Rohan Mirchandani")</f>
        <v>Rohan Mirchandani</v>
      </c>
      <c r="C544" s="17" t="str">
        <f>IFERROR(__xludf.DUMMYFUNCTION("""COMPUTED_VALUE"""),"Co-Founder (Late)")</f>
        <v>Co-Founder (Late)</v>
      </c>
      <c r="D544" s="17" t="str">
        <f>IFERROR(__xludf.DUMMYFUNCTION("""COMPUTED_VALUE"""),"(Memorial Profile)")</f>
        <v>(Memorial Profile)</v>
      </c>
      <c r="E544" s="17"/>
      <c r="F544" s="17"/>
      <c r="G544" s="17"/>
      <c r="H544" s="17"/>
    </row>
    <row r="545">
      <c r="A545" s="17" t="str">
        <f>IFERROR(__xludf.DUMMYFUNCTION("""COMPUTED_VALUE"""),"Euler Motors")</f>
        <v>Euler Motors</v>
      </c>
      <c r="B545" s="17" t="str">
        <f>IFERROR(__xludf.DUMMYFUNCTION("""COMPUTED_VALUE"""),"Saurav Kumar")</f>
        <v>Saurav Kumar</v>
      </c>
      <c r="C545" s="17" t="str">
        <f>IFERROR(__xludf.DUMMYFUNCTION("""COMPUTED_VALUE"""),"Founder &amp; CEO")</f>
        <v>Founder &amp; CEO</v>
      </c>
      <c r="D545" s="27" t="str">
        <f>IFERROR(__xludf.DUMMYFUNCTION("""COMPUTED_VALUE"""),"linkedin.com/in/sauravkumar")</f>
        <v>linkedin.com/in/sauravkumar</v>
      </c>
      <c r="E545" s="17"/>
      <c r="F545" s="17"/>
      <c r="G545" s="17"/>
      <c r="H545" s="17"/>
    </row>
    <row r="546">
      <c r="A546" s="17" t="str">
        <f>IFERROR(__xludf.DUMMYFUNCTION("""COMPUTED_VALUE"""),"Everest Fleet")</f>
        <v>Everest Fleet</v>
      </c>
      <c r="B546" s="17" t="str">
        <f>IFERROR(__xludf.DUMMYFUNCTION("""COMPUTED_VALUE"""),"Siddharth Ladsariya")</f>
        <v>Siddharth Ladsariya</v>
      </c>
      <c r="C546" s="17" t="str">
        <f>IFERROR(__xludf.DUMMYFUNCTION("""COMPUTED_VALUE"""),"Co-Founder")</f>
        <v>Co-Founder</v>
      </c>
      <c r="D546" s="27" t="str">
        <f>IFERROR(__xludf.DUMMYFUNCTION("""COMPUTED_VALUE"""),"linkedin.com/in/siddharth-ladsariya")</f>
        <v>linkedin.com/in/siddharth-ladsariya</v>
      </c>
      <c r="E546" s="17"/>
      <c r="F546" s="17"/>
      <c r="G546" s="17"/>
      <c r="H546" s="17"/>
    </row>
    <row r="547">
      <c r="A547" s="17" t="str">
        <f>IFERROR(__xludf.DUMMYFUNCTION("""COMPUTED_VALUE"""),"Fashinza")</f>
        <v>Fashinza</v>
      </c>
      <c r="B547" s="17" t="str">
        <f>IFERROR(__xludf.DUMMYFUNCTION("""COMPUTED_VALUE"""),"Pawan Gupta")</f>
        <v>Pawan Gupta</v>
      </c>
      <c r="C547" s="17" t="str">
        <f>IFERROR(__xludf.DUMMYFUNCTION("""COMPUTED_VALUE"""),"Co-Founder &amp; CEO")</f>
        <v>Co-Founder &amp; CEO</v>
      </c>
      <c r="D547" s="27" t="str">
        <f>IFERROR(__xludf.DUMMYFUNCTION("""COMPUTED_VALUE"""),"linkedin.com/in/pawan-gupta")</f>
        <v>linkedin.com/in/pawan-gupta</v>
      </c>
      <c r="E547" s="17"/>
      <c r="F547" s="17"/>
      <c r="G547" s="17"/>
      <c r="H547" s="17"/>
    </row>
    <row r="548">
      <c r="A548" s="17" t="str">
        <f>IFERROR(__xludf.DUMMYFUNCTION("""COMPUTED_VALUE"""),"Freight Tiger")</f>
        <v>Freight Tiger</v>
      </c>
      <c r="B548" s="17" t="str">
        <f>IFERROR(__xludf.DUMMYFUNCTION("""COMPUTED_VALUE"""),"Swapnil Shah")</f>
        <v>Swapnil Shah</v>
      </c>
      <c r="C548" s="17" t="str">
        <f>IFERROR(__xludf.DUMMYFUNCTION("""COMPUTED_VALUE"""),"Founder &amp; CEO")</f>
        <v>Founder &amp; CEO</v>
      </c>
      <c r="D548" s="27" t="str">
        <f>IFERROR(__xludf.DUMMYFUNCTION("""COMPUTED_VALUE"""),"linkedin.com/in/swapnil-shah")</f>
        <v>linkedin.com/in/swapnil-shah</v>
      </c>
      <c r="E548" s="17"/>
      <c r="F548" s="17"/>
      <c r="G548" s="17"/>
      <c r="H548" s="17"/>
    </row>
    <row r="549">
      <c r="A549" s="17" t="str">
        <f>IFERROR(__xludf.DUMMYFUNCTION("""COMPUTED_VALUE"""),"FSS")</f>
        <v>FSS</v>
      </c>
      <c r="B549" s="17" t="str">
        <f>IFERROR(__xludf.DUMMYFUNCTION("""COMPUTED_VALUE"""),"Nagaraj Mylandla")</f>
        <v>Nagaraj Mylandla</v>
      </c>
      <c r="C549" s="17" t="str">
        <f>IFERROR(__xludf.DUMMYFUNCTION("""COMPUTED_VALUE"""),"Founder &amp; MD")</f>
        <v>Founder &amp; MD</v>
      </c>
      <c r="D549" s="27" t="str">
        <f>IFERROR(__xludf.DUMMYFUNCTION("""COMPUTED_VALUE"""),"linkedin.com/in/nagarajmylandla")</f>
        <v>linkedin.com/in/nagarajmylandla</v>
      </c>
      <c r="E549" s="17"/>
      <c r="F549" s="17"/>
      <c r="G549" s="17"/>
      <c r="H549" s="17"/>
    </row>
    <row r="550">
      <c r="A550" s="17" t="str">
        <f>IFERROR(__xludf.DUMMYFUNCTION("""COMPUTED_VALUE"""),"Furlenco")</f>
        <v>Furlenco</v>
      </c>
      <c r="B550" s="17" t="str">
        <f>IFERROR(__xludf.DUMMYFUNCTION("""COMPUTED_VALUE"""),"Ajith Mohan Karimpana")</f>
        <v>Ajith Mohan Karimpana</v>
      </c>
      <c r="C550" s="17" t="str">
        <f>IFERROR(__xludf.DUMMYFUNCTION("""COMPUTED_VALUE"""),"Founder &amp; CEO")</f>
        <v>Founder &amp; CEO</v>
      </c>
      <c r="D550" s="27" t="str">
        <f>IFERROR(__xludf.DUMMYFUNCTION("""COMPUTED_VALUE"""),"linkedin.com/in/ajithkarimpana")</f>
        <v>linkedin.com/in/ajithkarimpana</v>
      </c>
      <c r="E550" s="17"/>
      <c r="F550" s="17"/>
      <c r="G550" s="17"/>
      <c r="H550" s="17"/>
    </row>
    <row r="551">
      <c r="A551" s="17" t="str">
        <f>IFERROR(__xludf.DUMMYFUNCTION("""COMPUTED_VALUE"""),"Gemini Edibles")</f>
        <v>Gemini Edibles</v>
      </c>
      <c r="B551" s="17" t="str">
        <f>IFERROR(__xludf.DUMMYFUNCTION("""COMPUTED_VALUE"""),"Pradeep Chowdhry")</f>
        <v>Pradeep Chowdhry</v>
      </c>
      <c r="C551" s="17" t="str">
        <f>IFERROR(__xludf.DUMMYFUNCTION("""COMPUTED_VALUE"""),"MD")</f>
        <v>MD</v>
      </c>
      <c r="D551" s="27" t="str">
        <f>IFERROR(__xludf.DUMMYFUNCTION("""COMPUTED_VALUE"""),"linkedin.com/in/pradeep-chowdhry")</f>
        <v>linkedin.com/in/pradeep-chowdhry</v>
      </c>
      <c r="E551" s="17"/>
      <c r="F551" s="17"/>
      <c r="G551" s="17"/>
      <c r="H551" s="17"/>
    </row>
    <row r="552">
      <c r="A552" s="17" t="str">
        <f>IFERROR(__xludf.DUMMYFUNCTION("""COMPUTED_VALUE"""),"GOAT Brand Labs")</f>
        <v>GOAT Brand Labs</v>
      </c>
      <c r="B552" s="17" t="str">
        <f>IFERROR(__xludf.DUMMYFUNCTION("""COMPUTED_VALUE"""),"Rishi Vasudev")</f>
        <v>Rishi Vasudev</v>
      </c>
      <c r="C552" s="17" t="str">
        <f>IFERROR(__xludf.DUMMYFUNCTION("""COMPUTED_VALUE"""),"Co-Founder &amp; CEO")</f>
        <v>Co-Founder &amp; CEO</v>
      </c>
      <c r="D552" s="27" t="str">
        <f>IFERROR(__xludf.DUMMYFUNCTION("""COMPUTED_VALUE"""),"linkedin.com/in/rishivasudev")</f>
        <v>linkedin.com/in/rishivasudev</v>
      </c>
      <c r="E552" s="17"/>
      <c r="F552" s="17"/>
      <c r="G552" s="17"/>
      <c r="H552" s="17"/>
    </row>
    <row r="553">
      <c r="A553" s="17" t="str">
        <f>IFERROR(__xludf.DUMMYFUNCTION("""COMPUTED_VALUE"""),"GoKwik")</f>
        <v>GoKwik</v>
      </c>
      <c r="B553" s="17" t="str">
        <f>IFERROR(__xludf.DUMMYFUNCTION("""COMPUTED_VALUE"""),"Chirag Taneja")</f>
        <v>Chirag Taneja</v>
      </c>
      <c r="C553" s="17" t="str">
        <f>IFERROR(__xludf.DUMMYFUNCTION("""COMPUTED_VALUE"""),"Co-Founder &amp; CEO")</f>
        <v>Co-Founder &amp; CEO</v>
      </c>
      <c r="D553" s="27" t="str">
        <f>IFERROR(__xludf.DUMMYFUNCTION("""COMPUTED_VALUE"""),"linkedin.com/in/chiragtaneja")</f>
        <v>linkedin.com/in/chiragtaneja</v>
      </c>
      <c r="E553" s="17"/>
      <c r="F553" s="17"/>
      <c r="G553" s="17"/>
      <c r="H553" s="17"/>
    </row>
    <row r="554">
      <c r="A554" s="17" t="str">
        <f>IFERROR(__xludf.DUMMYFUNCTION("""COMPUTED_VALUE"""),"Goomo")</f>
        <v>Goomo</v>
      </c>
      <c r="B554" s="17" t="str">
        <f>IFERROR(__xludf.DUMMYFUNCTION("""COMPUTED_VALUE"""),"Varun Gupta")</f>
        <v>Varun Gupta</v>
      </c>
      <c r="C554" s="17" t="str">
        <f>IFERROR(__xludf.DUMMYFUNCTION("""COMPUTED_VALUE"""),"CEO")</f>
        <v>CEO</v>
      </c>
      <c r="D554" s="27" t="str">
        <f>IFERROR(__xludf.DUMMYFUNCTION("""COMPUTED_VALUE"""),"linkedin.com/in/varun-gupta")</f>
        <v>linkedin.com/in/varun-gupta</v>
      </c>
      <c r="E554" s="17"/>
      <c r="F554" s="17"/>
      <c r="G554" s="17"/>
      <c r="H554" s="17"/>
    </row>
    <row r="555">
      <c r="A555" s="17" t="str">
        <f>IFERROR(__xludf.DUMMYFUNCTION("""COMPUTED_VALUE"""),"HackerRank")</f>
        <v>HackerRank</v>
      </c>
      <c r="B555" s="17" t="str">
        <f>IFERROR(__xludf.DUMMYFUNCTION("""COMPUTED_VALUE"""),"Vivek Ravisankar")</f>
        <v>Vivek Ravisankar</v>
      </c>
      <c r="C555" s="17" t="str">
        <f>IFERROR(__xludf.DUMMYFUNCTION("""COMPUTED_VALUE"""),"Co-Founder &amp; CEO")</f>
        <v>Co-Founder &amp; CEO</v>
      </c>
      <c r="D555" s="27" t="str">
        <f>IFERROR(__xludf.DUMMYFUNCTION("""COMPUTED_VALUE"""),"linkedin.com/in/vivek-ravisankar")</f>
        <v>linkedin.com/in/vivek-ravisankar</v>
      </c>
      <c r="E555" s="17"/>
      <c r="F555" s="17"/>
      <c r="G555" s="17"/>
      <c r="H555" s="17"/>
    </row>
    <row r="556">
      <c r="A556" s="17" t="str">
        <f>IFERROR(__xludf.DUMMYFUNCTION("""COMPUTED_VALUE"""),"Happilo")</f>
        <v>Happilo</v>
      </c>
      <c r="B556" s="17" t="str">
        <f>IFERROR(__xludf.DUMMYFUNCTION("""COMPUTED_VALUE"""),"Vikas Nahar")</f>
        <v>Vikas Nahar</v>
      </c>
      <c r="C556" s="17" t="str">
        <f>IFERROR(__xludf.DUMMYFUNCTION("""COMPUTED_VALUE"""),"Founder &amp; CEO")</f>
        <v>Founder &amp; CEO</v>
      </c>
      <c r="D556" s="27" t="str">
        <f>IFERROR(__xludf.DUMMYFUNCTION("""COMPUTED_VALUE"""),"linkedin.com/in/vikas-nahar")</f>
        <v>linkedin.com/in/vikas-nahar</v>
      </c>
      <c r="E556" s="17"/>
      <c r="F556" s="17"/>
      <c r="G556" s="17"/>
      <c r="H556" s="17"/>
    </row>
    <row r="557">
      <c r="A557" s="17" t="str">
        <f>IFERROR(__xludf.DUMMYFUNCTION("""COMPUTED_VALUE"""),"HappyEasyGo")</f>
        <v>HappyEasyGo</v>
      </c>
      <c r="B557" s="17" t="str">
        <f>IFERROR(__xludf.DUMMYFUNCTION("""COMPUTED_VALUE"""),"Boris Zha")</f>
        <v>Boris Zha</v>
      </c>
      <c r="C557" s="17" t="str">
        <f>IFERROR(__xludf.DUMMYFUNCTION("""COMPUTED_VALUE"""),"Founder &amp; CEO")</f>
        <v>Founder &amp; CEO</v>
      </c>
      <c r="D557" s="27" t="str">
        <f>IFERROR(__xludf.DUMMYFUNCTION("""COMPUTED_VALUE"""),"linkedin.com/in/boris-zha")</f>
        <v>linkedin.com/in/boris-zha</v>
      </c>
      <c r="E557" s="17"/>
      <c r="F557" s="17"/>
      <c r="G557" s="17"/>
      <c r="H557" s="17"/>
    </row>
    <row r="558">
      <c r="A558" s="17" t="str">
        <f>IFERROR(__xludf.DUMMYFUNCTION("""COMPUTED_VALUE"""),"HCAH")</f>
        <v>HCAH</v>
      </c>
      <c r="B558" s="17" t="str">
        <f>IFERROR(__xludf.DUMMYFUNCTION("""COMPUTED_VALUE"""),"Vivek Srivastava")</f>
        <v>Vivek Srivastava</v>
      </c>
      <c r="C558" s="17" t="str">
        <f>IFERROR(__xludf.DUMMYFUNCTION("""COMPUTED_VALUE"""),"Co-Founder &amp; CEO")</f>
        <v>Co-Founder &amp; CEO</v>
      </c>
      <c r="D558" s="27" t="str">
        <f>IFERROR(__xludf.DUMMYFUNCTION("""COMPUTED_VALUE"""),"linkedin.com/in/viveksrivastava")</f>
        <v>linkedin.com/in/viveksrivastava</v>
      </c>
      <c r="E558" s="17"/>
      <c r="F558" s="17"/>
      <c r="G558" s="17"/>
      <c r="H558" s="17"/>
    </row>
    <row r="559">
      <c r="A559" s="17" t="str">
        <f>IFERROR(__xludf.DUMMYFUNCTION("""COMPUTED_VALUE"""),"Head Digital Works")</f>
        <v>Head Digital Works</v>
      </c>
      <c r="B559" s="17" t="str">
        <f>IFERROR(__xludf.DUMMYFUNCTION("""COMPUTED_VALUE"""),"Deepak Gullapalli")</f>
        <v>Deepak Gullapalli</v>
      </c>
      <c r="C559" s="17" t="str">
        <f>IFERROR(__xludf.DUMMYFUNCTION("""COMPUTED_VALUE"""),"Founder &amp; CEO")</f>
        <v>Founder &amp; CEO</v>
      </c>
      <c r="D559" s="27" t="str">
        <f>IFERROR(__xludf.DUMMYFUNCTION("""COMPUTED_VALUE"""),"linkedin.com/in/deepak-gullapalli")</f>
        <v>linkedin.com/in/deepak-gullapalli</v>
      </c>
      <c r="E559" s="17"/>
      <c r="F559" s="17"/>
      <c r="G559" s="17"/>
      <c r="H559" s="17"/>
    </row>
    <row r="560">
      <c r="A560" s="17" t="str">
        <f>IFERROR(__xludf.DUMMYFUNCTION("""COMPUTED_VALUE"""),"Hero Electric")</f>
        <v>Hero Electric</v>
      </c>
      <c r="B560" s="17" t="str">
        <f>IFERROR(__xludf.DUMMYFUNCTION("""COMPUTED_VALUE"""),"Naveen Munjal")</f>
        <v>Naveen Munjal</v>
      </c>
      <c r="C560" s="17" t="str">
        <f>IFERROR(__xludf.DUMMYFUNCTION("""COMPUTED_VALUE"""),"MD")</f>
        <v>MD</v>
      </c>
      <c r="D560" s="27" t="str">
        <f>IFERROR(__xludf.DUMMYFUNCTION("""COMPUTED_VALUE"""),"linkedin.com/in/naveenmunjal")</f>
        <v>linkedin.com/in/naveenmunjal</v>
      </c>
      <c r="E560" s="17"/>
      <c r="F560" s="17"/>
      <c r="G560" s="17"/>
      <c r="H560" s="17"/>
    </row>
    <row r="561">
      <c r="A561" s="17" t="str">
        <f>IFERROR(__xludf.DUMMYFUNCTION("""COMPUTED_VALUE"""),"Hero Fincorp")</f>
        <v>Hero Fincorp</v>
      </c>
      <c r="B561" s="17" t="str">
        <f>IFERROR(__xludf.DUMMYFUNCTION("""COMPUTED_VALUE"""),"Abhimanyu Munjal")</f>
        <v>Abhimanyu Munjal</v>
      </c>
      <c r="C561" s="17" t="str">
        <f>IFERROR(__xludf.DUMMYFUNCTION("""COMPUTED_VALUE"""),"Jt. MD &amp; CEO")</f>
        <v>Jt. MD &amp; CEO</v>
      </c>
      <c r="D561" s="27" t="str">
        <f>IFERROR(__xludf.DUMMYFUNCTION("""COMPUTED_VALUE"""),"linkedin.com/in/abhimanyumunjal")</f>
        <v>linkedin.com/in/abhimanyumunjal</v>
      </c>
      <c r="E561" s="17"/>
      <c r="F561" s="17"/>
      <c r="G561" s="17"/>
      <c r="H561" s="17"/>
    </row>
    <row r="562">
      <c r="A562" s="17" t="str">
        <f>IFERROR(__xludf.DUMMYFUNCTION("""COMPUTED_VALUE"""),"Hevo Data")</f>
        <v>Hevo Data</v>
      </c>
      <c r="B562" s="17" t="str">
        <f>IFERROR(__xludf.DUMMYFUNCTION("""COMPUTED_VALUE"""),"Mohit Garg")</f>
        <v>Mohit Garg</v>
      </c>
      <c r="C562" s="17" t="str">
        <f>IFERROR(__xludf.DUMMYFUNCTION("""COMPUTED_VALUE"""),"Co-Founder &amp; CEO")</f>
        <v>Co-Founder &amp; CEO</v>
      </c>
      <c r="D562" s="27" t="str">
        <f>IFERROR(__xludf.DUMMYFUNCTION("""COMPUTED_VALUE"""),"linkedin.com/in/mohitgarg")</f>
        <v>linkedin.com/in/mohitgarg</v>
      </c>
      <c r="E562" s="17"/>
      <c r="F562" s="17"/>
      <c r="G562" s="17"/>
      <c r="H562" s="17"/>
    </row>
    <row r="563">
      <c r="A563" s="17" t="str">
        <f>IFERROR(__xludf.DUMMYFUNCTION("""COMPUTED_VALUE"""),"Hindustan Power")</f>
        <v>Hindustan Power</v>
      </c>
      <c r="B563" s="17" t="str">
        <f>IFERROR(__xludf.DUMMYFUNCTION("""COMPUTED_VALUE"""),"Ratul Puri")</f>
        <v>Ratul Puri</v>
      </c>
      <c r="C563" s="17" t="str">
        <f>IFERROR(__xludf.DUMMYFUNCTION("""COMPUTED_VALUE"""),"Chairman")</f>
        <v>Chairman</v>
      </c>
      <c r="D563" s="27" t="str">
        <f>IFERROR(__xludf.DUMMYFUNCTION("""COMPUTED_VALUE"""),"linkedin.com/in/ratulpuri")</f>
        <v>linkedin.com/in/ratulpuri</v>
      </c>
      <c r="E563" s="17"/>
      <c r="F563" s="17"/>
      <c r="G563" s="17"/>
      <c r="H563" s="17"/>
    </row>
    <row r="564">
      <c r="A564" s="27" t="str">
        <f>IFERROR(__xludf.DUMMYFUNCTION("""COMPUTED_VALUE"""),"Housing.com")</f>
        <v>Housing.com</v>
      </c>
      <c r="B564" s="17" t="str">
        <f>IFERROR(__xludf.DUMMYFUNCTION("""COMPUTED_VALUE"""),"Dhruv Agarwala")</f>
        <v>Dhruv Agarwala</v>
      </c>
      <c r="C564" s="17" t="str">
        <f>IFERROR(__xludf.DUMMYFUNCTION("""COMPUTED_VALUE"""),"Group CEO")</f>
        <v>Group CEO</v>
      </c>
      <c r="D564" s="27" t="str">
        <f>IFERROR(__xludf.DUMMYFUNCTION("""COMPUTED_VALUE"""),"linkedin.com/in/dhruv-agarwala")</f>
        <v>linkedin.com/in/dhruv-agarwala</v>
      </c>
      <c r="E564" s="17"/>
      <c r="F564" s="17"/>
      <c r="G564" s="17"/>
      <c r="H564" s="17"/>
    </row>
    <row r="565">
      <c r="A565" s="17" t="str">
        <f>IFERROR(__xludf.DUMMYFUNCTION("""COMPUTED_VALUE"""),"Husk Power")</f>
        <v>Husk Power</v>
      </c>
      <c r="B565" s="17" t="str">
        <f>IFERROR(__xludf.DUMMYFUNCTION("""COMPUTED_VALUE"""),"Manoj Sinha")</f>
        <v>Manoj Sinha</v>
      </c>
      <c r="C565" s="17" t="str">
        <f>IFERROR(__xludf.DUMMYFUNCTION("""COMPUTED_VALUE"""),"Co-Founder &amp; CEO")</f>
        <v>Co-Founder &amp; CEO</v>
      </c>
      <c r="D565" s="27" t="str">
        <f>IFERROR(__xludf.DUMMYFUNCTION("""COMPUTED_VALUE"""),"linkedin.com/in/manojsinha")</f>
        <v>linkedin.com/in/manojsinha</v>
      </c>
      <c r="E565" s="17"/>
      <c r="F565" s="17"/>
      <c r="G565" s="17"/>
      <c r="H565" s="17"/>
    </row>
    <row r="566">
      <c r="A566" s="17" t="str">
        <f>IFERROR(__xludf.DUMMYFUNCTION("""COMPUTED_VALUE"""),"IBS Software")</f>
        <v>IBS Software</v>
      </c>
      <c r="B566" s="17" t="str">
        <f>IFERROR(__xludf.DUMMYFUNCTION("""COMPUTED_VALUE"""),"V K Mathews")</f>
        <v>V K Mathews</v>
      </c>
      <c r="C566" s="17" t="str">
        <f>IFERROR(__xludf.DUMMYFUNCTION("""COMPUTED_VALUE"""),"Founder &amp; Chairman")</f>
        <v>Founder &amp; Chairman</v>
      </c>
      <c r="D566" s="27" t="str">
        <f>IFERROR(__xludf.DUMMYFUNCTION("""COMPUTED_VALUE"""),"linkedin.com/in/vkmathews")</f>
        <v>linkedin.com/in/vkmathews</v>
      </c>
      <c r="E566" s="17"/>
      <c r="F566" s="17"/>
      <c r="G566" s="17"/>
      <c r="H566" s="17"/>
    </row>
    <row r="567">
      <c r="A567" s="17" t="str">
        <f>IFERROR(__xludf.DUMMYFUNCTION("""COMPUTED_VALUE"""),"ID Fresh Food")</f>
        <v>ID Fresh Food</v>
      </c>
      <c r="B567" s="17" t="str">
        <f>IFERROR(__xludf.DUMMYFUNCTION("""COMPUTED_VALUE"""),"PC Musthafa")</f>
        <v>PC Musthafa</v>
      </c>
      <c r="C567" s="17" t="str">
        <f>IFERROR(__xludf.DUMMYFUNCTION("""COMPUTED_VALUE"""),"Co-Founder &amp; CEO")</f>
        <v>Co-Founder &amp; CEO</v>
      </c>
      <c r="D567" s="27" t="str">
        <f>IFERROR(__xludf.DUMMYFUNCTION("""COMPUTED_VALUE"""),"linkedin.com/in/pcmusthafa")</f>
        <v>linkedin.com/in/pcmusthafa</v>
      </c>
      <c r="E567" s="17"/>
      <c r="F567" s="17"/>
      <c r="G567" s="17"/>
      <c r="H567" s="17"/>
    </row>
    <row r="568">
      <c r="A568" s="17" t="str">
        <f>IFERROR(__xludf.DUMMYFUNCTION("""COMPUTED_VALUE"""),"IDfy")</f>
        <v>IDfy</v>
      </c>
      <c r="B568" s="17" t="str">
        <f>IFERROR(__xludf.DUMMYFUNCTION("""COMPUTED_VALUE"""),"Ashok Hariharan")</f>
        <v>Ashok Hariharan</v>
      </c>
      <c r="C568" s="17" t="str">
        <f>IFERROR(__xludf.DUMMYFUNCTION("""COMPUTED_VALUE"""),"Founder &amp; CEO")</f>
        <v>Founder &amp; CEO</v>
      </c>
      <c r="D568" s="27" t="str">
        <f>IFERROR(__xludf.DUMMYFUNCTION("""COMPUTED_VALUE"""),"linkedin.com/in/ashokhariharan")</f>
        <v>linkedin.com/in/ashokhariharan</v>
      </c>
      <c r="E568" s="17"/>
      <c r="F568" s="17"/>
      <c r="G568" s="17"/>
      <c r="H568" s="17"/>
    </row>
    <row r="569">
      <c r="A569" s="17" t="str">
        <f>IFERROR(__xludf.DUMMYFUNCTION("""COMPUTED_VALUE"""),"Increff")</f>
        <v>Increff</v>
      </c>
      <c r="B569" s="17" t="str">
        <f>IFERROR(__xludf.DUMMYFUNCTION("""COMPUTED_VALUE"""),"Rajul Jain")</f>
        <v>Rajul Jain</v>
      </c>
      <c r="C569" s="17" t="str">
        <f>IFERROR(__xludf.DUMMYFUNCTION("""COMPUTED_VALUE"""),"Co-Founder &amp; CEO")</f>
        <v>Co-Founder &amp; CEO</v>
      </c>
      <c r="D569" s="27" t="str">
        <f>IFERROR(__xludf.DUMMYFUNCTION("""COMPUTED_VALUE"""),"linkedin.com/in/rajul-jain")</f>
        <v>linkedin.com/in/rajul-jain</v>
      </c>
      <c r="E569" s="17"/>
      <c r="F569" s="17"/>
      <c r="G569" s="17"/>
      <c r="H569" s="17"/>
    </row>
    <row r="570">
      <c r="A570" s="17" t="str">
        <f>IFERROR(__xludf.DUMMYFUNCTION("""COMPUTED_VALUE"""),"Innoviti")</f>
        <v>Innoviti</v>
      </c>
      <c r="B570" s="17" t="str">
        <f>IFERROR(__xludf.DUMMYFUNCTION("""COMPUTED_VALUE"""),"Rajeev Agrawal")</f>
        <v>Rajeev Agrawal</v>
      </c>
      <c r="C570" s="17" t="str">
        <f>IFERROR(__xludf.DUMMYFUNCTION("""COMPUTED_VALUE"""),"Founder &amp; CEO")</f>
        <v>Founder &amp; CEO</v>
      </c>
      <c r="D570" s="27" t="str">
        <f>IFERROR(__xludf.DUMMYFUNCTION("""COMPUTED_VALUE"""),"linkedin.com/in/rajeevagrawal")</f>
        <v>linkedin.com/in/rajeevagrawal</v>
      </c>
      <c r="E570" s="17"/>
      <c r="F570" s="17"/>
      <c r="G570" s="17"/>
      <c r="H570" s="17"/>
    </row>
    <row r="571">
      <c r="A571" s="17" t="str">
        <f>IFERROR(__xludf.DUMMYFUNCTION("""COMPUTED_VALUE"""),"ITQ Technologies")</f>
        <v>ITQ Technologies</v>
      </c>
      <c r="B571" s="17" t="str">
        <f>IFERROR(__xludf.DUMMYFUNCTION("""COMPUTED_VALUE"""),"Dr. L.B. Singhal")</f>
        <v>Dr. L.B. Singhal</v>
      </c>
      <c r="C571" s="17" t="str">
        <f>IFERROR(__xludf.DUMMYFUNCTION("""COMPUTED_VALUE"""),"Director")</f>
        <v>Director</v>
      </c>
      <c r="D571" s="17" t="str">
        <f>IFERROR(__xludf.DUMMYFUNCTION("""COMPUTED_VALUE"""),"-")</f>
        <v>-</v>
      </c>
      <c r="E571" s="17"/>
      <c r="F571" s="17"/>
      <c r="G571" s="17"/>
      <c r="H571" s="17"/>
    </row>
    <row r="572">
      <c r="A572" s="17" t="str">
        <f>IFERROR(__xludf.DUMMYFUNCTION("""COMPUTED_VALUE"""),"Jai Kisan")</f>
        <v>Jai Kisan</v>
      </c>
      <c r="B572" s="17" t="str">
        <f>IFERROR(__xludf.DUMMYFUNCTION("""COMPUTED_VALUE"""),"Arjun Ahluwalia")</f>
        <v>Arjun Ahluwalia</v>
      </c>
      <c r="C572" s="17" t="str">
        <f>IFERROR(__xludf.DUMMYFUNCTION("""COMPUTED_VALUE"""),"Co-Founder &amp; CEO")</f>
        <v>Co-Founder &amp; CEO</v>
      </c>
      <c r="D572" s="27" t="str">
        <f>IFERROR(__xludf.DUMMYFUNCTION("""COMPUTED_VALUE"""),"linkedin.com/in/arjunahluwalia")</f>
        <v>linkedin.com/in/arjunahluwalia</v>
      </c>
      <c r="E572" s="17"/>
      <c r="F572" s="17"/>
      <c r="G572" s="17"/>
      <c r="H572" s="17"/>
    </row>
    <row r="573">
      <c r="A573" s="17" t="str">
        <f>IFERROR(__xludf.DUMMYFUNCTION("""COMPUTED_VALUE"""),"John Energy")</f>
        <v>John Energy</v>
      </c>
      <c r="B573" s="17" t="str">
        <f>IFERROR(__xludf.DUMMYFUNCTION("""COMPUTED_VALUE"""),"Mahesh Vyas")</f>
        <v>Mahesh Vyas</v>
      </c>
      <c r="C573" s="17" t="str">
        <f>IFERROR(__xludf.DUMMYFUNCTION("""COMPUTED_VALUE"""),"CMD")</f>
        <v>CMD</v>
      </c>
      <c r="D573" s="27" t="str">
        <f>IFERROR(__xludf.DUMMYFUNCTION("""COMPUTED_VALUE"""),"linkedin.com/in/mahesh-vyas")</f>
        <v>linkedin.com/in/mahesh-vyas</v>
      </c>
      <c r="E573" s="17"/>
      <c r="F573" s="17"/>
      <c r="G573" s="17"/>
      <c r="H573" s="17"/>
    </row>
    <row r="574">
      <c r="A574" s="17" t="str">
        <f>IFERROR(__xludf.DUMMYFUNCTION("""COMPUTED_VALUE"""),"JoulesToWatts")</f>
        <v>JoulesToWatts</v>
      </c>
      <c r="B574" s="17" t="str">
        <f>IFERROR(__xludf.DUMMYFUNCTION("""COMPUTED_VALUE"""),"Priti Sawant")</f>
        <v>Priti Sawant</v>
      </c>
      <c r="C574" s="17" t="str">
        <f>IFERROR(__xludf.DUMMYFUNCTION("""COMPUTED_VALUE"""),"Founder &amp; CEO")</f>
        <v>Founder &amp; CEO</v>
      </c>
      <c r="D574" s="27" t="str">
        <f>IFERROR(__xludf.DUMMYFUNCTION("""COMPUTED_VALUE"""),"linkedin.com/in/priti-sawant")</f>
        <v>linkedin.com/in/priti-sawant</v>
      </c>
      <c r="E574" s="17"/>
      <c r="F574" s="17"/>
      <c r="G574" s="17"/>
      <c r="H574" s="17"/>
    </row>
    <row r="575">
      <c r="A575" s="17" t="str">
        <f>IFERROR(__xludf.DUMMYFUNCTION("""COMPUTED_VALUE"""),"Just Buy Live")</f>
        <v>Just Buy Live</v>
      </c>
      <c r="B575" s="17" t="str">
        <f>IFERROR(__xludf.DUMMYFUNCTION("""COMPUTED_VALUE"""),"Sahil Sani")</f>
        <v>Sahil Sani</v>
      </c>
      <c r="C575" s="17" t="str">
        <f>IFERROR(__xludf.DUMMYFUNCTION("""COMPUTED_VALUE"""),"Founder")</f>
        <v>Founder</v>
      </c>
      <c r="D575" s="27" t="str">
        <f>IFERROR(__xludf.DUMMYFUNCTION("""COMPUTED_VALUE"""),"linkedin.com/in/sahilsani")</f>
        <v>linkedin.com/in/sahilsani</v>
      </c>
      <c r="E575" s="17"/>
      <c r="F575" s="17"/>
      <c r="G575" s="17"/>
      <c r="H575" s="17"/>
    </row>
    <row r="576">
      <c r="A576" s="17" t="str">
        <f>IFERROR(__xludf.DUMMYFUNCTION("""COMPUTED_VALUE"""),"Kabira Mobility")</f>
        <v>Kabira Mobility</v>
      </c>
      <c r="B576" s="17" t="str">
        <f>IFERROR(__xludf.DUMMYFUNCTION("""COMPUTED_VALUE"""),"Jaibir Siwach")</f>
        <v>Jaibir Siwach</v>
      </c>
      <c r="C576" s="17" t="str">
        <f>IFERROR(__xludf.DUMMYFUNCTION("""COMPUTED_VALUE"""),"CEO")</f>
        <v>CEO</v>
      </c>
      <c r="D576" s="27" t="str">
        <f>IFERROR(__xludf.DUMMYFUNCTION("""COMPUTED_VALUE"""),"linkedin.com/in/jaibirsiwach")</f>
        <v>linkedin.com/in/jaibirsiwach</v>
      </c>
      <c r="E576" s="17"/>
      <c r="F576" s="17"/>
      <c r="G576" s="17"/>
      <c r="H576" s="17"/>
    </row>
    <row r="577">
      <c r="A577" s="17" t="str">
        <f>IFERROR(__xludf.DUMMYFUNCTION("""COMPUTED_VALUE"""),"Kale Logistics")</f>
        <v>Kale Logistics</v>
      </c>
      <c r="B577" s="17" t="str">
        <f>IFERROR(__xludf.DUMMYFUNCTION("""COMPUTED_VALUE"""),"Amar More")</f>
        <v>Amar More</v>
      </c>
      <c r="C577" s="17" t="str">
        <f>IFERROR(__xludf.DUMMYFUNCTION("""COMPUTED_VALUE"""),"Co-Founder &amp; CEO")</f>
        <v>Co-Founder &amp; CEO</v>
      </c>
      <c r="D577" s="27" t="str">
        <f>IFERROR(__xludf.DUMMYFUNCTION("""COMPUTED_VALUE"""),"linkedin.com/in/amarmore")</f>
        <v>linkedin.com/in/amarmore</v>
      </c>
      <c r="E577" s="17"/>
      <c r="F577" s="17"/>
      <c r="G577" s="17"/>
      <c r="H577" s="17"/>
    </row>
    <row r="578">
      <c r="A578" s="17" t="str">
        <f>IFERROR(__xludf.DUMMYFUNCTION("""COMPUTED_VALUE"""),"Kiwi")</f>
        <v>Kiwi</v>
      </c>
      <c r="B578" s="17" t="str">
        <f>IFERROR(__xludf.DUMMYFUNCTION("""COMPUTED_VALUE"""),"Siddharth Mehta")</f>
        <v>Siddharth Mehta</v>
      </c>
      <c r="C578" s="17" t="str">
        <f>IFERROR(__xludf.DUMMYFUNCTION("""COMPUTED_VALUE"""),"Co-Founder")</f>
        <v>Co-Founder</v>
      </c>
      <c r="D578" s="27" t="str">
        <f>IFERROR(__xludf.DUMMYFUNCTION("""COMPUTED_VALUE"""),"linkedin.com/in/siddharth-mehta")</f>
        <v>linkedin.com/in/siddharth-mehta</v>
      </c>
      <c r="E578" s="17"/>
      <c r="F578" s="17"/>
      <c r="G578" s="17"/>
      <c r="H578" s="17"/>
    </row>
    <row r="579">
      <c r="A579" s="17" t="str">
        <f>IFERROR(__xludf.DUMMYFUNCTION("""COMPUTED_VALUE"""),"LeadsConnect")</f>
        <v>LeadsConnect</v>
      </c>
      <c r="B579" s="17" t="str">
        <f>IFERROR(__xludf.DUMMYFUNCTION("""COMPUTED_VALUE"""),"Navneet Ravikar")</f>
        <v>Navneet Ravikar</v>
      </c>
      <c r="C579" s="17" t="str">
        <f>IFERROR(__xludf.DUMMYFUNCTION("""COMPUTED_VALUE"""),"CMD")</f>
        <v>CMD</v>
      </c>
      <c r="D579" s="27" t="str">
        <f>IFERROR(__xludf.DUMMYFUNCTION("""COMPUTED_VALUE"""),"linkedin.com/in/siddharth-mehta")</f>
        <v>linkedin.com/in/siddharth-mehta</v>
      </c>
      <c r="E579" s="17"/>
      <c r="F579" s="17"/>
      <c r="G579" s="17"/>
      <c r="H579" s="17"/>
    </row>
    <row r="580">
      <c r="A580" s="17" t="str">
        <f>IFERROR(__xludf.DUMMYFUNCTION("""COMPUTED_VALUE"""),"Leena AI")</f>
        <v>Leena AI</v>
      </c>
      <c r="B580" s="17" t="str">
        <f>IFERROR(__xludf.DUMMYFUNCTION("""COMPUTED_VALUE"""),"Adit Jain")</f>
        <v>Adit Jain</v>
      </c>
      <c r="C580" s="17" t="str">
        <f>IFERROR(__xludf.DUMMYFUNCTION("""COMPUTED_VALUE"""),"Co-Founder &amp; CEO")</f>
        <v>Co-Founder &amp; CEO</v>
      </c>
      <c r="D580" s="27" t="str">
        <f>IFERROR(__xludf.DUMMYFUNCTION("""COMPUTED_VALUE"""),"linkedin.com/in/siddharth-mehta")</f>
        <v>linkedin.com/in/siddharth-mehta</v>
      </c>
      <c r="E580" s="17"/>
      <c r="F580" s="17"/>
      <c r="G580" s="17"/>
      <c r="H580" s="17"/>
    </row>
    <row r="581">
      <c r="A581" s="17" t="str">
        <f>IFERROR(__xludf.DUMMYFUNCTION("""COMPUTED_VALUE"""),"Livepure")</f>
        <v>Livepure</v>
      </c>
      <c r="B581" s="17" t="str">
        <f>IFERROR(__xludf.DUMMYFUNCTION("""COMPUTED_VALUE"""),"Rakesh Malhotra")</f>
        <v>Rakesh Malhotra</v>
      </c>
      <c r="C581" s="17" t="str">
        <f>IFERROR(__xludf.DUMMYFUNCTION("""COMPUTED_VALUE"""),"Founder")</f>
        <v>Founder</v>
      </c>
      <c r="D581" s="27" t="str">
        <f>IFERROR(__xludf.DUMMYFUNCTION("""COMPUTED_VALUE"""),"linkedin.com/in/siddharth-mehta")</f>
        <v>linkedin.com/in/siddharth-mehta</v>
      </c>
      <c r="E581" s="17"/>
      <c r="F581" s="17" t="str">
        <f>IFERROR(__xludf.DUMMYFUNCTION("""COMPUTED_VALUE"""),"rakesh@sar-group.com")</f>
        <v>rakesh@sar-group.com</v>
      </c>
      <c r="G581" s="17"/>
      <c r="H581" s="17"/>
    </row>
    <row r="582">
      <c r="A582" s="17" t="str">
        <f>IFERROR(__xludf.DUMMYFUNCTION("""COMPUTED_VALUE"""),"LoadShare")</f>
        <v>LoadShare</v>
      </c>
      <c r="B582" s="17" t="str">
        <f>IFERROR(__xludf.DUMMYFUNCTION("""COMPUTED_VALUE"""),"Raghuram Talluri")</f>
        <v>Raghuram Talluri</v>
      </c>
      <c r="C582" s="17" t="str">
        <f>IFERROR(__xludf.DUMMYFUNCTION("""COMPUTED_VALUE"""),"Co-Founder &amp; CEO")</f>
        <v>Co-Founder &amp; CEO</v>
      </c>
      <c r="D582" s="27" t="str">
        <f>IFERROR(__xludf.DUMMYFUNCTION("""COMPUTED_VALUE"""),"linkedin.com/in/siddharth-mehta")</f>
        <v>linkedin.com/in/siddharth-mehta</v>
      </c>
      <c r="E582" s="17"/>
      <c r="F582" s="17" t="str">
        <f>IFERROR(__xludf.DUMMYFUNCTION("""COMPUTED_VALUE"""),"raghuram@loadshare.net, talluriraghuram@gmail.com")</f>
        <v>raghuram@loadshare.net, talluriraghuram@gmail.com</v>
      </c>
      <c r="G582" s="17"/>
      <c r="H582" s="17"/>
    </row>
    <row r="583">
      <c r="A583" s="17" t="str">
        <f>IFERROR(__xludf.DUMMYFUNCTION("""COMPUTED_VALUE"""),"LocoNav")</f>
        <v>LocoNav</v>
      </c>
      <c r="B583" s="17" t="str">
        <f>IFERROR(__xludf.DUMMYFUNCTION("""COMPUTED_VALUE"""),"Shridhar Gupta")</f>
        <v>Shridhar Gupta</v>
      </c>
      <c r="C583" s="17" t="str">
        <f>IFERROR(__xludf.DUMMYFUNCTION("""COMPUTED_VALUE"""),"Co-Founder")</f>
        <v>Co-Founder</v>
      </c>
      <c r="D583" s="27" t="str">
        <f>IFERROR(__xludf.DUMMYFUNCTION("""COMPUTED_VALUE"""),"linkedin.com/in/siddharth-mehta")</f>
        <v>linkedin.com/in/siddharth-mehta</v>
      </c>
      <c r="E583" s="17"/>
      <c r="F583" s="17" t="str">
        <f>IFERROR(__xludf.DUMMYFUNCTION("""COMPUTED_VALUE"""),"shridhar@loconav.com")</f>
        <v>shridhar@loconav.com</v>
      </c>
      <c r="G583" s="17"/>
      <c r="H583" s="17"/>
    </row>
    <row r="584">
      <c r="A584" s="17" t="str">
        <f>IFERROR(__xludf.DUMMYFUNCTION("""COMPUTED_VALUE"""),"Log9 Materials")</f>
        <v>Log9 Materials</v>
      </c>
      <c r="B584" s="17" t="str">
        <f>IFERROR(__xludf.DUMMYFUNCTION("""COMPUTED_VALUE"""),"Akshay Singhal")</f>
        <v>Akshay Singhal</v>
      </c>
      <c r="C584" s="17" t="str">
        <f>IFERROR(__xludf.DUMMYFUNCTION("""COMPUTED_VALUE"""),"Founder &amp; CEO")</f>
        <v>Founder &amp; CEO</v>
      </c>
      <c r="D584" s="27" t="str">
        <f>IFERROR(__xludf.DUMMYFUNCTION("""COMPUTED_VALUE"""),"linkedin.com/in/siddharth-mehta")</f>
        <v>linkedin.com/in/siddharth-mehta</v>
      </c>
      <c r="E584" s="17"/>
      <c r="F584" s="17" t="str">
        <f>IFERROR(__xludf.DUMMYFUNCTION("""COMPUTED_VALUE"""),"akshay@slateup.co, akss.singhal@gmail.com")</f>
        <v>akshay@slateup.co, akss.singhal@gmail.com</v>
      </c>
      <c r="G584" s="17"/>
      <c r="H584" s="17"/>
    </row>
    <row r="585">
      <c r="A585" s="17" t="str">
        <f>IFERROR(__xludf.DUMMYFUNCTION("""COMPUTED_VALUE"""),"Loop Health")</f>
        <v>Loop Health</v>
      </c>
      <c r="B585" s="17" t="str">
        <f>IFERROR(__xludf.DUMMYFUNCTION("""COMPUTED_VALUE"""),"Mayank Kale")</f>
        <v>Mayank Kale</v>
      </c>
      <c r="C585" s="17" t="str">
        <f>IFERROR(__xludf.DUMMYFUNCTION("""COMPUTED_VALUE"""),"Co-Founder &amp; CEO")</f>
        <v>Co-Founder &amp; CEO</v>
      </c>
      <c r="D585" s="27" t="str">
        <f>IFERROR(__xludf.DUMMYFUNCTION("""COMPUTED_VALUE"""),"linkedin.com/in/siddharth-mehta")</f>
        <v>linkedin.com/in/siddharth-mehta</v>
      </c>
      <c r="E585" s="17"/>
      <c r="F585" s="17" t="str">
        <f>IFERROR(__xludf.DUMMYFUNCTION("""COMPUTED_VALUE"""),"kalemayank29@gmail.com")</f>
        <v>kalemayank29@gmail.com</v>
      </c>
      <c r="G585" s="17"/>
      <c r="H585" s="17"/>
    </row>
    <row r="586">
      <c r="A586" s="17" t="str">
        <f>IFERROR(__xludf.DUMMYFUNCTION("""COMPUTED_VALUE"""),"M2P Fintech")</f>
        <v>M2P Fintech</v>
      </c>
      <c r="B586" s="17" t="str">
        <f>IFERROR(__xludf.DUMMYFUNCTION("""COMPUTED_VALUE"""),"Madhusudanan R")</f>
        <v>Madhusudanan R</v>
      </c>
      <c r="C586" s="17" t="str">
        <f>IFERROR(__xludf.DUMMYFUNCTION("""COMPUTED_VALUE"""),"Co-Founder")</f>
        <v>Co-Founder</v>
      </c>
      <c r="D586" s="27" t="str">
        <f>IFERROR(__xludf.DUMMYFUNCTION("""COMPUTED_VALUE"""),"linkedin.com/in/siddharth-mehta")</f>
        <v>linkedin.com/in/siddharth-mehta</v>
      </c>
      <c r="E586" s="17"/>
      <c r="F586" s="17" t="str">
        <f>IFERROR(__xludf.DUMMYFUNCTION("""COMPUTED_VALUE"""),"onlymadhu@gmail.com, onlymadhu@gmail.com")</f>
        <v>onlymadhu@gmail.com, onlymadhu@gmail.com</v>
      </c>
      <c r="G586" s="17"/>
      <c r="H586" s="17"/>
    </row>
    <row r="587">
      <c r="A587" s="17" t="str">
        <f>IFERROR(__xludf.DUMMYFUNCTION("""COMPUTED_VALUE"""),"Magenta")</f>
        <v>Magenta</v>
      </c>
      <c r="B587" s="17" t="str">
        <f>IFERROR(__xludf.DUMMYFUNCTION("""COMPUTED_VALUE"""),"Maxson Lewis")</f>
        <v>Maxson Lewis</v>
      </c>
      <c r="C587" s="17" t="str">
        <f>IFERROR(__xludf.DUMMYFUNCTION("""COMPUTED_VALUE"""),"MD &amp; CEO")</f>
        <v>MD &amp; CEO</v>
      </c>
      <c r="D587" s="27" t="str">
        <f>IFERROR(__xludf.DUMMYFUNCTION("""COMPUTED_VALUE"""),"linkedin.com/in/siddharth-mehta")</f>
        <v>linkedin.com/in/siddharth-mehta</v>
      </c>
      <c r="E587" s="17"/>
      <c r="F587" s="17" t="str">
        <f>IFERROR(__xludf.DUMMYFUNCTION("""COMPUTED_VALUE"""),"maxson.lewis@magentamobility.com, maxsonlewis@gmail.com")</f>
        <v>maxson.lewis@magentamobility.com, maxsonlewis@gmail.com</v>
      </c>
      <c r="G587" s="17"/>
      <c r="H587" s="17"/>
    </row>
    <row r="588">
      <c r="A588" s="17" t="str">
        <f>IFERROR(__xludf.DUMMYFUNCTION("""COMPUTED_VALUE"""),"Mahindra First Choice")</f>
        <v>Mahindra First Choice</v>
      </c>
      <c r="B588" s="17" t="str">
        <f>IFERROR(__xludf.DUMMYFUNCTION("""COMPUTED_VALUE"""),"Ashutosh Pandey")</f>
        <v>Ashutosh Pandey</v>
      </c>
      <c r="C588" s="17" t="str">
        <f>IFERROR(__xludf.DUMMYFUNCTION("""COMPUTED_VALUE"""),"MD &amp; CEO")</f>
        <v>MD &amp; CEO</v>
      </c>
      <c r="D588" s="27" t="str">
        <f>IFERROR(__xludf.DUMMYFUNCTION("""COMPUTED_VALUE"""),"linkedin.com/in/siddharth-mehta")</f>
        <v>linkedin.com/in/siddharth-mehta</v>
      </c>
      <c r="E588" s="17"/>
      <c r="F588" s="17" t="str">
        <f>IFERROR(__xludf.DUMMYFUNCTION("""COMPUTED_VALUE"""),"ceo.mfcwl@mahindra.com, ashutosh.pandey9315@gmail.com")</f>
        <v>ceo.mfcwl@mahindra.com, ashutosh.pandey9315@gmail.com</v>
      </c>
      <c r="G588" s="17"/>
      <c r="H588" s="17"/>
    </row>
    <row r="589">
      <c r="A589" s="17" t="str">
        <f>IFERROR(__xludf.DUMMYFUNCTION("""COMPUTED_VALUE"""),"Manthan")</f>
        <v>Manthan</v>
      </c>
      <c r="B589" s="17" t="str">
        <f>IFERROR(__xludf.DUMMYFUNCTION("""COMPUTED_VALUE"""),"Atul Jalan")</f>
        <v>Atul Jalan</v>
      </c>
      <c r="C589" s="17" t="str">
        <f>IFERROR(__xludf.DUMMYFUNCTION("""COMPUTED_VALUE"""),"Founder &amp; CEO")</f>
        <v>Founder &amp; CEO</v>
      </c>
      <c r="D589" s="27" t="str">
        <f>IFERROR(__xludf.DUMMYFUNCTION("""COMPUTED_VALUE"""),"linkedin.com/in/siddharth-mehta")</f>
        <v>linkedin.com/in/siddharth-mehta</v>
      </c>
      <c r="E589" s="17"/>
      <c r="F589" s="17" t="str">
        <f>IFERROR(__xludf.DUMMYFUNCTION("""COMPUTED_VALUE"""),"atul.jalan@algonomy.com, atul.jalan@manthansystems.com")</f>
        <v>atul.jalan@algonomy.com, atul.jalan@manthansystems.com</v>
      </c>
      <c r="G589" s="17"/>
      <c r="H589" s="17"/>
    </row>
    <row r="590">
      <c r="A590" s="17" t="str">
        <f>IFERROR(__xludf.DUMMYFUNCTION("""COMPUTED_VALUE"""),"MarketsandMarkets")</f>
        <v>MarketsandMarkets</v>
      </c>
      <c r="B590" s="17" t="str">
        <f>IFERROR(__xludf.DUMMYFUNCTION("""COMPUTED_VALUE"""),"Sandeep Sugla")</f>
        <v>Sandeep Sugla</v>
      </c>
      <c r="C590" s="17" t="str">
        <f>IFERROR(__xludf.DUMMYFUNCTION("""COMPUTED_VALUE"""),"Founder &amp; CEO")</f>
        <v>Founder &amp; CEO</v>
      </c>
      <c r="D590" s="27" t="str">
        <f>IFERROR(__xludf.DUMMYFUNCTION("""COMPUTED_VALUE"""),"linkedin.com/in/siddharth-mehta")</f>
        <v>linkedin.com/in/siddharth-mehta</v>
      </c>
      <c r="E590" s="17"/>
      <c r="F590" s="17" t="str">
        <f>IFERROR(__xludf.DUMMYFUNCTION("""COMPUTED_VALUE"""),"sandeep@marketsandmarkets.com")</f>
        <v>sandeep@marketsandmarkets.com</v>
      </c>
      <c r="G590" s="17"/>
      <c r="H590" s="17"/>
    </row>
    <row r="591">
      <c r="A591" s="17" t="str">
        <f>IFERROR(__xludf.DUMMYFUNCTION("""COMPUTED_VALUE"""),"MathCo")</f>
        <v>MathCo</v>
      </c>
      <c r="B591" s="17" t="str">
        <f>IFERROR(__xludf.DUMMYFUNCTION("""COMPUTED_VALUE"""),"Sayandeb Banerjee")</f>
        <v>Sayandeb Banerjee</v>
      </c>
      <c r="C591" s="17" t="str">
        <f>IFERROR(__xludf.DUMMYFUNCTION("""COMPUTED_VALUE"""),"Co-Founder &amp; CEO")</f>
        <v>Co-Founder &amp; CEO</v>
      </c>
      <c r="D591" s="27" t="str">
        <f>IFERROR(__xludf.DUMMYFUNCTION("""COMPUTED_VALUE"""),"linkedin.com/in/siddharth-mehta")</f>
        <v>linkedin.com/in/siddharth-mehta</v>
      </c>
      <c r="E591" s="17"/>
      <c r="F591" s="17" t="str">
        <f>IFERROR(__xludf.DUMMYFUNCTION("""COMPUTED_VALUE"""),"sayandeb@mathco.com, sayandeb@themathcompany.com, sayan1508@gmail.com")</f>
        <v>sayandeb@mathco.com, sayandeb@themathcompany.com, sayan1508@gmail.com</v>
      </c>
      <c r="G591" s="17"/>
      <c r="H591" s="17"/>
    </row>
    <row r="592">
      <c r="A592" s="17" t="str">
        <f>IFERROR(__xludf.DUMMYFUNCTION("""COMPUTED_VALUE"""),"Matrix Cellular")</f>
        <v>Matrix Cellular</v>
      </c>
      <c r="B592" s="17" t="str">
        <f>IFERROR(__xludf.DUMMYFUNCTION("""COMPUTED_VALUE"""),"Gagan Dugal")</f>
        <v>Gagan Dugal</v>
      </c>
      <c r="C592" s="17" t="str">
        <f>IFERROR(__xludf.DUMMYFUNCTION("""COMPUTED_VALUE"""),"Founder")</f>
        <v>Founder</v>
      </c>
      <c r="D592" s="27" t="str">
        <f>IFERROR(__xludf.DUMMYFUNCTION("""COMPUTED_VALUE"""),"linkedin.com/in/siddharth-mehta")</f>
        <v>linkedin.com/in/siddharth-mehta</v>
      </c>
      <c r="E592" s="17"/>
      <c r="F592" s="17" t="str">
        <f>IFERROR(__xludf.DUMMYFUNCTION("""COMPUTED_VALUE"""),"919711862000")</f>
        <v>919711862000</v>
      </c>
      <c r="G592" s="17"/>
      <c r="H592" s="17"/>
    </row>
    <row r="593">
      <c r="A593" s="17" t="str">
        <f>IFERROR(__xludf.DUMMYFUNCTION("""COMPUTED_VALUE"""),"MATTER")</f>
        <v>MATTER</v>
      </c>
      <c r="B593" s="17" t="str">
        <f>IFERROR(__xludf.DUMMYFUNCTION("""COMPUTED_VALUE"""),"Mohal Lalbhai")</f>
        <v>Mohal Lalbhai</v>
      </c>
      <c r="C593" s="17" t="str">
        <f>IFERROR(__xludf.DUMMYFUNCTION("""COMPUTED_VALUE"""),"Founder &amp; CEO")</f>
        <v>Founder &amp; CEO</v>
      </c>
      <c r="D593" s="27" t="str">
        <f>IFERROR(__xludf.DUMMYFUNCTION("""COMPUTED_VALUE"""),"linkedin.com/in/siddharth-mehta")</f>
        <v>linkedin.com/in/siddharth-mehta</v>
      </c>
      <c r="E593" s="17"/>
      <c r="F593" s="17" t="str">
        <f>IFERROR(__xludf.DUMMYFUNCTION("""COMPUTED_VALUE"""),"mohal@matter.in, mrlalbhai@gmail.com")</f>
        <v>mohal@matter.in, mrlalbhai@gmail.com</v>
      </c>
      <c r="G593" s="17"/>
      <c r="H593" s="17"/>
    </row>
    <row r="594">
      <c r="A594" s="17" t="str">
        <f>IFERROR(__xludf.DUMMYFUNCTION("""COMPUTED_VALUE"""),"MedGenome")</f>
        <v>MedGenome</v>
      </c>
      <c r="B594" s="17" t="str">
        <f>IFERROR(__xludf.DUMMYFUNCTION("""COMPUTED_VALUE"""),"Mahesh Pratapneni")</f>
        <v>Mahesh Pratapneni</v>
      </c>
      <c r="C594" s="17" t="str">
        <f>IFERROR(__xludf.DUMMYFUNCTION("""COMPUTED_VALUE"""),"Co-Founder")</f>
        <v>Co-Founder</v>
      </c>
      <c r="D594" s="27" t="str">
        <f>IFERROR(__xludf.DUMMYFUNCTION("""COMPUTED_VALUE"""),"linkedin.com/in/siddharth-mehta")</f>
        <v>linkedin.com/in/siddharth-mehta</v>
      </c>
      <c r="E594" s="17"/>
      <c r="F594" s="17" t="str">
        <f>IFERROR(__xludf.DUMMYFUNCTION("""COMPUTED_VALUE"""),"mahesh.pratapneni@medgenome.com, mahesh@genomeasia100k.com")</f>
        <v>mahesh.pratapneni@medgenome.com, mahesh@genomeasia100k.com</v>
      </c>
      <c r="G594" s="17"/>
      <c r="H594" s="17"/>
    </row>
    <row r="595">
      <c r="A595" s="17" t="str">
        <f>IFERROR(__xludf.DUMMYFUNCTION("""COMPUTED_VALUE"""),"Medikabazaar")</f>
        <v>Medikabazaar</v>
      </c>
      <c r="B595" s="17" t="str">
        <f>IFERROR(__xludf.DUMMYFUNCTION("""COMPUTED_VALUE"""),"Vivek Tiwari")</f>
        <v>Vivek Tiwari</v>
      </c>
      <c r="C595" s="17" t="str">
        <f>IFERROR(__xludf.DUMMYFUNCTION("""COMPUTED_VALUE"""),"Co-Founder &amp; CEO")</f>
        <v>Co-Founder &amp; CEO</v>
      </c>
      <c r="D595" s="27" t="str">
        <f>IFERROR(__xludf.DUMMYFUNCTION("""COMPUTED_VALUE"""),"linkedin.com/in/siddharth-mehta")</f>
        <v>linkedin.com/in/siddharth-mehta</v>
      </c>
      <c r="E595" s="17"/>
      <c r="F595" s="17" t="str">
        <f>IFERROR(__xludf.DUMMYFUNCTION("""COMPUTED_VALUE"""),"vivek.tiwari@medikabazaar.com, vivek.tiwari@medikabazaar.com")</f>
        <v>vivek.tiwari@medikabazaar.com, vivek.tiwari@medikabazaar.com</v>
      </c>
      <c r="G595" s="17"/>
      <c r="H595" s="17"/>
    </row>
    <row r="596">
      <c r="A596" s="17" t="str">
        <f>IFERROR(__xludf.DUMMYFUNCTION("""COMPUTED_VALUE"""),"Mfine")</f>
        <v>Mfine</v>
      </c>
      <c r="B596" s="17" t="str">
        <f>IFERROR(__xludf.DUMMYFUNCTION("""COMPUTED_VALUE"""),"Prasad Kompalli")</f>
        <v>Prasad Kompalli</v>
      </c>
      <c r="C596" s="17" t="str">
        <f>IFERROR(__xludf.DUMMYFUNCTION("""COMPUTED_VALUE"""),"Co-Founder &amp; CEO")</f>
        <v>Co-Founder &amp; CEO</v>
      </c>
      <c r="D596" s="27" t="str">
        <f>IFERROR(__xludf.DUMMYFUNCTION("""COMPUTED_VALUE"""),"linkedin.com/in/siddharth-mehta")</f>
        <v>linkedin.com/in/siddharth-mehta</v>
      </c>
      <c r="E596" s="17"/>
      <c r="F596" s="17" t="str">
        <f>IFERROR(__xludf.DUMMYFUNCTION("""COMPUTED_VALUE"""),"pkompalli@gmail.com")</f>
        <v>pkompalli@gmail.com</v>
      </c>
      <c r="G596" s="17"/>
      <c r="H596" s="17"/>
    </row>
    <row r="597">
      <c r="A597" s="17" t="str">
        <f>IFERROR(__xludf.DUMMYFUNCTION("""COMPUTED_VALUE"""),"Miko")</f>
        <v>Miko</v>
      </c>
      <c r="B597" s="17" t="str">
        <f>IFERROR(__xludf.DUMMYFUNCTION("""COMPUTED_VALUE"""),"Sneh Vaswani")</f>
        <v>Sneh Vaswani</v>
      </c>
      <c r="C597" s="17" t="str">
        <f>IFERROR(__xludf.DUMMYFUNCTION("""COMPUTED_VALUE"""),"Co-Founder &amp; CEO")</f>
        <v>Co-Founder &amp; CEO</v>
      </c>
      <c r="D597" s="27" t="str">
        <f>IFERROR(__xludf.DUMMYFUNCTION("""COMPUTED_VALUE"""),"linkedin.com/in/siddharth-mehta")</f>
        <v>linkedin.com/in/siddharth-mehta</v>
      </c>
      <c r="E597" s="17"/>
      <c r="F597" s="17" t="str">
        <f>IFERROR(__xludf.DUMMYFUNCTION("""COMPUTED_VALUE"""),"sneh@miko.ai, sneh2889@gmail.com")</f>
        <v>sneh@miko.ai, sneh2889@gmail.com</v>
      </c>
      <c r="G597" s="17"/>
      <c r="H597" s="17"/>
    </row>
    <row r="598">
      <c r="A598" s="17" t="str">
        <f>IFERROR(__xludf.DUMMYFUNCTION("""COMPUTED_VALUE"""),"Monedo")</f>
        <v>Monedo</v>
      </c>
      <c r="B598" s="17" t="str">
        <f>IFERROR(__xludf.DUMMYFUNCTION("""COMPUTED_VALUE"""),"Ashish Kohli")</f>
        <v>Ashish Kohli</v>
      </c>
      <c r="C598" s="17" t="str">
        <f>IFERROR(__xludf.DUMMYFUNCTION("""COMPUTED_VALUE"""),"MD")</f>
        <v>MD</v>
      </c>
      <c r="D598" s="27" t="str">
        <f>IFERROR(__xludf.DUMMYFUNCTION("""COMPUTED_VALUE"""),"https://www.linkedin.com/in/ashishkohli77/?lipi=urn%3Ali%3Apage%3Ad_flagship3_profile_view_base%3Bfnhsv1f3TPS6ALdJWq7J7Q%3D%3D#")</f>
        <v>https://www.linkedin.com/in/ashishkohli77/?lipi=urn%3Ali%3Apage%3Ad_flagship3_profile_view_base%3Bfnhsv1f3TPS6ALdJWq7J7Q%3D%3D#</v>
      </c>
      <c r="E598" s="17"/>
      <c r="F598" s="17" t="str">
        <f>IFERROR(__xludf.DUMMYFUNCTION("""COMPUTED_VALUE"""),"ashish.kohli@monedo.in")</f>
        <v>ashish.kohli@monedo.in</v>
      </c>
      <c r="G598" s="17"/>
      <c r="H598" s="17"/>
    </row>
    <row r="599">
      <c r="A599" s="17" t="str">
        <f>IFERROR(__xludf.DUMMYFUNCTION("""COMPUTED_VALUE"""),"Mosaic Wellness")</f>
        <v>Mosaic Wellness</v>
      </c>
      <c r="B599" s="17" t="str">
        <f>IFERROR(__xludf.DUMMYFUNCTION("""COMPUTED_VALUE"""),"Revant Bhate")</f>
        <v>Revant Bhate</v>
      </c>
      <c r="C599" s="17" t="str">
        <f>IFERROR(__xludf.DUMMYFUNCTION("""COMPUTED_VALUE"""),"Co-Founder &amp; CEO")</f>
        <v>Co-Founder &amp; CEO</v>
      </c>
      <c r="D599" s="27" t="str">
        <f>IFERROR(__xludf.DUMMYFUNCTION("""COMPUTED_VALUE"""),"https://www.linkedin.com/in/revant/?lipi=urn%3Ali%3Apage%3Ad_flagship3_profile_view_base_contact_details%3BxnQfTvNFSnmc3UZ6%2BtO91g%3D%3D")</f>
        <v>https://www.linkedin.com/in/revant/?lipi=urn%3Ali%3Apage%3Ad_flagship3_profile_view_base_contact_details%3BxnQfTvNFSnmc3UZ6%2BtO91g%3D%3D</v>
      </c>
      <c r="E599" s="17"/>
      <c r="F599" s="17" t="str">
        <f>IFERROR(__xludf.DUMMYFUNCTION("""COMPUTED_VALUE"""),"revant@mosaicwellness.in, revant.bhate@gmail.com")</f>
        <v>revant@mosaicwellness.in, revant.bhate@gmail.com</v>
      </c>
      <c r="G599" s="17"/>
      <c r="H599" s="17"/>
    </row>
    <row r="600">
      <c r="A600" s="17" t="str">
        <f>IFERROR(__xludf.DUMMYFUNCTION("""COMPUTED_VALUE"""),"Motherhood")</f>
        <v>Motherhood</v>
      </c>
      <c r="B600" s="17" t="str">
        <f>IFERROR(__xludf.DUMMYFUNCTION("""COMPUTED_VALUE"""),"Vijayaraghava Reddy")</f>
        <v>Vijayaraghava Reddy</v>
      </c>
      <c r="C600" s="17" t="str">
        <f>IFERROR(__xludf.DUMMYFUNCTION("""COMPUTED_VALUE"""),"CEO")</f>
        <v>CEO</v>
      </c>
      <c r="D600" s="27" t="str">
        <f>IFERROR(__xludf.DUMMYFUNCTION("""COMPUTED_VALUE"""),"https://www.linkedin.com/in/vijayarathna-venkatraman-83b82656/?lipi=urn%3Ali%3Apage%3Ad_flagship3_profile_view_base%3BaNdD6uCnQtiS%2BeSa8iAf3Q%3D%3D#")</f>
        <v>https://www.linkedin.com/in/vijayarathna-venkatraman-83b82656/?lipi=urn%3Ali%3Apage%3Ad_flagship3_profile_view_base%3BaNdD6uCnQtiS%2BeSa8iAf3Q%3D%3D#</v>
      </c>
      <c r="E600" s="17"/>
      <c r="F600" s="17" t="str">
        <f>IFERROR(__xludf.DUMMYFUNCTION("""COMPUTED_VALUE"""),"vijayarathna.v@gmail.com")</f>
        <v>vijayarathna.v@gmail.com</v>
      </c>
      <c r="G600" s="17"/>
      <c r="H600" s="17"/>
    </row>
    <row r="601">
      <c r="A601" s="17" t="str">
        <f>IFERROR(__xludf.DUMMYFUNCTION("""COMPUTED_VALUE"""),"NetAmbit")</f>
        <v>NetAmbit</v>
      </c>
      <c r="B601" s="17" t="str">
        <f>IFERROR(__xludf.DUMMYFUNCTION("""COMPUTED_VALUE"""),"Girish Batra")</f>
        <v>Girish Batra</v>
      </c>
      <c r="C601" s="17" t="str">
        <f>IFERROR(__xludf.DUMMYFUNCTION("""COMPUTED_VALUE"""),"Founder")</f>
        <v>Founder</v>
      </c>
      <c r="D601" s="27" t="str">
        <f>IFERROR(__xludf.DUMMYFUNCTION("""COMPUTED_VALUE"""),"https://www.linkedin.com/in/girishbatranetambit/?lipi=urn%3Ali%3Apage%3Ad_flagship3_profile_view_base%3BwaogsZL5Qk%2BZN%2B%2BYj3lgNA%3D%3D#")</f>
        <v>https://www.linkedin.com/in/girishbatranetambit/?lipi=urn%3Ali%3Apage%3Ad_flagship3_profile_view_base%3BwaogsZL5Qk%2BZN%2B%2BYj3lgNA%3D%3D#</v>
      </c>
      <c r="E601" s="17"/>
      <c r="F601" s="17" t="str">
        <f>IFERROR(__xludf.DUMMYFUNCTION("""COMPUTED_VALUE"""),"girishbatra@netambit.com")</f>
        <v>girishbatra@netambit.com</v>
      </c>
      <c r="G601" s="17"/>
      <c r="H601" s="17"/>
    </row>
    <row r="602">
      <c r="A602" s="17" t="str">
        <f>IFERROR(__xludf.DUMMYFUNCTION("""COMPUTED_VALUE"""),"NewsDog")</f>
        <v>NewsDog</v>
      </c>
      <c r="B602" s="17" t="str">
        <f>IFERROR(__xludf.DUMMYFUNCTION("""COMPUTED_VALUE"""),"Forrest Chen")</f>
        <v>Forrest Chen</v>
      </c>
      <c r="C602" s="17" t="str">
        <f>IFERROR(__xludf.DUMMYFUNCTION("""COMPUTED_VALUE"""),"Founder")</f>
        <v>Founder</v>
      </c>
      <c r="D602" s="27" t="str">
        <f>IFERROR(__xludf.DUMMYFUNCTION("""COMPUTED_VALUE"""),"https://www.linkedin.com/in/chenyukun/?lipi=urn%3Ali%3Apage%3Ad_flagship3_profile_view_base%3BnCcMACdvTpmBuLnxFEYWTA%3D%3D#")</f>
        <v>https://www.linkedin.com/in/chenyukun/?lipi=urn%3Ali%3Apage%3Ad_flagship3_profile_view_base%3BnCcMACdvTpmBuLnxFEYWTA%3D%3D#</v>
      </c>
      <c r="E602" s="17"/>
      <c r="F602" s="17" t="str">
        <f>IFERROR(__xludf.DUMMYFUNCTION("""COMPUTED_VALUE"""),"chenyukun03@gmail.com")</f>
        <v>chenyukun03@gmail.com</v>
      </c>
      <c r="G602" s="17"/>
      <c r="H602" s="17"/>
    </row>
    <row r="603">
      <c r="A603" s="17" t="str">
        <f>IFERROR(__xludf.DUMMYFUNCTION("""COMPUTED_VALUE"""),"Newspace Research")</f>
        <v>Newspace Research</v>
      </c>
      <c r="B603" s="17" t="str">
        <f>IFERROR(__xludf.DUMMYFUNCTION("""COMPUTED_VALUE"""),"Sameer Joshi")</f>
        <v>Sameer Joshi</v>
      </c>
      <c r="C603" s="17" t="str">
        <f>IFERROR(__xludf.DUMMYFUNCTION("""COMPUTED_VALUE"""),"Founder")</f>
        <v>Founder</v>
      </c>
      <c r="D603" s="27" t="str">
        <f>IFERROR(__xludf.DUMMYFUNCTION("""COMPUTED_VALUE"""),"https://www.linkedin.com/in/sameerjoshi73/?lipi=urn%3Ali%3Apage%3Ad_flagship3_profile_view_base%3BIPPVKspqTfy5QJIJiAYcyw%3D%3D#")</f>
        <v>https://www.linkedin.com/in/sameerjoshi73/?lipi=urn%3Ali%3Apage%3Ad_flagship3_profile_view_base%3BIPPVKspqTfy5QJIJiAYcyw%3D%3D#</v>
      </c>
      <c r="E603" s="17"/>
      <c r="F603" s="17" t="str">
        <f>IFERROR(__xludf.DUMMYFUNCTION("""COMPUTED_VALUE"""),"captsameerjoshi@gmail.com")</f>
        <v>captsameerjoshi@gmail.com</v>
      </c>
      <c r="G603" s="17"/>
      <c r="H603" s="17"/>
    </row>
    <row r="604">
      <c r="A604" s="17" t="str">
        <f>IFERROR(__xludf.DUMMYFUNCTION("""COMPUTED_VALUE"""),"OkCredit")</f>
        <v>OkCredit</v>
      </c>
      <c r="B604" s="17" t="str">
        <f>IFERROR(__xludf.DUMMYFUNCTION("""COMPUTED_VALUE"""),"Harsh Pokharna")</f>
        <v>Harsh Pokharna</v>
      </c>
      <c r="C604" s="17" t="str">
        <f>IFERROR(__xludf.DUMMYFUNCTION("""COMPUTED_VALUE"""),"Co-Founder &amp; CEO")</f>
        <v>Co-Founder &amp; CEO</v>
      </c>
      <c r="D604" s="27" t="str">
        <f>IFERROR(__xludf.DUMMYFUNCTION("""COMPUTED_VALUE"""),"https://www.linkedin.com/in/harsh-pokharna/?lipi=urn%3Ali%3Apage%3Ad_flagship3_profile_view_base%3BH1En%2FlfsSaOTmbGkANxsFw%3D%3D#")</f>
        <v>https://www.linkedin.com/in/harsh-pokharna/?lipi=urn%3Ali%3Apage%3Ad_flagship3_profile_view_base%3BH1En%2FlfsSaOTmbGkANxsFw%3D%3D#</v>
      </c>
      <c r="E604" s="17"/>
      <c r="F604" s="17" t="str">
        <f>IFERROR(__xludf.DUMMYFUNCTION("""COMPUTED_VALUE"""),"harsh@okcredit.in, harsh.81291@gmail.com")</f>
        <v>harsh@okcredit.in, harsh.81291@gmail.com</v>
      </c>
      <c r="G604" s="17"/>
      <c r="H604" s="17"/>
    </row>
    <row r="605">
      <c r="A605" s="17" t="str">
        <f>IFERROR(__xludf.DUMMYFUNCTION("""COMPUTED_VALUE"""),"OneAssist")</f>
        <v>OneAssist</v>
      </c>
      <c r="B605" s="17" t="str">
        <f>IFERROR(__xludf.DUMMYFUNCTION("""COMPUTED_VALUE"""),"Gagan Maini")</f>
        <v>Gagan Maini</v>
      </c>
      <c r="C605" s="17" t="str">
        <f>IFERROR(__xludf.DUMMYFUNCTION("""COMPUTED_VALUE"""),"Co-Founder")</f>
        <v>Co-Founder</v>
      </c>
      <c r="D605" s="27" t="str">
        <f>IFERROR(__xludf.DUMMYFUNCTION("""COMPUTED_VALUE"""),"https://www.linkedin.com/in/gagan-maini-5038542/?lipi=urn%3Ali%3Apage%3Ad_flagship3_profile_view_base%3BCnP83fbzQqW54ekyAIemGA%3D%3D#")</f>
        <v>https://www.linkedin.com/in/gagan-maini-5038542/?lipi=urn%3Ali%3Apage%3Ad_flagship3_profile_view_base%3BCnP83fbzQqW54ekyAIemGA%3D%3D#</v>
      </c>
      <c r="E605" s="17"/>
      <c r="F605" s="17" t="str">
        <f>IFERROR(__xludf.DUMMYFUNCTION("""COMPUTED_VALUE"""),"gagan.maini@oneassist.in")</f>
        <v>gagan.maini@oneassist.in</v>
      </c>
      <c r="G605" s="17"/>
      <c r="H605" s="17"/>
    </row>
    <row r="606">
      <c r="A606" s="17" t="str">
        <f>IFERROR(__xludf.DUMMYFUNCTION("""COMPUTED_VALUE"""),"Perfint Healthcare")</f>
        <v>Perfint Healthcare</v>
      </c>
      <c r="B606" s="17" t="str">
        <f>IFERROR(__xludf.DUMMYFUNCTION("""COMPUTED_VALUE"""),"S. Nandakumar")</f>
        <v>S. Nandakumar</v>
      </c>
      <c r="C606" s="17" t="str">
        <f>IFERROR(__xludf.DUMMYFUNCTION("""COMPUTED_VALUE"""),"CEO")</f>
        <v>CEO</v>
      </c>
      <c r="D606" s="17"/>
      <c r="E606" s="17"/>
      <c r="F606" s="17" t="str">
        <f>IFERROR(__xludf.DUMMYFUNCTION("""COMPUTED_VALUE"""),"nandu@perfinthealthcare.com")</f>
        <v>nandu@perfinthealthcare.com</v>
      </c>
      <c r="G606" s="17"/>
      <c r="H606" s="17"/>
    </row>
    <row r="607">
      <c r="A607" s="17" t="str">
        <f>IFERROR(__xludf.DUMMYFUNCTION("""COMPUTED_VALUE"""),"Pi DATACENTERS")</f>
        <v>Pi DATACENTERS</v>
      </c>
      <c r="B607" s="17" t="str">
        <f>IFERROR(__xludf.DUMMYFUNCTION("""COMPUTED_VALUE"""),"Kalyan Muppaneni")</f>
        <v>Kalyan Muppaneni</v>
      </c>
      <c r="C607" s="17" t="str">
        <f>IFERROR(__xludf.DUMMYFUNCTION("""COMPUTED_VALUE"""),"Founder &amp; CEO")</f>
        <v>Founder &amp; CEO</v>
      </c>
      <c r="D607" s="27" t="str">
        <f>IFERROR(__xludf.DUMMYFUNCTION("""COMPUTED_VALUE"""),"https://www.linkedin.com/in/kalyan-muppaneni-591378b7/?lipi=urn%3Ali%3Apage%3Ad_flagship3_profile_view_base%3BDfngw6IiSGGfqrku17wsbA%3D%3D#")</f>
        <v>https://www.linkedin.com/in/kalyan-muppaneni-591378b7/?lipi=urn%3Ali%3Apage%3Ad_flagship3_profile_view_base%3BDfngw6IiSGGfqrku17wsbA%3D%3D#</v>
      </c>
      <c r="E607" s="17"/>
      <c r="F607" s="17" t="str">
        <f>IFERROR(__xludf.DUMMYFUNCTION("""COMPUTED_VALUE"""),"kalyan@pidatacenters.com, muppaneni@hotmail.com")</f>
        <v>kalyan@pidatacenters.com, muppaneni@hotmail.com</v>
      </c>
      <c r="G607" s="17"/>
      <c r="H607" s="17"/>
    </row>
    <row r="608">
      <c r="A608" s="17" t="str">
        <f>IFERROR(__xludf.DUMMYFUNCTION("""COMPUTED_VALUE"""),"Pixxel")</f>
        <v>Pixxel</v>
      </c>
      <c r="B608" s="17" t="str">
        <f>IFERROR(__xludf.DUMMYFUNCTION("""COMPUTED_VALUE"""),"Awais Ahmed")</f>
        <v>Awais Ahmed</v>
      </c>
      <c r="C608" s="17" t="str">
        <f>IFERROR(__xludf.DUMMYFUNCTION("""COMPUTED_VALUE"""),"Co-Founder &amp; CEO")</f>
        <v>Co-Founder &amp; CEO</v>
      </c>
      <c r="D608" s="27" t="str">
        <f>IFERROR(__xludf.DUMMYFUNCTION("""COMPUTED_VALUE"""),"https://www.linkedin.com/in/awaisahmedna/?locale=%3B%7B%7D&amp;lipi=urn%3Ali%3Apage%3Ad_flagship3_profile_view_base%3BUmjKwF5hSWWnDGMPQIbmYg%3D%3D#")</f>
        <v>https://www.linkedin.com/in/awaisahmedna/?locale=%3B%7B%7D&amp;lipi=urn%3Ali%3Apage%3Ad_flagship3_profile_view_base%3BUmjKwF5hSWWnDGMPQIbmYg%3D%3D#</v>
      </c>
      <c r="E608" s="17"/>
      <c r="F608" s="17" t="str">
        <f>IFERROR(__xludf.DUMMYFUNCTION("""COMPUTED_VALUE"""),"awais@pixxel.co.in")</f>
        <v>awais@pixxel.co.in</v>
      </c>
      <c r="G608" s="17"/>
      <c r="H608" s="17"/>
    </row>
    <row r="609">
      <c r="A609" s="17" t="str">
        <f>IFERROR(__xludf.DUMMYFUNCTION("""COMPUTED_VALUE"""),"Power2SME")</f>
        <v>Power2SME</v>
      </c>
      <c r="B609" s="17" t="str">
        <f>IFERROR(__xludf.DUMMYFUNCTION("""COMPUTED_VALUE"""),"R Narayan")</f>
        <v>R Narayan</v>
      </c>
      <c r="C609" s="17" t="str">
        <f>IFERROR(__xludf.DUMMYFUNCTION("""COMPUTED_VALUE"""),"Founder &amp; CEO")</f>
        <v>Founder &amp; CEO</v>
      </c>
      <c r="D609" s="17"/>
      <c r="E609" s="17"/>
      <c r="F609" s="17" t="str">
        <f>IFERROR(__xludf.DUMMYFUNCTION("""COMPUTED_VALUE"""),"rnarayan@power2sme.com")</f>
        <v>rnarayan@power2sme.com</v>
      </c>
      <c r="G609" s="17"/>
      <c r="H609" s="17"/>
    </row>
    <row r="610">
      <c r="A610" s="17" t="str">
        <f>IFERROR(__xludf.DUMMYFUNCTION("""COMPUTED_VALUE"""),"Pratilipi")</f>
        <v>Pratilipi</v>
      </c>
      <c r="B610" s="17" t="str">
        <f>IFERROR(__xludf.DUMMYFUNCTION("""COMPUTED_VALUE"""),"Ranjeet Pratap Singh")</f>
        <v>Ranjeet Pratap Singh</v>
      </c>
      <c r="C610" s="17" t="str">
        <f>IFERROR(__xludf.DUMMYFUNCTION("""COMPUTED_VALUE"""),"Co-Founder &amp; CEO")</f>
        <v>Co-Founder &amp; CEO</v>
      </c>
      <c r="D610" s="27" t="str">
        <f>IFERROR(__xludf.DUMMYFUNCTION("""COMPUTED_VALUE"""),"https://www.linkedin.com/in/ranjeetpsingh/?lipi=urn%3Ali%3Apage%3Ad_flagship3_profile_view_base_contact_details%3BVXqZfFzNRxOpJWeFfXg0Vg%3D%3D")</f>
        <v>https://www.linkedin.com/in/ranjeetpsingh/?lipi=urn%3Ali%3Apage%3Ad_flagship3_profile_view_base_contact_details%3BVXqZfFzNRxOpJWeFfXg0Vg%3D%3D</v>
      </c>
      <c r="E610" s="17"/>
      <c r="F610" s="17" t="str">
        <f>IFERROR(__xludf.DUMMYFUNCTION("""COMPUTED_VALUE"""),"ranjeet@pratilipi.com, brainmasterrohit@gmail.com")</f>
        <v>ranjeet@pratilipi.com, brainmasterrohit@gmail.com</v>
      </c>
      <c r="G610" s="17"/>
      <c r="H610" s="17"/>
    </row>
    <row r="611">
      <c r="A611" s="17" t="str">
        <f>IFERROR(__xludf.DUMMYFUNCTION("""COMPUTED_VALUE"""),"Pride Hotels")</f>
        <v>Pride Hotels</v>
      </c>
      <c r="B611" s="17" t="str">
        <f>IFERROR(__xludf.DUMMYFUNCTION("""COMPUTED_VALUE"""),"Satyen Jain ")</f>
        <v>Satyen Jain </v>
      </c>
      <c r="C611" s="17" t="str">
        <f>IFERROR(__xludf.DUMMYFUNCTION("""COMPUTED_VALUE"""),"CEO")</f>
        <v>CEO</v>
      </c>
      <c r="D611" s="27" t="str">
        <f>IFERROR(__xludf.DUMMYFUNCTION("""COMPUTED_VALUE"""),"https://www.linkedin.com/in/satyenjain/")</f>
        <v>https://www.linkedin.com/in/satyenjain/</v>
      </c>
      <c r="E611" s="17"/>
      <c r="F611" s="17" t="str">
        <f>IFERROR(__xludf.DUMMYFUNCTION("""COMPUTED_VALUE"""),"gopalesdp@gmail.com")</f>
        <v>gopalesdp@gmail.com</v>
      </c>
      <c r="G611" s="17"/>
      <c r="H611" s="17"/>
    </row>
    <row r="612">
      <c r="A612" s="17" t="str">
        <f>IFERROR(__xludf.DUMMYFUNCTION("""COMPUTED_VALUE"""),"Progcap")</f>
        <v>Progcap</v>
      </c>
      <c r="B612" s="17" t="str">
        <f>IFERROR(__xludf.DUMMYFUNCTION("""COMPUTED_VALUE"""),"Pallavi Shrivastava")</f>
        <v>Pallavi Shrivastava</v>
      </c>
      <c r="C612" s="17" t="str">
        <f>IFERROR(__xludf.DUMMYFUNCTION("""COMPUTED_VALUE"""),"Co-Founder")</f>
        <v>Co-Founder</v>
      </c>
      <c r="D612" s="27" t="str">
        <f>IFERROR(__xludf.DUMMYFUNCTION("""COMPUTED_VALUE"""),"https://www.linkedin.com/in/pallavishrivastava/?originalSubdomain=in")</f>
        <v>https://www.linkedin.com/in/pallavishrivastava/?originalSubdomain=in</v>
      </c>
      <c r="E612" s="17"/>
      <c r="F612" s="17" t="str">
        <f>IFERROR(__xludf.DUMMYFUNCTION("""COMPUTED_VALUE"""),"pallavishrivastava@gmail.com")</f>
        <v>pallavishrivastava@gmail.com</v>
      </c>
      <c r="G612" s="17"/>
      <c r="H612" s="17"/>
    </row>
    <row r="613">
      <c r="A613" s="17" t="str">
        <f>IFERROR(__xludf.DUMMYFUNCTION("""COMPUTED_VALUE"""),"PropertyShare")</f>
        <v>PropertyShare</v>
      </c>
      <c r="B613" s="17" t="str">
        <f>IFERROR(__xludf.DUMMYFUNCTION("""COMPUTED_VALUE"""),"Hashim Khan")</f>
        <v>Hashim Khan</v>
      </c>
      <c r="C613" s="17" t="str">
        <f>IFERROR(__xludf.DUMMYFUNCTION("""COMPUTED_VALUE"""),"Co-Founder")</f>
        <v>Co-Founder</v>
      </c>
      <c r="D613" s="27" t="str">
        <f>IFERROR(__xludf.DUMMYFUNCTION("""COMPUTED_VALUE"""),"linkedin.com/in/hashimkhan?originalSubdomain=in")</f>
        <v>linkedin.com/in/hashimkhan?originalSubdomain=in</v>
      </c>
      <c r="E613" s="17" t="str">
        <f>IFERROR(__xludf.DUMMYFUNCTION("""COMPUTED_VALUE"""),"919980467002")</f>
        <v>919980467002</v>
      </c>
      <c r="F613" s="17" t="str">
        <f>IFERROR(__xludf.DUMMYFUNCTION("""COMPUTED_VALUE"""),"hashimkhan@gmail.com")</f>
        <v>hashimkhan@gmail.com</v>
      </c>
      <c r="G613" s="17"/>
      <c r="H613" s="17"/>
    </row>
    <row r="614">
      <c r="A614" s="17" t="str">
        <f>IFERROR(__xludf.DUMMYFUNCTION("""COMPUTED_VALUE"""),"PURE EV")</f>
        <v>PURE EV</v>
      </c>
      <c r="B614" s="17" t="str">
        <f>IFERROR(__xludf.DUMMYFUNCTION("""COMPUTED_VALUE"""),"Nishanth Dongari")</f>
        <v>Nishanth Dongari</v>
      </c>
      <c r="C614" s="17" t="str">
        <f>IFERROR(__xludf.DUMMYFUNCTION("""COMPUTED_VALUE"""),"Founder")</f>
        <v>Founder</v>
      </c>
      <c r="D614" s="27" t="str">
        <f>IFERROR(__xludf.DUMMYFUNCTION("""COMPUTED_VALUE"""),"https://www.linkedin.com/in/nishanthdongari/?originalSubdomain=in")</f>
        <v>https://www.linkedin.com/in/nishanthdongari/?originalSubdomain=in</v>
      </c>
      <c r="E614" s="17"/>
      <c r="F614" s="17" t="str">
        <f>IFERROR(__xludf.DUMMYFUNCTION("""COMPUTED_VALUE"""),"nishanth@purenergy.co.in")</f>
        <v>nishanth@purenergy.co.in</v>
      </c>
      <c r="G614" s="17"/>
      <c r="H614" s="17"/>
    </row>
    <row r="615">
      <c r="A615" s="17" t="str">
        <f>IFERROR(__xludf.DUMMYFUNCTION("""COMPUTED_VALUE"""),"Purple Style Labs")</f>
        <v>Purple Style Labs</v>
      </c>
      <c r="B615" s="17" t="str">
        <f>IFERROR(__xludf.DUMMYFUNCTION("""COMPUTED_VALUE"""),"Abhishek Agarwal")</f>
        <v>Abhishek Agarwal</v>
      </c>
      <c r="C615" s="17" t="str">
        <f>IFERROR(__xludf.DUMMYFUNCTION("""COMPUTED_VALUE"""),"Founder")</f>
        <v>Founder</v>
      </c>
      <c r="D615" s="27" t="str">
        <f>IFERROR(__xludf.DUMMYFUNCTION("""COMPUTED_VALUE"""),"https://www.linkedin.com/in/abhishek-monty-agarwal-52b17215/?originalSubdomain=in")</f>
        <v>https://www.linkedin.com/in/abhishek-monty-agarwal-52b17215/?originalSubdomain=in</v>
      </c>
      <c r="E615" s="17" t="str">
        <f>IFERROR(__xludf.DUMMYFUNCTION("""COMPUTED_VALUE"""),"919920212819")</f>
        <v>919920212819</v>
      </c>
      <c r="F615" s="17" t="str">
        <f>IFERROR(__xludf.DUMMYFUNCTION("""COMPUTED_VALUE"""),"montyabhishekag@gmail.com")</f>
        <v>montyabhishekag@gmail.com</v>
      </c>
      <c r="G615" s="17"/>
      <c r="H615" s="17"/>
    </row>
    <row r="616">
      <c r="A616" s="17" t="str">
        <f>IFERROR(__xludf.DUMMYFUNCTION("""COMPUTED_VALUE"""),"Qtrove")</f>
        <v>Qtrove</v>
      </c>
      <c r="B616" s="17" t="str">
        <f>IFERROR(__xludf.DUMMYFUNCTION("""COMPUTED_VALUE"""),"Vinamra Pandiya")</f>
        <v>Vinamra Pandiya</v>
      </c>
      <c r="C616" s="17" t="str">
        <f>IFERROR(__xludf.DUMMYFUNCTION("""COMPUTED_VALUE"""),"Founder &amp; CEO")</f>
        <v>Founder &amp; CEO</v>
      </c>
      <c r="D616" s="27" t="str">
        <f>IFERROR(__xludf.DUMMYFUNCTION("""COMPUTED_VALUE"""),"https://www.linkedin.com/in/vinamrapandiya/")</f>
        <v>https://www.linkedin.com/in/vinamrapandiya/</v>
      </c>
      <c r="E616" s="17" t="str">
        <f>IFERROR(__xludf.DUMMYFUNCTION("""COMPUTED_VALUE"""),"919673470832")</f>
        <v>919673470832</v>
      </c>
      <c r="F616" s="17" t="str">
        <f>IFERROR(__xludf.DUMMYFUNCTION("""COMPUTED_VALUE"""),"vinamra007@gmail.com")</f>
        <v>vinamra007@gmail.com</v>
      </c>
      <c r="G616" s="17"/>
      <c r="H616" s="17"/>
    </row>
    <row r="617">
      <c r="A617" s="17" t="str">
        <f>IFERROR(__xludf.DUMMYFUNCTION("""COMPUTED_VALUE"""),"Quizizz")</f>
        <v>Quizizz</v>
      </c>
      <c r="B617" s="17" t="str">
        <f>IFERROR(__xludf.DUMMYFUNCTION("""COMPUTED_VALUE"""),"Ankit Gupta")</f>
        <v>Ankit Gupta</v>
      </c>
      <c r="C617" s="17" t="str">
        <f>IFERROR(__xludf.DUMMYFUNCTION("""COMPUTED_VALUE"""),"Co-Founder &amp; CEO")</f>
        <v>Co-Founder &amp; CEO</v>
      </c>
      <c r="D617" s="27" t="str">
        <f>IFERROR(__xludf.DUMMYFUNCTION("""COMPUTED_VALUE"""),"linkedin.com/in/ankit042")</f>
        <v>linkedin.com/in/ankit042</v>
      </c>
      <c r="E617" s="17" t="str">
        <f>IFERROR(__xludf.DUMMYFUNCTION("""COMPUTED_VALUE"""),"16508231681")</f>
        <v>16508231681</v>
      </c>
      <c r="F617" s="17" t="str">
        <f>IFERROR(__xludf.DUMMYFUNCTION("""COMPUTED_VALUE"""),"ankitatbits@gmail.com")</f>
        <v>ankitatbits@gmail.com</v>
      </c>
      <c r="G617" s="17"/>
      <c r="H617" s="17"/>
    </row>
    <row r="618">
      <c r="A618" s="17" t="str">
        <f>IFERROR(__xludf.DUMMYFUNCTION("""COMPUTED_VALUE"""),"Rays Power Infra")</f>
        <v>Rays Power Infra</v>
      </c>
      <c r="B618" s="17" t="str">
        <f>IFERROR(__xludf.DUMMYFUNCTION("""COMPUTED_VALUE"""),"Ketan Mehta")</f>
        <v>Ketan Mehta</v>
      </c>
      <c r="C618" s="17" t="str">
        <f>IFERROR(__xludf.DUMMYFUNCTION("""COMPUTED_VALUE"""),"MD &amp; CEO")</f>
        <v>MD &amp; CEO</v>
      </c>
      <c r="D618" s="27" t="str">
        <f>IFERROR(__xludf.DUMMYFUNCTION("""COMPUTED_VALUE"""),"linkedin.com/in/ketanmehta")</f>
        <v>linkedin.com/in/ketanmehta</v>
      </c>
      <c r="E618" s="17" t="str">
        <f>IFERROR(__xludf.DUMMYFUNCTION("""COMPUTED_VALUE"""),"918955663663")</f>
        <v>918955663663</v>
      </c>
      <c r="F618" s="17" t="str">
        <f>IFERROR(__xludf.DUMMYFUNCTION("""COMPUTED_VALUE"""),"ketaniitr@gmail.com")</f>
        <v>ketaniitr@gmail.com</v>
      </c>
      <c r="G618" s="17"/>
      <c r="H618" s="17"/>
    </row>
    <row r="619">
      <c r="A619" s="17" t="str">
        <f>IFERROR(__xludf.DUMMYFUNCTION("""COMPUTED_VALUE"""),"RenewBuy")</f>
        <v>RenewBuy</v>
      </c>
      <c r="B619" s="17" t="str">
        <f>IFERROR(__xludf.DUMMYFUNCTION("""COMPUTED_VALUE"""),"Balachander Sekhar")</f>
        <v>Balachander Sekhar</v>
      </c>
      <c r="C619" s="17" t="str">
        <f>IFERROR(__xludf.DUMMYFUNCTION("""COMPUTED_VALUE"""),"CEO")</f>
        <v>CEO</v>
      </c>
      <c r="D619" s="27" t="str">
        <f>IFERROR(__xludf.DUMMYFUNCTION("""COMPUTED_VALUE"""),"linkedin.com/in/balachandersekhar")</f>
        <v>linkedin.com/in/balachandersekhar</v>
      </c>
      <c r="E619" s="17"/>
      <c r="F619" s="17" t="str">
        <f>IFERROR(__xludf.DUMMYFUNCTION("""COMPUTED_VALUE"""),"bala@renewbuy.com")</f>
        <v>bala@renewbuy.com</v>
      </c>
      <c r="G619" s="17"/>
      <c r="H619" s="17"/>
    </row>
    <row r="620">
      <c r="A620" s="17" t="str">
        <f>IFERROR(__xludf.DUMMYFUNCTION("""COMPUTED_VALUE"""),"Reshamandi")</f>
        <v>Reshamandi</v>
      </c>
      <c r="B620" s="17" t="str">
        <f>IFERROR(__xludf.DUMMYFUNCTION("""COMPUTED_VALUE"""),"Mayank Tiwari")</f>
        <v>Mayank Tiwari</v>
      </c>
      <c r="C620" s="17" t="str">
        <f>IFERROR(__xludf.DUMMYFUNCTION("""COMPUTED_VALUE"""),"Founder &amp; CEO")</f>
        <v>Founder &amp; CEO</v>
      </c>
      <c r="D620" s="27" t="str">
        <f>IFERROR(__xludf.DUMMYFUNCTION("""COMPUTED_VALUE"""),"https://www.linkedin.com/in/mayanktiwari1/?originalSubdomain=in")</f>
        <v>https://www.linkedin.com/in/mayanktiwari1/?originalSubdomain=in</v>
      </c>
      <c r="E620" s="17"/>
      <c r="F620" s="17" t="str">
        <f>IFERROR(__xludf.DUMMYFUNCTION("""COMPUTED_VALUE"""),"mayank@reshamandi.com")</f>
        <v>mayank@reshamandi.com</v>
      </c>
      <c r="G620" s="17"/>
      <c r="H620" s="17"/>
    </row>
    <row r="621">
      <c r="A621" s="17" t="str">
        <f>IFERROR(__xludf.DUMMYFUNCTION("""COMPUTED_VALUE"""),"River")</f>
        <v>River</v>
      </c>
      <c r="B621" s="17" t="str">
        <f>IFERROR(__xludf.DUMMYFUNCTION("""COMPUTED_VALUE"""),"Aravind Mani")</f>
        <v>Aravind Mani</v>
      </c>
      <c r="C621" s="17" t="str">
        <f>IFERROR(__xludf.DUMMYFUNCTION("""COMPUTED_VALUE"""),"Co-Founder &amp; CEO")</f>
        <v>Co-Founder &amp; CEO</v>
      </c>
      <c r="D621" s="27" t="str">
        <f>IFERROR(__xludf.DUMMYFUNCTION("""COMPUTED_VALUE"""),"linkedin.com/in/aravindmani")</f>
        <v>linkedin.com/in/aravindmani</v>
      </c>
      <c r="E621" s="17" t="str">
        <f>IFERROR(__xludf.DUMMYFUNCTION("""COMPUTED_VALUE"""),"918754536465")</f>
        <v>918754536465</v>
      </c>
      <c r="F621" s="17" t="str">
        <f>IFERROR(__xludf.DUMMYFUNCTION("""COMPUTED_VALUE"""),"mraravindm@gmail.com")</f>
        <v>mraravindm@gmail.com</v>
      </c>
      <c r="G621" s="17"/>
      <c r="H621" s="17"/>
    </row>
    <row r="622">
      <c r="A622" s="17" t="str">
        <f>IFERROR(__xludf.DUMMYFUNCTION("""COMPUTED_VALUE"""),"Rooter")</f>
        <v>Rooter</v>
      </c>
      <c r="B622" s="17" t="str">
        <f>IFERROR(__xludf.DUMMYFUNCTION("""COMPUTED_VALUE"""),"Piyush Kumar")</f>
        <v>Piyush Kumar</v>
      </c>
      <c r="C622" s="17" t="str">
        <f>IFERROR(__xludf.DUMMYFUNCTION("""COMPUTED_VALUE"""),"Founder &amp; CEO")</f>
        <v>Founder &amp; CEO</v>
      </c>
      <c r="D622" s="27" t="str">
        <f>IFERROR(__xludf.DUMMYFUNCTION("""COMPUTED_VALUE"""),"linkedin.com/in/writetopiyush?originalSubdomain=in")</f>
        <v>linkedin.com/in/writetopiyush?originalSubdomain=in</v>
      </c>
      <c r="E622" s="17"/>
      <c r="F622" s="17" t="str">
        <f>IFERROR(__xludf.DUMMYFUNCTION("""COMPUTED_VALUE"""),"writetopiyush@gmail.com")</f>
        <v>writetopiyush@gmail.com</v>
      </c>
      <c r="G622" s="17"/>
      <c r="H622" s="17"/>
    </row>
    <row r="623">
      <c r="A623" s="17" t="str">
        <f>IFERROR(__xludf.DUMMYFUNCTION("""COMPUTED_VALUE"""),"Saltside")</f>
        <v>Saltside</v>
      </c>
      <c r="B623" s="17" t="str">
        <f>IFERROR(__xludf.DUMMYFUNCTION("""COMPUTED_VALUE"""),"Nils Hammar")</f>
        <v>Nils Hammar</v>
      </c>
      <c r="C623" s="17" t="str">
        <f>IFERROR(__xludf.DUMMYFUNCTION("""COMPUTED_VALUE"""),"Founder")</f>
        <v>Founder</v>
      </c>
      <c r="D623" s="27" t="str">
        <f>IFERROR(__xludf.DUMMYFUNCTION("""COMPUTED_VALUE"""),"linkedin.com/in/nilshammar")</f>
        <v>linkedin.com/in/nilshammar</v>
      </c>
      <c r="E623" s="17" t="str">
        <f>IFERROR(__xludf.DUMMYFUNCTION("""COMPUTED_VALUE"""),"2155477822")</f>
        <v>2155477822</v>
      </c>
      <c r="F623" s="17" t="str">
        <f>IFERROR(__xludf.DUMMYFUNCTION("""COMPUTED_VALUE"""),"nhammar@gmail.com")</f>
        <v>nhammar@gmail.com</v>
      </c>
      <c r="G623" s="17"/>
      <c r="H623" s="17"/>
    </row>
    <row r="624">
      <c r="A624" s="17" t="str">
        <f>IFERROR(__xludf.DUMMYFUNCTION("""COMPUTED_VALUE"""),"Samunnati")</f>
        <v>Samunnati</v>
      </c>
      <c r="B624" s="17" t="str">
        <f>IFERROR(__xludf.DUMMYFUNCTION("""COMPUTED_VALUE"""),"Anil Kumar SG")</f>
        <v>Anil Kumar SG</v>
      </c>
      <c r="C624" s="17" t="str">
        <f>IFERROR(__xludf.DUMMYFUNCTION("""COMPUTED_VALUE"""),"Founder &amp; CEO")</f>
        <v>Founder &amp; CEO</v>
      </c>
      <c r="D624" s="27" t="str">
        <f>IFERROR(__xludf.DUMMYFUNCTION("""COMPUTED_VALUE"""),"https://www.linkedin.com/in/anilkumar-sg/?originalSubdomain=in")</f>
        <v>https://www.linkedin.com/in/anilkumar-sg/?originalSubdomain=in</v>
      </c>
      <c r="E624" s="17" t="str">
        <f>IFERROR(__xludf.DUMMYFUNCTION("""COMPUTED_VALUE"""),"919790866366")</f>
        <v>919790866366</v>
      </c>
      <c r="F624" s="17" t="str">
        <f>IFERROR(__xludf.DUMMYFUNCTION("""COMPUTED_VALUE"""),"sganilkumar@gmail.com")</f>
        <v>sganilkumar@gmail.com</v>
      </c>
      <c r="G624" s="17"/>
      <c r="H624" s="17"/>
    </row>
    <row r="625">
      <c r="A625" s="17" t="str">
        <f>IFERROR(__xludf.DUMMYFUNCTION("""COMPUTED_VALUE"""),"Sarvam AI")</f>
        <v>Sarvam AI</v>
      </c>
      <c r="B625" s="17" t="str">
        <f>IFERROR(__xludf.DUMMYFUNCTION("""COMPUTED_VALUE"""),"Vivek Raghavan")</f>
        <v>Vivek Raghavan</v>
      </c>
      <c r="C625" s="17" t="str">
        <f>IFERROR(__xludf.DUMMYFUNCTION("""COMPUTED_VALUE"""),"Co-Founder")</f>
        <v>Co-Founder</v>
      </c>
      <c r="D625" s="27" t="str">
        <f>IFERROR(__xludf.DUMMYFUNCTION("""COMPUTED_VALUE"""),"https://www.linkedin.com/in/vivek-raghavan-16005424/?originalSubdomain=in")</f>
        <v>https://www.linkedin.com/in/vivek-raghavan-16005424/?originalSubdomain=in</v>
      </c>
      <c r="E625" s="17"/>
      <c r="F625" s="17" t="str">
        <f>IFERROR(__xludf.DUMMYFUNCTION("""COMPUTED_VALUE"""),"vivek@sarvam.ai")</f>
        <v>vivek@sarvam.ai</v>
      </c>
      <c r="G625" s="17"/>
      <c r="H625" s="17"/>
    </row>
    <row r="626">
      <c r="A626" s="17" t="str">
        <f>IFERROR(__xludf.DUMMYFUNCTION("""COMPUTED_VALUE"""),"Scripbox")</f>
        <v>Scripbox</v>
      </c>
      <c r="B626" s="17" t="str">
        <f>IFERROR(__xludf.DUMMYFUNCTION("""COMPUTED_VALUE"""),"Atul Shinghal")</f>
        <v>Atul Shinghal</v>
      </c>
      <c r="C626" s="17" t="str">
        <f>IFERROR(__xludf.DUMMYFUNCTION("""COMPUTED_VALUE"""),"Founder &amp; CEO")</f>
        <v>Founder &amp; CEO</v>
      </c>
      <c r="D626" s="27" t="str">
        <f>IFERROR(__xludf.DUMMYFUNCTION("""COMPUTED_VALUE"""),"linkedin.com/in/atulshinghal")</f>
        <v>linkedin.com/in/atulshinghal</v>
      </c>
      <c r="E626" s="17"/>
      <c r="F626" s="17" t="str">
        <f>IFERROR(__xludf.DUMMYFUNCTION("""COMPUTED_VALUE"""),"atul.shinghal@scripbox.com")</f>
        <v>atul.shinghal@scripbox.com</v>
      </c>
      <c r="G626" s="17"/>
      <c r="H626" s="17"/>
    </row>
    <row r="627">
      <c r="A627" s="17" t="str">
        <f>IFERROR(__xludf.DUMMYFUNCTION("""COMPUTED_VALUE"""),"Seclore")</f>
        <v>Seclore</v>
      </c>
      <c r="B627" s="17" t="str">
        <f>IFERROR(__xludf.DUMMYFUNCTION("""COMPUTED_VALUE"""),"Vishal Gauri ")</f>
        <v>Vishal Gauri </v>
      </c>
      <c r="C627" s="17" t="str">
        <f>IFERROR(__xludf.DUMMYFUNCTION("""COMPUTED_VALUE"""),"Founder &amp; CEO")</f>
        <v>Founder &amp; CEO</v>
      </c>
      <c r="D627" s="27" t="str">
        <f>IFERROR(__xludf.DUMMYFUNCTION("""COMPUTED_VALUE"""),"https://www.linkedin.com/in/vishalgauri/")</f>
        <v>https://www.linkedin.com/in/vishalgauri/</v>
      </c>
      <c r="E627" s="17" t="str">
        <f>IFERROR(__xludf.DUMMYFUNCTION("""COMPUTED_VALUE"""),"14084207990")</f>
        <v>14084207990</v>
      </c>
      <c r="F627" s="17" t="str">
        <f>IFERROR(__xludf.DUMMYFUNCTION("""COMPUTED_VALUE"""),"v.gauri@seclore.com")</f>
        <v>v.gauri@seclore.com</v>
      </c>
      <c r="G627" s="17"/>
      <c r="H627" s="17"/>
    </row>
    <row r="628">
      <c r="A628" s="17" t="str">
        <f>IFERROR(__xludf.DUMMYFUNCTION("""COMPUTED_VALUE"""),"Sense")</f>
        <v>Sense</v>
      </c>
      <c r="B628" s="17" t="str">
        <f>IFERROR(__xludf.DUMMYFUNCTION("""COMPUTED_VALUE"""),"Anil Dharni")</f>
        <v>Anil Dharni</v>
      </c>
      <c r="C628" s="17" t="str">
        <f>IFERROR(__xludf.DUMMYFUNCTION("""COMPUTED_VALUE"""),"Co-Founder")</f>
        <v>Co-Founder</v>
      </c>
      <c r="D628" s="27" t="str">
        <f>IFERROR(__xludf.DUMMYFUNCTION("""COMPUTED_VALUE"""),"linkedin.com/in/anildharni")</f>
        <v>linkedin.com/in/anildharni</v>
      </c>
      <c r="E628" s="17" t="str">
        <f>IFERROR(__xludf.DUMMYFUNCTION("""COMPUTED_VALUE"""),"14046979796")</f>
        <v>14046979796</v>
      </c>
      <c r="F628" s="17" t="str">
        <f>IFERROR(__xludf.DUMMYFUNCTION("""COMPUTED_VALUE"""),"adharni@gmail.com")</f>
        <v>adharni@gmail.com</v>
      </c>
      <c r="G628" s="17"/>
      <c r="H628" s="17"/>
    </row>
    <row r="629">
      <c r="A629" s="17" t="str">
        <f>IFERROR(__xludf.DUMMYFUNCTION("""COMPUTED_VALUE"""),"ShopX")</f>
        <v>ShopX</v>
      </c>
      <c r="B629" s="17" t="str">
        <f>IFERROR(__xludf.DUMMYFUNCTION("""COMPUTED_VALUE"""),"Amit Sharma")</f>
        <v>Amit Sharma</v>
      </c>
      <c r="C629" s="17" t="str">
        <f>IFERROR(__xludf.DUMMYFUNCTION("""COMPUTED_VALUE"""),"Co-Founder")</f>
        <v>Co-Founder</v>
      </c>
      <c r="D629" s="27" t="str">
        <f>IFERROR(__xludf.DUMMYFUNCTION("""COMPUTED_VALUE"""),"linkedin.com/in/amitucla")</f>
        <v>linkedin.com/in/amitucla</v>
      </c>
      <c r="E629" s="17"/>
      <c r="F629" s="17" t="str">
        <f>IFERROR(__xludf.DUMMYFUNCTION("""COMPUTED_VALUE"""),"amitdce@gmail.com")</f>
        <v>amitdce@gmail.com</v>
      </c>
      <c r="G629" s="17"/>
      <c r="H629" s="17"/>
    </row>
    <row r="630">
      <c r="A630" s="17" t="str">
        <f>IFERROR(__xludf.DUMMYFUNCTION("""COMPUTED_VALUE"""),"SigTuple")</f>
        <v>SigTuple</v>
      </c>
      <c r="B630" s="17" t="str">
        <f>IFERROR(__xludf.DUMMYFUNCTION("""COMPUTED_VALUE"""),"Tathagato Rai Dastidar")</f>
        <v>Tathagato Rai Dastidar</v>
      </c>
      <c r="C630" s="17" t="str">
        <f>IFERROR(__xludf.DUMMYFUNCTION("""COMPUTED_VALUE"""),"Founder &amp; CEO")</f>
        <v>Founder &amp; CEO</v>
      </c>
      <c r="D630" s="27" t="str">
        <f>IFERROR(__xludf.DUMMYFUNCTION("""COMPUTED_VALUE"""),"linkedin.com/in/trdastidar?originalSubdomain=in")</f>
        <v>linkedin.com/in/trdastidar?originalSubdomain=in</v>
      </c>
      <c r="E630" s="17" t="str">
        <f>IFERROR(__xludf.DUMMYFUNCTION("""COMPUTED_VALUE"""),"919341232063")</f>
        <v>919341232063</v>
      </c>
      <c r="F630" s="17" t="str">
        <f>IFERROR(__xludf.DUMMYFUNCTION("""COMPUTED_VALUE"""),"trdastidar@gmail.com")</f>
        <v>trdastidar@gmail.com</v>
      </c>
      <c r="G630" s="17"/>
      <c r="H630" s="17"/>
    </row>
    <row r="631">
      <c r="A631" s="17" t="str">
        <f>IFERROR(__xludf.DUMMYFUNCTION("""COMPUTED_VALUE"""),"Simple Energy")</f>
        <v>Simple Energy</v>
      </c>
      <c r="B631" s="17" t="str">
        <f>IFERROR(__xludf.DUMMYFUNCTION("""COMPUTED_VALUE"""),"Suhas Rajkumar")</f>
        <v>Suhas Rajkumar</v>
      </c>
      <c r="C631" s="17" t="str">
        <f>IFERROR(__xludf.DUMMYFUNCTION("""COMPUTED_VALUE"""),"Founder &amp; CEO")</f>
        <v>Founder &amp; CEO</v>
      </c>
      <c r="D631" s="27" t="str">
        <f>IFERROR(__xludf.DUMMYFUNCTION("""COMPUTED_VALUE"""),"https://www.linkedin.com/in/suhas-rajkumar-277824150/?originalSubdomain=in")</f>
        <v>https://www.linkedin.com/in/suhas-rajkumar-277824150/?originalSubdomain=in</v>
      </c>
      <c r="E631" s="17" t="str">
        <f>IFERROR(__xludf.DUMMYFUNCTION("""COMPUTED_VALUE"""),"919036259514")</f>
        <v>919036259514</v>
      </c>
      <c r="F631" s="17" t="str">
        <f>IFERROR(__xludf.DUMMYFUNCTION("""COMPUTED_VALUE"""),"suhasrajkumar@simpleenergy.in")</f>
        <v>suhasrajkumar@simpleenergy.in</v>
      </c>
      <c r="G631" s="17"/>
      <c r="H631" s="17"/>
    </row>
    <row r="632">
      <c r="A632" s="17" t="str">
        <f>IFERROR(__xludf.DUMMYFUNCTION("""COMPUTED_VALUE"""),"Skyroot Aerospace")</f>
        <v>Skyroot Aerospace</v>
      </c>
      <c r="B632" s="17" t="str">
        <f>IFERROR(__xludf.DUMMYFUNCTION("""COMPUTED_VALUE"""),"Pawan Kumar Chandana")</f>
        <v>Pawan Kumar Chandana</v>
      </c>
      <c r="C632" s="17" t="str">
        <f>IFERROR(__xludf.DUMMYFUNCTION("""COMPUTED_VALUE"""),"Co-Founder")</f>
        <v>Co-Founder</v>
      </c>
      <c r="D632" s="27" t="str">
        <f>IFERROR(__xludf.DUMMYFUNCTION("""COMPUTED_VALUE"""),"https://www.linkedin.com/in/pawan-kumar-chandana-a90b6514/?originalSubdomain=in")</f>
        <v>https://www.linkedin.com/in/pawan-kumar-chandana-a90b6514/?originalSubdomain=in</v>
      </c>
      <c r="E632" s="17"/>
      <c r="F632" s="17" t="str">
        <f>IFERROR(__xludf.DUMMYFUNCTION("""COMPUTED_VALUE"""),"writetopawanmj@gmail.com")</f>
        <v>writetopawanmj@gmail.com</v>
      </c>
      <c r="G632" s="17"/>
      <c r="H632" s="17"/>
    </row>
    <row r="633">
      <c r="A633" s="17" t="str">
        <f>IFERROR(__xludf.DUMMYFUNCTION("""COMPUTED_VALUE"""),"SMT (Sahajanand)")</f>
        <v>SMT (Sahajanand)</v>
      </c>
      <c r="B633" s="17" t="str">
        <f>IFERROR(__xludf.DUMMYFUNCTION("""COMPUTED_VALUE"""),"Bhargav Kotadia")</f>
        <v>Bhargav Kotadia</v>
      </c>
      <c r="C633" s="17" t="str">
        <f>IFERROR(__xludf.DUMMYFUNCTION("""COMPUTED_VALUE"""),"Ceo")</f>
        <v>Ceo</v>
      </c>
      <c r="D633" s="27" t="str">
        <f>IFERROR(__xludf.DUMMYFUNCTION("""COMPUTED_VALUE"""),"https://www.linkedin.com/in/bhargav-kotadia-35a0951b/?originalSubdomain=in")</f>
        <v>https://www.linkedin.com/in/bhargav-kotadia-35a0951b/?originalSubdomain=in</v>
      </c>
      <c r="E633" s="17"/>
      <c r="F633" s="17" t="str">
        <f>IFERROR(__xludf.DUMMYFUNCTION("""COMPUTED_VALUE"""),"bhargav@smt.in")</f>
        <v>bhargav@smt.in</v>
      </c>
      <c r="G633" s="17"/>
      <c r="H633" s="17"/>
    </row>
    <row r="634">
      <c r="A634" s="17" t="str">
        <f>IFERROR(__xludf.DUMMYFUNCTION("""COMPUTED_VALUE"""),"Soothe Healthcare")</f>
        <v>Soothe Healthcare</v>
      </c>
      <c r="B634" s="17" t="str">
        <f>IFERROR(__xludf.DUMMYFUNCTION("""COMPUTED_VALUE"""),"Sahil Dharia")</f>
        <v>Sahil Dharia</v>
      </c>
      <c r="C634" s="17" t="str">
        <f>IFERROR(__xludf.DUMMYFUNCTION("""COMPUTED_VALUE"""),"Founder &amp; CEO")</f>
        <v>Founder &amp; CEO</v>
      </c>
      <c r="D634" s="27" t="str">
        <f>IFERROR(__xludf.DUMMYFUNCTION("""COMPUTED_VALUE"""),"https://www.linkedin.com/in/sahil-dharia-810278b/?originalSubdomain=in")</f>
        <v>https://www.linkedin.com/in/sahil-dharia-810278b/?originalSubdomain=in</v>
      </c>
      <c r="E634" s="17" t="str">
        <f>IFERROR(__xludf.DUMMYFUNCTION("""COMPUTED_VALUE"""),"919971037711")</f>
        <v>919971037711</v>
      </c>
      <c r="F634" s="17" t="str">
        <f>IFERROR(__xludf.DUMMYFUNCTION("""COMPUTED_VALUE"""),"sahildharia@gmail.com")</f>
        <v>sahildharia@gmail.com</v>
      </c>
      <c r="G634" s="17"/>
      <c r="H634" s="17"/>
    </row>
    <row r="635">
      <c r="A635" s="17" t="str">
        <f>IFERROR(__xludf.DUMMYFUNCTION("""COMPUTED_VALUE"""),"Square Yards")</f>
        <v>Square Yards</v>
      </c>
      <c r="B635" s="17" t="str">
        <f>IFERROR(__xludf.DUMMYFUNCTION("""COMPUTED_VALUE"""),"Tanuj Shori")</f>
        <v>Tanuj Shori</v>
      </c>
      <c r="C635" s="17" t="str">
        <f>IFERROR(__xludf.DUMMYFUNCTION("""COMPUTED_VALUE"""),"Founder &amp; CEO")</f>
        <v>Founder &amp; CEO</v>
      </c>
      <c r="D635" s="27" t="str">
        <f>IFERROR(__xludf.DUMMYFUNCTION("""COMPUTED_VALUE"""),"https://www.linkedin.com/in/tanuj-shori-420b402/?originalSubdomain=ae")</f>
        <v>https://www.linkedin.com/in/tanuj-shori-420b402/?originalSubdomain=ae</v>
      </c>
      <c r="E635" s="17"/>
      <c r="F635" s="17" t="str">
        <f>IFERROR(__xludf.DUMMYFUNCTION("""COMPUTED_VALUE"""),"tanuj.shori@squareyards.com")</f>
        <v>tanuj.shori@squareyards.com</v>
      </c>
      <c r="G635" s="17"/>
      <c r="H635" s="17"/>
    </row>
    <row r="636">
      <c r="A636" s="17" t="str">
        <f>IFERROR(__xludf.DUMMYFUNCTION("""COMPUTED_VALUE"""),"StarAgri")</f>
        <v>StarAgri</v>
      </c>
      <c r="B636" s="17" t="str">
        <f>IFERROR(__xludf.DUMMYFUNCTION("""COMPUTED_VALUE"""),"Amit Goyal")</f>
        <v>Amit Goyal</v>
      </c>
      <c r="C636" s="17" t="str">
        <f>IFERROR(__xludf.DUMMYFUNCTION("""COMPUTED_VALUE"""),"Co founder")</f>
        <v>Co founder</v>
      </c>
      <c r="D636" s="27" t="str">
        <f>IFERROR(__xludf.DUMMYFUNCTION("""COMPUTED_VALUE"""),"https://www.linkedin.com/in/amit-mundawala/?originalSubdomain=in")</f>
        <v>https://www.linkedin.com/in/amit-mundawala/?originalSubdomain=in</v>
      </c>
      <c r="E636" s="17" t="str">
        <f>IFERROR(__xludf.DUMMYFUNCTION("""COMPUTED_VALUE"""),"919314093765")</f>
        <v>919314093765</v>
      </c>
      <c r="F636" s="17" t="str">
        <f>IFERROR(__xludf.DUMMYFUNCTION("""COMPUTED_VALUE"""),"amit.mundawala@staragri.com")</f>
        <v>amit.mundawala@staragri.com</v>
      </c>
      <c r="G636" s="17"/>
      <c r="H636" s="17"/>
    </row>
    <row r="637">
      <c r="A637" s="17" t="str">
        <f>IFERROR(__xludf.DUMMYFUNCTION("""COMPUTED_VALUE"""),"StrideOne")</f>
        <v>StrideOne</v>
      </c>
      <c r="B637" s="17" t="str">
        <f>IFERROR(__xludf.DUMMYFUNCTION("""COMPUTED_VALUE"""),"Ishpreet Singh Gandhi")</f>
        <v>Ishpreet Singh Gandhi</v>
      </c>
      <c r="C637" s="17" t="str">
        <f>IFERROR(__xludf.DUMMYFUNCTION("""COMPUTED_VALUE"""),"Co-Founder")</f>
        <v>Co-Founder</v>
      </c>
      <c r="D637" s="27" t="str">
        <f>IFERROR(__xludf.DUMMYFUNCTION("""COMPUTED_VALUE"""),"https://www.linkedin.com/in/ishpreet-singh-gandhi-539893b/?originalSubdomain=in")</f>
        <v>https://www.linkedin.com/in/ishpreet-singh-gandhi-539893b/?originalSubdomain=in</v>
      </c>
      <c r="E637" s="17" t="str">
        <f>IFERROR(__xludf.DUMMYFUNCTION("""COMPUTED_VALUE"""),"919873003008")</f>
        <v>919873003008</v>
      </c>
      <c r="F637" s="17" t="str">
        <f>IFERROR(__xludf.DUMMYFUNCTION("""COMPUTED_VALUE"""),"ishpreetgandhi@gmail.com")</f>
        <v>ishpreetgandhi@gmail.com</v>
      </c>
      <c r="G637" s="17"/>
      <c r="H637" s="17"/>
    </row>
    <row r="638">
      <c r="A638" s="17" t="str">
        <f>IFERROR(__xludf.DUMMYFUNCTION("""COMPUTED_VALUE"""),"Sulekha")</f>
        <v>Sulekha</v>
      </c>
      <c r="B638" s="17" t="str">
        <f>IFERROR(__xludf.DUMMYFUNCTION("""COMPUTED_VALUE"""),"Satya Prabhakar")</f>
        <v>Satya Prabhakar</v>
      </c>
      <c r="C638" s="17" t="str">
        <f>IFERROR(__xludf.DUMMYFUNCTION("""COMPUTED_VALUE"""),"Founder &amp; CEO")</f>
        <v>Founder &amp; CEO</v>
      </c>
      <c r="D638" s="27" t="str">
        <f>IFERROR(__xludf.DUMMYFUNCTION("""COMPUTED_VALUE"""),"linkedin.com/in/satyaprabhakar")</f>
        <v>linkedin.com/in/satyaprabhakar</v>
      </c>
      <c r="E638" s="17"/>
      <c r="F638" s="17" t="str">
        <f>IFERROR(__xludf.DUMMYFUNCTION("""COMPUTED_VALUE"""),"satyaprabhakar@promanagelive.biz")</f>
        <v>satyaprabhakar@promanagelive.biz</v>
      </c>
      <c r="G638" s="17"/>
      <c r="H638" s="17"/>
    </row>
    <row r="639">
      <c r="A639" s="17" t="str">
        <f>IFERROR(__xludf.DUMMYFUNCTION("""COMPUTED_VALUE"""),"SUN Mobility")</f>
        <v>SUN Mobility</v>
      </c>
      <c r="B639" s="17" t="str">
        <f>IFERROR(__xludf.DUMMYFUNCTION("""COMPUTED_VALUE"""),"Chetan Maini")</f>
        <v>Chetan Maini</v>
      </c>
      <c r="C639" s="17" t="str">
        <f>IFERROR(__xludf.DUMMYFUNCTION("""COMPUTED_VALUE"""),"Co-Founder &amp; Chairman")</f>
        <v>Co-Founder &amp; Chairman</v>
      </c>
      <c r="D639" s="27" t="str">
        <f>IFERROR(__xludf.DUMMYFUNCTION("""COMPUTED_VALUE"""),"https://www.linkedin.com/in/mainichetan/?originalSubdomain=in")</f>
        <v>https://www.linkedin.com/in/mainichetan/?originalSubdomain=in</v>
      </c>
      <c r="E639" s="17"/>
      <c r="F639" s="17" t="str">
        <f>IFERROR(__xludf.DUMMYFUNCTION("""COMPUTED_VALUE"""),"chetanmaini@ymail.com")</f>
        <v>chetanmaini@ymail.com</v>
      </c>
      <c r="G639" s="17"/>
      <c r="H639" s="17"/>
    </row>
    <row r="640">
      <c r="A640" s="17" t="str">
        <f>IFERROR(__xludf.DUMMYFUNCTION("""COMPUTED_VALUE"""),"Sunstone")</f>
        <v>Sunstone</v>
      </c>
      <c r="B640" s="17" t="str">
        <f>IFERROR(__xludf.DUMMYFUNCTION("""COMPUTED_VALUE"""),"Ashish Munjal")</f>
        <v>Ashish Munjal</v>
      </c>
      <c r="C640" s="17" t="str">
        <f>IFERROR(__xludf.DUMMYFUNCTION("""COMPUTED_VALUE"""),"Co-Founder &amp; CEO")</f>
        <v>Co-Founder &amp; CEO</v>
      </c>
      <c r="D640" s="27" t="str">
        <f>IFERROR(__xludf.DUMMYFUNCTION("""COMPUTED_VALUE"""),"linkedin.com/in/ashishmunjal")</f>
        <v>linkedin.com/in/ashishmunjal</v>
      </c>
      <c r="E640" s="17" t="str">
        <f>IFERROR(__xludf.DUMMYFUNCTION("""COMPUTED_VALUE"""),"918800920808")</f>
        <v>918800920808</v>
      </c>
      <c r="F640" s="17" t="str">
        <f>IFERROR(__xludf.DUMMYFUNCTION("""COMPUTED_VALUE"""),"ashishmunjal@gmail.com")</f>
        <v>ashishmunjal@gmail.com</v>
      </c>
      <c r="G640" s="17"/>
      <c r="H640" s="17"/>
    </row>
    <row r="641">
      <c r="A641" s="17" t="str">
        <f>IFERROR(__xludf.DUMMYFUNCTION("""COMPUTED_VALUE"""),"Times OOH")</f>
        <v>Times OOH</v>
      </c>
      <c r="B641" s="17" t="str">
        <f>IFERROR(__xludf.DUMMYFUNCTION("""COMPUTED_VALUE"""),"Shekhar Narayanaswami")</f>
        <v>Shekhar Narayanaswami</v>
      </c>
      <c r="C641" s="17" t="str">
        <f>IFERROR(__xludf.DUMMYFUNCTION("""COMPUTED_VALUE"""),"CEO")</f>
        <v>CEO</v>
      </c>
      <c r="D641" s="27" t="str">
        <f>IFERROR(__xludf.DUMMYFUNCTION("""COMPUTED_VALUE"""),"https://www.linkedin.com/in/narayanaswami-shekhar-29b4947/?originalSubdomain=in")</f>
        <v>https://www.linkedin.com/in/narayanaswami-shekhar-29b4947/?originalSubdomain=in</v>
      </c>
      <c r="E641" s="17" t="str">
        <f>IFERROR(__xludf.DUMMYFUNCTION("""COMPUTED_VALUE"""),"919818882525")</f>
        <v>919818882525</v>
      </c>
      <c r="F641" s="17" t="str">
        <f>IFERROR(__xludf.DUMMYFUNCTION("""COMPUTED_VALUE"""),"nshekhar30@hotmail.com")</f>
        <v>nshekhar30@hotmail.com</v>
      </c>
      <c r="G641" s="17"/>
      <c r="H641" s="17"/>
    </row>
    <row r="642">
      <c r="A642" s="17" t="str">
        <f>IFERROR(__xludf.DUMMYFUNCTION("""COMPUTED_VALUE"""),"Travel Triangle")</f>
        <v>Travel Triangle</v>
      </c>
      <c r="B642" s="17" t="str">
        <f>IFERROR(__xludf.DUMMYFUNCTION("""COMPUTED_VALUE"""),"Sankalp Agarwal")</f>
        <v>Sankalp Agarwal</v>
      </c>
      <c r="C642" s="17" t="str">
        <f>IFERROR(__xludf.DUMMYFUNCTION("""COMPUTED_VALUE"""),"Co-Founder")</f>
        <v>Co-Founder</v>
      </c>
      <c r="D642" s="27" t="str">
        <f>IFERROR(__xludf.DUMMYFUNCTION("""COMPUTED_VALUE"""),"https://www.linkedin.com/in/sankalpagarwal/?originalSubdomain=in")</f>
        <v>https://www.linkedin.com/in/sankalpagarwal/?originalSubdomain=in</v>
      </c>
      <c r="E642" s="17" t="str">
        <f>IFERROR(__xludf.DUMMYFUNCTION("""COMPUTED_VALUE"""),"98991 20408")</f>
        <v>98991 20408</v>
      </c>
      <c r="F642" s="17"/>
      <c r="G642" s="17"/>
      <c r="H642" s="17"/>
    </row>
    <row r="643">
      <c r="A643" s="17" t="str">
        <f>IFERROR(__xludf.DUMMYFUNCTION("""COMPUTED_VALUE"""),"Treebo")</f>
        <v>Treebo</v>
      </c>
      <c r="B643" s="17" t="str">
        <f>IFERROR(__xludf.DUMMYFUNCTION("""COMPUTED_VALUE"""),"Sidharth Gupta")</f>
        <v>Sidharth Gupta</v>
      </c>
      <c r="C643" s="17" t="str">
        <f>IFERROR(__xludf.DUMMYFUNCTION("""COMPUTED_VALUE"""),"Co-Founder")</f>
        <v>Co-Founder</v>
      </c>
      <c r="D643" s="27" t="str">
        <f>IFERROR(__xludf.DUMMYFUNCTION("""COMPUTED_VALUE"""),"https://www.linkedin.com/in/guptasidharth/?originalSubdomain=in")</f>
        <v>https://www.linkedin.com/in/guptasidharth/?originalSubdomain=in</v>
      </c>
      <c r="E643" s="17" t="str">
        <f>IFERROR(__xludf.DUMMYFUNCTION("""COMPUTED_VALUE"""),"917737827305")</f>
        <v>917737827305</v>
      </c>
      <c r="F643" s="17" t="str">
        <f>IFERROR(__xludf.DUMMYFUNCTION("""COMPUTED_VALUE"""),"mailsidharth@gmail.com")</f>
        <v>mailsidharth@gmail.com</v>
      </c>
      <c r="G643" s="17"/>
      <c r="H643" s="17"/>
    </row>
    <row r="644">
      <c r="A644" s="17" t="str">
        <f>IFERROR(__xludf.DUMMYFUNCTION("""COMPUTED_VALUE"""),"Trivitron")</f>
        <v>Trivitron</v>
      </c>
      <c r="B644" s="17" t="str">
        <f>IFERROR(__xludf.DUMMYFUNCTION("""COMPUTED_VALUE"""),"Dr. GSK Velu")</f>
        <v>Dr. GSK Velu</v>
      </c>
      <c r="C644" s="17" t="str">
        <f>IFERROR(__xludf.DUMMYFUNCTION("""COMPUTED_VALUE"""),"founder")</f>
        <v>founder</v>
      </c>
      <c r="D644" s="27" t="str">
        <f>IFERROR(__xludf.DUMMYFUNCTION("""COMPUTED_VALUE"""),"https://www.linkedin.com/in/gskvelu/?originalSubdomain=in")</f>
        <v>https://www.linkedin.com/in/gskvelu/?originalSubdomain=in</v>
      </c>
      <c r="E644" s="17" t="str">
        <f>IFERROR(__xludf.DUMMYFUNCTION("""COMPUTED_VALUE"""),"912266505555")</f>
        <v>912266505555</v>
      </c>
      <c r="F644" s="17" t="str">
        <f>IFERROR(__xludf.DUMMYFUNCTION("""COMPUTED_VALUE"""),"gvelu@trivitron.com")</f>
        <v>gvelu@trivitron.com</v>
      </c>
      <c r="G644" s="17"/>
      <c r="H644" s="17"/>
    </row>
    <row r="645">
      <c r="A645" s="17" t="str">
        <f>IFERROR(__xludf.DUMMYFUNCTION("""COMPUTED_VALUE"""),"True Balance")</f>
        <v>True Balance</v>
      </c>
      <c r="B645" s="17" t="str">
        <f>IFERROR(__xludf.DUMMYFUNCTION("""COMPUTED_VALUE"""),"Cheolwon Lee")</f>
        <v>Cheolwon Lee</v>
      </c>
      <c r="C645" s="17" t="str">
        <f>IFERROR(__xludf.DUMMYFUNCTION("""COMPUTED_VALUE"""),"Founder &amp; CEO")</f>
        <v>Founder &amp; CEO</v>
      </c>
      <c r="D645" s="27" t="str">
        <f>IFERROR(__xludf.DUMMYFUNCTION("""COMPUTED_VALUE"""),"https://www.linkedin.com/in/cheolwon-lee-5b110b2/?originalSubdomain=in")</f>
        <v>https://www.linkedin.com/in/cheolwon-lee-5b110b2/?originalSubdomain=in</v>
      </c>
      <c r="E645" s="17"/>
      <c r="F645" s="17" t="str">
        <f>IFERROR(__xludf.DUMMYFUNCTION("""COMPUTED_VALUE"""),"cheolwon.lee@truecredits.in")</f>
        <v>cheolwon.lee@truecredits.in</v>
      </c>
      <c r="G645" s="17"/>
      <c r="H645" s="17"/>
    </row>
    <row r="646">
      <c r="A646" s="17" t="str">
        <f>IFERROR(__xludf.DUMMYFUNCTION("""COMPUTED_VALUE"""),"Ummeed Housing")</f>
        <v>Ummeed Housing</v>
      </c>
      <c r="B646" s="17" t="str">
        <f>IFERROR(__xludf.DUMMYFUNCTION("""COMPUTED_VALUE"""),"Ashutosh Sharma")</f>
        <v>Ashutosh Sharma</v>
      </c>
      <c r="C646" s="17" t="str">
        <f>IFERROR(__xludf.DUMMYFUNCTION("""COMPUTED_VALUE"""),"MD and founder")</f>
        <v>MD and founder</v>
      </c>
      <c r="D646" s="27" t="str">
        <f>IFERROR(__xludf.DUMMYFUNCTION("""COMPUTED_VALUE"""),"https://www.linkedin.com/in/ashutosh-sharma-6ba006103/?originalSubdomain=in")</f>
        <v>https://www.linkedin.com/in/ashutosh-sharma-6ba006103/?originalSubdomain=in</v>
      </c>
      <c r="E646" s="17"/>
      <c r="F646" s="17" t="str">
        <f>IFERROR(__xludf.DUMMYFUNCTION("""COMPUTED_VALUE"""),"ashutosh.sharma@ummeedhfc.com")</f>
        <v>ashutosh.sharma@ummeedhfc.com</v>
      </c>
      <c r="G646" s="17"/>
      <c r="H646" s="17"/>
    </row>
    <row r="647">
      <c r="A647" s="17" t="str">
        <f>IFERROR(__xludf.DUMMYFUNCTION("""COMPUTED_VALUE"""),"Univo Education")</f>
        <v>Univo Education</v>
      </c>
      <c r="B647" s="17" t="str">
        <f>IFERROR(__xludf.DUMMYFUNCTION("""COMPUTED_VALUE"""),"Siddharth Banerjee")</f>
        <v>Siddharth Banerjee</v>
      </c>
      <c r="C647" s="17" t="str">
        <f>IFERROR(__xludf.DUMMYFUNCTION("""COMPUTED_VALUE"""),"CEO")</f>
        <v>CEO</v>
      </c>
      <c r="D647" s="27" t="str">
        <f>IFERROR(__xludf.DUMMYFUNCTION("""COMPUTED_VALUE"""),"https://www.linkedin.com/in/siddharth-banerjee-25a3351/?originalSubdomain=in")</f>
        <v>https://www.linkedin.com/in/siddharth-banerjee-25a3351/?originalSubdomain=in</v>
      </c>
      <c r="E647" s="17"/>
      <c r="F647" s="17" t="str">
        <f>IFERROR(__xludf.DUMMYFUNCTION("""COMPUTED_VALUE"""),"sbanerjee@univoedtech.com")</f>
        <v>sbanerjee@univoedtech.com</v>
      </c>
      <c r="G647" s="17"/>
      <c r="H647" s="17"/>
    </row>
    <row r="648">
      <c r="A648" s="17" t="str">
        <f>IFERROR(__xludf.DUMMYFUNCTION("""COMPUTED_VALUE"""),"UpScalio")</f>
        <v>UpScalio</v>
      </c>
      <c r="B648" s="17" t="str">
        <f>IFERROR(__xludf.DUMMYFUNCTION("""COMPUTED_VALUE"""),"Gautam Kshatriya")</f>
        <v>Gautam Kshatriya</v>
      </c>
      <c r="C648" s="17" t="str">
        <f>IFERROR(__xludf.DUMMYFUNCTION("""COMPUTED_VALUE"""),"Co-Founder")</f>
        <v>Co-Founder</v>
      </c>
      <c r="D648" s="27" t="str">
        <f>IFERROR(__xludf.DUMMYFUNCTION("""COMPUTED_VALUE"""),"linkedin.com/in/gautamkshatriya")</f>
        <v>linkedin.com/in/gautamkshatriya</v>
      </c>
      <c r="E648" s="17"/>
      <c r="F648" s="17" t="str">
        <f>IFERROR(__xludf.DUMMYFUNCTION("""COMPUTED_VALUE"""),"gautam@upscal.io")</f>
        <v>gautam@upscal.io</v>
      </c>
      <c r="G648" s="17"/>
      <c r="H648" s="17"/>
    </row>
    <row r="649">
      <c r="A649" s="17" t="str">
        <f>IFERROR(__xludf.DUMMYFUNCTION("""COMPUTED_VALUE"""),"Varthana")</f>
        <v>Varthana</v>
      </c>
      <c r="B649" s="17" t="str">
        <f>IFERROR(__xludf.DUMMYFUNCTION("""COMPUTED_VALUE"""),"Steve Hardgrave")</f>
        <v>Steve Hardgrave</v>
      </c>
      <c r="C649" s="17" t="str">
        <f>IFERROR(__xludf.DUMMYFUNCTION("""COMPUTED_VALUE"""),"Co-Founder &amp; CEO")</f>
        <v>Co-Founder &amp; CEO</v>
      </c>
      <c r="D649" s="27" t="str">
        <f>IFERROR(__xludf.DUMMYFUNCTION("""COMPUTED_VALUE"""),"linkedin.com/in/shardgrave?originalSubdomain=in")</f>
        <v>linkedin.com/in/shardgrave?originalSubdomain=in</v>
      </c>
      <c r="E649" s="17" t="str">
        <f>IFERROR(__xludf.DUMMYFUNCTION("""COMPUTED_VALUE"""),"919886024510")</f>
        <v>919886024510</v>
      </c>
      <c r="F649" s="17" t="str">
        <f>IFERROR(__xludf.DUMMYFUNCTION("""COMPUTED_VALUE"""),"steevha@gmail.com")</f>
        <v>steevha@gmail.com</v>
      </c>
      <c r="G649" s="17"/>
      <c r="H649" s="17"/>
    </row>
    <row r="650">
      <c r="A650" s="17" t="str">
        <f>IFERROR(__xludf.DUMMYFUNCTION("""COMPUTED_VALUE"""),"Vayana")</f>
        <v>Vayana</v>
      </c>
      <c r="B650" s="17" t="str">
        <f>IFERROR(__xludf.DUMMYFUNCTION("""COMPUTED_VALUE"""),"Ramaswamy Iyer")</f>
        <v>Ramaswamy Iyer</v>
      </c>
      <c r="C650" s="17" t="str">
        <f>IFERROR(__xludf.DUMMYFUNCTION("""COMPUTED_VALUE"""),"Founder &amp; CEO")</f>
        <v>Founder &amp; CEO</v>
      </c>
      <c r="D650" s="27" t="str">
        <f>IFERROR(__xludf.DUMMYFUNCTION("""COMPUTED_VALUE"""),"linkedin.com/in/ramaswamy-iyer-b40aa96?originalSubdomain=in")</f>
        <v>linkedin.com/in/ramaswamy-iyer-b40aa96?originalSubdomain=in</v>
      </c>
      <c r="E650" s="17"/>
      <c r="F650" s="17" t="str">
        <f>IFERROR(__xludf.DUMMYFUNCTION("""COMPUTED_VALUE"""),"rniyer@vayana.com")</f>
        <v>rniyer@vayana.com</v>
      </c>
      <c r="G650" s="17"/>
      <c r="H650" s="17"/>
    </row>
    <row r="651">
      <c r="A651" s="17" t="str">
        <f>IFERROR(__xludf.DUMMYFUNCTION("""COMPUTED_VALUE"""),"Veeba")</f>
        <v>Veeba</v>
      </c>
      <c r="B651" s="17" t="str">
        <f>IFERROR(__xludf.DUMMYFUNCTION("""COMPUTED_VALUE"""),"Viraj Bahl")</f>
        <v>Viraj Bahl</v>
      </c>
      <c r="C651" s="17" t="str">
        <f>IFERROR(__xludf.DUMMYFUNCTION("""COMPUTED_VALUE"""),"Founder &amp; MD")</f>
        <v>Founder &amp; MD</v>
      </c>
      <c r="D651" s="27" t="str">
        <f>IFERROR(__xludf.DUMMYFUNCTION("""COMPUTED_VALUE"""),"linkedin.com/in/virajbahl")</f>
        <v>linkedin.com/in/virajbahl</v>
      </c>
      <c r="E651" s="17"/>
      <c r="F651" s="17" t="str">
        <f>IFERROR(__xludf.DUMMYFUNCTION("""COMPUTED_VALUE"""),"viraj.bahl@veeba.in")</f>
        <v>viraj.bahl@veeba.in</v>
      </c>
      <c r="G651" s="17"/>
      <c r="H651" s="17"/>
    </row>
    <row r="652">
      <c r="A652" s="17" t="str">
        <f>IFERROR(__xludf.DUMMYFUNCTION("""COMPUTED_VALUE"""),"Vegrow")</f>
        <v>Vegrow</v>
      </c>
      <c r="B652" s="17" t="str">
        <f>IFERROR(__xludf.DUMMYFUNCTION("""COMPUTED_VALUE"""),"Shobhit Jain")</f>
        <v>Shobhit Jain</v>
      </c>
      <c r="C652" s="17" t="str">
        <f>IFERROR(__xludf.DUMMYFUNCTION("""COMPUTED_VALUE"""),"Co-Founder")</f>
        <v>Co-Founder</v>
      </c>
      <c r="D652" s="27" t="str">
        <f>IFERROR(__xludf.DUMMYFUNCTION("""COMPUTED_VALUE"""),"https://www.linkedin.com/in/shoubhit-jain-88a35315/?originalSubdomain=in")</f>
        <v>https://www.linkedin.com/in/shoubhit-jain-88a35315/?originalSubdomain=in</v>
      </c>
      <c r="E652" s="17"/>
      <c r="F652" s="17" t="str">
        <f>IFERROR(__xludf.DUMMYFUNCTION("""COMPUTED_VALUE"""),"shoubhit@vegrow.in")</f>
        <v>shoubhit@vegrow.in</v>
      </c>
      <c r="G652" s="17"/>
      <c r="H652" s="17"/>
    </row>
    <row r="653">
      <c r="A653" s="17" t="str">
        <f>IFERROR(__xludf.DUMMYFUNCTION("""COMPUTED_VALUE"""),"Vivifi India")</f>
        <v>Vivifi India</v>
      </c>
      <c r="B653" s="17" t="str">
        <f>IFERROR(__xludf.DUMMYFUNCTION("""COMPUTED_VALUE"""),"Anil Pinapala")</f>
        <v>Anil Pinapala</v>
      </c>
      <c r="C653" s="17" t="str">
        <f>IFERROR(__xludf.DUMMYFUNCTION("""COMPUTED_VALUE"""),"Founder &amp; CEO")</f>
        <v>Founder &amp; CEO</v>
      </c>
      <c r="D653" s="27" t="str">
        <f>IFERROR(__xludf.DUMMYFUNCTION("""COMPUTED_VALUE"""),"https://www.linkedin.com/in/anil-k-pinapala-57aaa5/")</f>
        <v>https://www.linkedin.com/in/anil-k-pinapala-57aaa5/</v>
      </c>
      <c r="E653" s="17"/>
      <c r="F653" s="17" t="str">
        <f>IFERROR(__xludf.DUMMYFUNCTION("""COMPUTED_VALUE"""),"ap@tekfriday.com")</f>
        <v>ap@tekfriday.com</v>
      </c>
      <c r="G653" s="17"/>
      <c r="H653" s="17"/>
    </row>
    <row r="654">
      <c r="A654" s="17" t="str">
        <f>IFERROR(__xludf.DUMMYFUNCTION("""COMPUTED_VALUE"""),"Wingreens World")</f>
        <v>Wingreens World</v>
      </c>
      <c r="B654" s="17" t="str">
        <f>IFERROR(__xludf.DUMMYFUNCTION("""COMPUTED_VALUE"""),"Anju Srivastava")</f>
        <v>Anju Srivastava</v>
      </c>
      <c r="C654" s="17" t="str">
        <f>IFERROR(__xludf.DUMMYFUNCTION("""COMPUTED_VALUE"""),"Founder &amp; CEO")</f>
        <v>Founder &amp; CEO</v>
      </c>
      <c r="D654" s="27" t="str">
        <f>IFERROR(__xludf.DUMMYFUNCTION("""COMPUTED_VALUE"""),"https://in.linkedin.com/in/anju-srivastava-28843527")</f>
        <v>https://in.linkedin.com/in/anju-srivastava-28843527</v>
      </c>
      <c r="E654" s="17" t="str">
        <f>IFERROR(__xludf.DUMMYFUNCTION("""COMPUTED_VALUE"""),"919871672038")</f>
        <v>919871672038</v>
      </c>
      <c r="F654" s="17" t="str">
        <f>IFERROR(__xludf.DUMMYFUNCTION("""COMPUTED_VALUE"""),"anju@wingreens.in")</f>
        <v>anju@wingreens.in</v>
      </c>
      <c r="G654" s="17"/>
      <c r="H654" s="17"/>
    </row>
    <row r="655">
      <c r="A655" s="17" t="str">
        <f>IFERROR(__xludf.DUMMYFUNCTION("""COMPUTED_VALUE"""),"Wiz Freight")</f>
        <v>Wiz Freight</v>
      </c>
      <c r="B655" s="17" t="str">
        <f>IFERROR(__xludf.DUMMYFUNCTION("""COMPUTED_VALUE"""),"Ramkumar Govindarajan")</f>
        <v>Ramkumar Govindarajan</v>
      </c>
      <c r="C655" s="17" t="str">
        <f>IFERROR(__xludf.DUMMYFUNCTION("""COMPUTED_VALUE"""),"Co-Founder &amp; CEO")</f>
        <v>Co-Founder &amp; CEO</v>
      </c>
      <c r="D655" s="27" t="str">
        <f>IFERROR(__xludf.DUMMYFUNCTION("""COMPUTED_VALUE"""),"https://www.linkedin.com/in/connectram91/?originalSubdomain=in")</f>
        <v>https://www.linkedin.com/in/connectram91/?originalSubdomain=in</v>
      </c>
      <c r="E655" s="17" t="str">
        <f>IFERROR(__xludf.DUMMYFUNCTION("""COMPUTED_VALUE"""),"917358027995")</f>
        <v>917358027995</v>
      </c>
      <c r="F655" s="17" t="str">
        <f>IFERROR(__xludf.DUMMYFUNCTION("""COMPUTED_VALUE"""),"connectram91@gmail.com")</f>
        <v>connectram91@gmail.com</v>
      </c>
      <c r="G655" s="17"/>
      <c r="H655" s="17"/>
    </row>
    <row r="656">
      <c r="A656" s="17" t="str">
        <f>IFERROR(__xludf.DUMMYFUNCTION("""COMPUTED_VALUE"""),"Wonderchef")</f>
        <v>Wonderchef</v>
      </c>
      <c r="B656" s="17" t="str">
        <f>IFERROR(__xludf.DUMMYFUNCTION("""COMPUTED_VALUE"""),"Ravi Saxena")</f>
        <v>Ravi Saxena</v>
      </c>
      <c r="C656" s="17" t="str">
        <f>IFERROR(__xludf.DUMMYFUNCTION("""COMPUTED_VALUE"""),"Founder")</f>
        <v>Founder</v>
      </c>
      <c r="D656" s="27" t="str">
        <f>IFERROR(__xludf.DUMMYFUNCTION("""COMPUTED_VALUE"""),"https://www.linkedin.com/in/ravi-saxena-59802ba/?originalSubdomain=in")</f>
        <v>https://www.linkedin.com/in/ravi-saxena-59802ba/?originalSubdomain=in</v>
      </c>
      <c r="E656" s="17"/>
      <c r="F656" s="17" t="str">
        <f>IFERROR(__xludf.DUMMYFUNCTION("""COMPUTED_VALUE"""),"ravi@wonderchef.in")</f>
        <v>ravi@wonderchef.in</v>
      </c>
      <c r="G656" s="17"/>
      <c r="H656" s="17"/>
    </row>
    <row r="657">
      <c r="A657" s="17" t="str">
        <f>IFERROR(__xludf.DUMMYFUNCTION("""COMPUTED_VALUE"""),"Wrogn")</f>
        <v>Wrogn</v>
      </c>
      <c r="B657" s="17" t="str">
        <f>IFERROR(__xludf.DUMMYFUNCTION("""COMPUTED_VALUE"""),"Anjana Reddy")</f>
        <v>Anjana Reddy</v>
      </c>
      <c r="C657" s="17" t="str">
        <f>IFERROR(__xludf.DUMMYFUNCTION("""COMPUTED_VALUE"""),"Founder (USPL)")</f>
        <v>Founder (USPL)</v>
      </c>
      <c r="D657" s="27" t="str">
        <f>IFERROR(__xludf.DUMMYFUNCTION("""COMPUTED_VALUE"""),"http://linkedin.com/in/anjana-reddy-48135825/?originalSubdomain=in")</f>
        <v>http://linkedin.com/in/anjana-reddy-48135825/?originalSubdomain=in</v>
      </c>
      <c r="E657" s="17" t="str">
        <f>IFERROR(__xludf.DUMMYFUNCTION("""COMPUTED_VALUE"""),"91919885000004")</f>
        <v>91919885000004</v>
      </c>
      <c r="F657" s="17" t="str">
        <f>IFERROR(__xludf.DUMMYFUNCTION("""COMPUTED_VALUE"""),"anjana153@gmail.com")</f>
        <v>anjana153@gmail.com</v>
      </c>
      <c r="G657" s="17"/>
      <c r="H657" s="17"/>
    </row>
    <row r="658">
      <c r="A658" s="17" t="str">
        <f>IFERROR(__xludf.DUMMYFUNCTION("""COMPUTED_VALUE"""),"XYXX")</f>
        <v>XYXX</v>
      </c>
      <c r="B658" s="17" t="str">
        <f>IFERROR(__xludf.DUMMYFUNCTION("""COMPUTED_VALUE"""),"Yogesh Kabra")</f>
        <v>Yogesh Kabra</v>
      </c>
      <c r="C658" s="17" t="str">
        <f>IFERROR(__xludf.DUMMYFUNCTION("""COMPUTED_VALUE"""),"Founder")</f>
        <v>Founder</v>
      </c>
      <c r="D658" s="27" t="str">
        <f>IFERROR(__xludf.DUMMYFUNCTION("""COMPUTED_VALUE"""),"linkedin.com/in/yogeshkabra")</f>
        <v>linkedin.com/in/yogeshkabra</v>
      </c>
      <c r="E658" s="17" t="str">
        <f>IFERROR(__xludf.DUMMYFUNCTION("""COMPUTED_VALUE"""),"919712925254")</f>
        <v>919712925254</v>
      </c>
      <c r="F658" s="17" t="str">
        <f>IFERROR(__xludf.DUMMYFUNCTION("""COMPUTED_VALUE"""),"yogesh@xyxxcrew.com")</f>
        <v>yogesh@xyxxcrew.com</v>
      </c>
      <c r="G658" s="17"/>
      <c r="H658" s="17"/>
    </row>
    <row r="659">
      <c r="A659" s="27" t="str">
        <f>IFERROR(__xludf.DUMMYFUNCTION("""COMPUTED_VALUE"""),"Yellow.ai")</f>
        <v>Yellow.ai</v>
      </c>
      <c r="B659" s="17" t="str">
        <f>IFERROR(__xludf.DUMMYFUNCTION("""COMPUTED_VALUE"""),"Raghu Ravinutala")</f>
        <v>Raghu Ravinutala</v>
      </c>
      <c r="C659" s="17" t="str">
        <f>IFERROR(__xludf.DUMMYFUNCTION("""COMPUTED_VALUE"""),"Co-Founder &amp; CEO")</f>
        <v>Co-Founder &amp; CEO</v>
      </c>
      <c r="D659" s="27" t="str">
        <f>IFERROR(__xludf.DUMMYFUNCTION("""COMPUTED_VALUE"""),"linkedin.com/in/raghuravinutala")</f>
        <v>linkedin.com/in/raghuravinutala</v>
      </c>
      <c r="E659" s="17" t="str">
        <f>IFERROR(__xludf.DUMMYFUNCTION("""COMPUTED_VALUE"""),"917760686246")</f>
        <v>917760686246</v>
      </c>
      <c r="F659" s="17" t="str">
        <f>IFERROR(__xludf.DUMMYFUNCTION("""COMPUTED_VALUE"""),"raghuravinutala@gmail.com")</f>
        <v>raghuravinutala@gmail.com</v>
      </c>
      <c r="G659" s="17"/>
      <c r="H659" s="17"/>
    </row>
    <row r="660">
      <c r="A660" s="17" t="str">
        <f>IFERROR(__xludf.DUMMYFUNCTION("""COMPUTED_VALUE"""),"ZipGo")</f>
        <v>ZipGo</v>
      </c>
      <c r="B660" s="17" t="str">
        <f>IFERROR(__xludf.DUMMYFUNCTION("""COMPUTED_VALUE"""),"Pritesh Gupta")</f>
        <v>Pritesh Gupta</v>
      </c>
      <c r="C660" s="17" t="str">
        <f>IFERROR(__xludf.DUMMYFUNCTION("""COMPUTED_VALUE"""),"Co-Founder")</f>
        <v>Co-Founder</v>
      </c>
      <c r="D660" s="27" t="str">
        <f>IFERROR(__xludf.DUMMYFUNCTION("""COMPUTED_VALUE"""),"https://www.linkedin.com/in/pritesh123iit/?originalSubdomain=uk")</f>
        <v>https://www.linkedin.com/in/pritesh123iit/?originalSubdomain=uk</v>
      </c>
      <c r="E660" s="17" t="str">
        <f>IFERROR(__xludf.DUMMYFUNCTION("""COMPUTED_VALUE"""),"919930101991")</f>
        <v>919930101991</v>
      </c>
      <c r="F660" s="17" t="str">
        <f>IFERROR(__xludf.DUMMYFUNCTION("""COMPUTED_VALUE"""),"priteshgupta@gmail.com")</f>
        <v>priteshgupta@gmail.com</v>
      </c>
      <c r="G660" s="17"/>
      <c r="H660" s="17"/>
    </row>
    <row r="661">
      <c r="A661" s="17" t="str">
        <f>IFERROR(__xludf.DUMMYFUNCTION("""COMPUTED_VALUE"""),"Zolo")</f>
        <v>Zolo</v>
      </c>
      <c r="B661" s="17" t="str">
        <f>IFERROR(__xludf.DUMMYFUNCTION("""COMPUTED_VALUE"""),"Nikhil Sikri")</f>
        <v>Nikhil Sikri</v>
      </c>
      <c r="C661" s="17" t="str">
        <f>IFERROR(__xludf.DUMMYFUNCTION("""COMPUTED_VALUE"""),"Co-Founder &amp; CEO")</f>
        <v>Co-Founder &amp; CEO</v>
      </c>
      <c r="D661" s="27" t="str">
        <f>IFERROR(__xludf.DUMMYFUNCTION("""COMPUTED_VALUE"""),"https://www.linkedin.com/in/dr-nikhil-sikri/?originalSubdomain=in")</f>
        <v>https://www.linkedin.com/in/dr-nikhil-sikri/?originalSubdomain=in</v>
      </c>
      <c r="E661" s="17" t="str">
        <f>IFERROR(__xludf.DUMMYFUNCTION("""COMPUTED_VALUE"""),"917799889811")</f>
        <v>917799889811</v>
      </c>
      <c r="F661" s="17" t="str">
        <f>IFERROR(__xludf.DUMMYFUNCTION("""COMPUTED_VALUE"""),"nikhilsikri@gmail.com")</f>
        <v>nikhilsikri@gmail.com</v>
      </c>
      <c r="G661" s="17"/>
      <c r="H661" s="17"/>
    </row>
    <row r="662">
      <c r="A662" s="17" t="str">
        <f>IFERROR(__xludf.DUMMYFUNCTION("""COMPUTED_VALUE"""),"Company name")</f>
        <v>Company name</v>
      </c>
      <c r="B662" s="17" t="str">
        <f>IFERROR(__xludf.DUMMYFUNCTION("""COMPUTED_VALUE"""),"Name")</f>
        <v>Name</v>
      </c>
      <c r="C662" s="17" t="str">
        <f>IFERROR(__xludf.DUMMYFUNCTION("""COMPUTED_VALUE"""),"Designation")</f>
        <v>Designation</v>
      </c>
      <c r="D662" s="17" t="str">
        <f>IFERROR(__xludf.DUMMYFUNCTION("""COMPUTED_VALUE"""),"Linkedin ID")</f>
        <v>Linkedin ID</v>
      </c>
      <c r="E662" s="17" t="str">
        <f>IFERROR(__xludf.DUMMYFUNCTION("""COMPUTED_VALUE"""),"Contact No.")</f>
        <v>Contact No.</v>
      </c>
      <c r="F662" s="17" t="str">
        <f>IFERROR(__xludf.DUMMYFUNCTION("""COMPUTED_VALUE"""),"Email")</f>
        <v>Email</v>
      </c>
      <c r="G662" s="17" t="str">
        <f>IFERROR(__xludf.DUMMYFUNCTION("""COMPUTED_VALUE"""),"EA")</f>
        <v>EA</v>
      </c>
      <c r="H662" s="17" t="str">
        <f>IFERROR(__xludf.DUMMYFUNCTION("""COMPUTED_VALUE"""),"Column H")</f>
        <v>Column H</v>
      </c>
    </row>
    <row r="663">
      <c r="A663" s="17" t="str">
        <f>IFERROR(__xludf.DUMMYFUNCTION("""COMPUTED_VALUE"""),"Reliance Industries Ltd")</f>
        <v>Reliance Industries Ltd</v>
      </c>
      <c r="B663" s="17" t="str">
        <f>IFERROR(__xludf.DUMMYFUNCTION("""COMPUTED_VALUE"""),"Mr. Nikhil R Meswani")</f>
        <v>Mr. Nikhil R Meswani</v>
      </c>
      <c r="C663" s="17" t="str">
        <f>IFERROR(__xludf.DUMMYFUNCTION("""COMPUTED_VALUE"""),"Executive Director")</f>
        <v>Executive Director</v>
      </c>
      <c r="D663" s="27" t="str">
        <f>IFERROR(__xludf.DUMMYFUNCTION("""COMPUTED_VALUE"""),"https://www.linkedin.com/in/nikhil-meswani-357b5838/")</f>
        <v>https://www.linkedin.com/in/nikhil-meswani-357b5838/</v>
      </c>
      <c r="E663" s="17"/>
      <c r="F663" s="17" t="str">
        <f>IFERROR(__xludf.DUMMYFUNCTION("""COMPUTED_VALUE"""),"nikhilmeswaniorm@gmail.com")</f>
        <v>nikhilmeswaniorm@gmail.com</v>
      </c>
      <c r="G663" s="17"/>
      <c r="H663" s="17"/>
    </row>
    <row r="664">
      <c r="A664" s="17" t="str">
        <f>IFERROR(__xludf.DUMMYFUNCTION("""COMPUTED_VALUE"""),"Indian Oil Corporation Ltd (IOC)")</f>
        <v>Indian Oil Corporation Ltd (IOC)</v>
      </c>
      <c r="B664" s="17" t="str">
        <f>IFERROR(__xludf.DUMMYFUNCTION("""COMPUTED_VALUE"""),"Mr. S M Vaidya")</f>
        <v>Mr. S M Vaidya</v>
      </c>
      <c r="C664" s="17" t="str">
        <f>IFERROR(__xludf.DUMMYFUNCTION("""COMPUTED_VALUE"""),"Chairman")</f>
        <v>Chairman</v>
      </c>
      <c r="D664" s="27" t="str">
        <f>IFERROR(__xludf.DUMMYFUNCTION("""COMPUTED_VALUE"""),"https://www.linkedin.com/in/shrikant-m-vaidya/")</f>
        <v>https://www.linkedin.com/in/shrikant-m-vaidya/</v>
      </c>
      <c r="E664" s="17"/>
      <c r="F664" s="17" t="str">
        <f>IFERROR(__xludf.DUMMYFUNCTION("""COMPUTED_VALUE"""),"vaidyas@indianoil.in")</f>
        <v>vaidyas@indianoil.in</v>
      </c>
      <c r="G664" s="17"/>
      <c r="H664" s="17"/>
    </row>
    <row r="665">
      <c r="A665" s="17" t="str">
        <f>IFERROR(__xludf.DUMMYFUNCTION("""COMPUTED_VALUE"""),"Indian Oil Corporation Ltd (IOC)")</f>
        <v>Indian Oil Corporation Ltd (IOC)</v>
      </c>
      <c r="B665" s="17" t="str">
        <f>IFERROR(__xludf.DUMMYFUNCTION("""COMPUTED_VALUE"""),"Mr. Sanjay Kumar")</f>
        <v>Mr. Sanjay Kumar</v>
      </c>
      <c r="C665" s="17" t="str">
        <f>IFERROR(__xludf.DUMMYFUNCTION("""COMPUTED_VALUE"""),"Director (P&amp;BD)")</f>
        <v>Director (P&amp;BD)</v>
      </c>
      <c r="D665" s="27" t="str">
        <f>IFERROR(__xludf.DUMMYFUNCTION("""COMPUTED_VALUE"""),"https://www.linkedin.com/in/sanjay-kumar-118603ba/")</f>
        <v>https://www.linkedin.com/in/sanjay-kumar-118603ba/</v>
      </c>
      <c r="E665" s="17"/>
      <c r="F665" s="17" t="str">
        <f>IFERROR(__xludf.DUMMYFUNCTION("""COMPUTED_VALUE"""),"kumars@indianoil.in")</f>
        <v>kumars@indianoil.in</v>
      </c>
      <c r="G665" s="17"/>
      <c r="H665" s="17"/>
    </row>
    <row r="666">
      <c r="A666" s="17" t="str">
        <f>IFERROR(__xludf.DUMMYFUNCTION("""COMPUTED_VALUE"""),"Oil &amp; Natural Gas Corporation Ltd (ONGC)")</f>
        <v>Oil &amp; Natural Gas Corporation Ltd (ONGC)</v>
      </c>
      <c r="B666" s="17" t="str">
        <f>IFERROR(__xludf.DUMMYFUNCTION("""COMPUTED_VALUE"""),"Mr. Vivek Chandrakant Tongaonkar")</f>
        <v>Mr. Vivek Chandrakant Tongaonkar</v>
      </c>
      <c r="C666" s="17" t="str">
        <f>IFERROR(__xludf.DUMMYFUNCTION("""COMPUTED_VALUE"""),"Director, Finance and CFO")</f>
        <v>Director, Finance and CFO</v>
      </c>
      <c r="D666" s="27" t="str">
        <f>IFERROR(__xludf.DUMMYFUNCTION("""COMPUTED_VALUE"""),"https://www.google.com/search?q=Vivek+Chandrakant+Tongaonkar+site%3Alinkedin.com")</f>
        <v>https://www.google.com/search?q=Vivek+Chandrakant+Tongaonkar+site%3Alinkedin.com</v>
      </c>
      <c r="E666" s="17" t="str">
        <f>IFERROR(__xludf.DUMMYFUNCTION("""COMPUTED_VALUE"""),"919428828399")</f>
        <v>919428828399</v>
      </c>
      <c r="F666" s="17" t="str">
        <f>IFERROR(__xludf.DUMMYFUNCTION("""COMPUTED_VALUE"""),"vtongaonkar@gmail.com , vtongaonkar@hotmail.com")</f>
        <v>vtongaonkar@gmail.com , vtongaonkar@hotmail.com</v>
      </c>
      <c r="G666" s="17"/>
      <c r="H666" s="17"/>
    </row>
    <row r="667">
      <c r="A667" s="17" t="str">
        <f>IFERROR(__xludf.DUMMYFUNCTION("""COMPUTED_VALUE"""),"Bharat Petroleum Corporation Ltd (BPCL)")</f>
        <v>Bharat Petroleum Corporation Ltd (BPCL)</v>
      </c>
      <c r="B667" s="17" t="str">
        <f>IFERROR(__xludf.DUMMYFUNCTION("""COMPUTED_VALUE"""),"Mr. G. Krishnakumar")</f>
        <v>Mr. G. Krishnakumar</v>
      </c>
      <c r="C667" s="17" t="str">
        <f>IFERROR(__xludf.DUMMYFUNCTION("""COMPUTED_VALUE"""),"Chairman &amp; Managing Director")</f>
        <v>Chairman &amp; Managing Director</v>
      </c>
      <c r="D667" s="27" t="str">
        <f>IFERROR(__xludf.DUMMYFUNCTION("""COMPUTED_VALUE"""),"https://www.google.com/search?q=G.+Krishnakumar+site%3Alinkedin.com")</f>
        <v>https://www.google.com/search?q=G.+Krishnakumar+site%3Alinkedin.com</v>
      </c>
      <c r="E667" s="17" t="str">
        <f>IFERROR(__xludf.DUMMYFUNCTION("""COMPUTED_VALUE"""),"919892335229")</f>
        <v>919892335229</v>
      </c>
      <c r="F667" s="17" t="str">
        <f>IFERROR(__xludf.DUMMYFUNCTION("""COMPUTED_VALUE"""),"kumarsatnsr@gmail.com,krishnakumar@bharatpetroleum.in")</f>
        <v>kumarsatnsr@gmail.com,krishnakumar@bharatpetroleum.in</v>
      </c>
      <c r="G667" s="17"/>
      <c r="H667" s="17"/>
    </row>
    <row r="668">
      <c r="A668" s="17" t="str">
        <f>IFERROR(__xludf.DUMMYFUNCTION("""COMPUTED_VALUE"""),"Hindustan Petroleum Corporation Ltd (HPCL)")</f>
        <v>Hindustan Petroleum Corporation Ltd (HPCL)</v>
      </c>
      <c r="B668" s="17" t="str">
        <f>IFERROR(__xludf.DUMMYFUNCTION("""COMPUTED_VALUE"""),"Mr. Pushp Kumar Joshi")</f>
        <v>Mr. Pushp Kumar Joshi</v>
      </c>
      <c r="C668" s="17" t="str">
        <f>IFERROR(__xludf.DUMMYFUNCTION("""COMPUTED_VALUE"""),"Chairman &amp; Managing Director")</f>
        <v>Chairman &amp; Managing Director</v>
      </c>
      <c r="D668" s="27" t="str">
        <f>IFERROR(__xludf.DUMMYFUNCTION("""COMPUTED_VALUE"""),"https://www.linkedin.com/in/dr-pushp-joshi-57759643/")</f>
        <v>https://www.linkedin.com/in/dr-pushp-joshi-57759643/</v>
      </c>
      <c r="E668" s="17" t="str">
        <f>IFERROR(__xludf.DUMMYFUNCTION("""COMPUTED_VALUE"""),"919820291937")</f>
        <v>919820291937</v>
      </c>
      <c r="F668" s="17" t="str">
        <f>IFERROR(__xludf.DUMMYFUNCTION("""COMPUTED_VALUE"""),"pushpjoshi@gmail.com")</f>
        <v>pushpjoshi@gmail.com</v>
      </c>
      <c r="G668" s="17"/>
      <c r="H668" s="17"/>
    </row>
    <row r="669">
      <c r="A669" s="17" t="str">
        <f>IFERROR(__xludf.DUMMYFUNCTION("""COMPUTED_VALUE"""),"Tata Motors Ltd")</f>
        <v>Tata Motors Ltd</v>
      </c>
      <c r="B669" s="17" t="str">
        <f>IFERROR(__xludf.DUMMYFUNCTION("""COMPUTED_VALUE"""),"Mr. Shailesh Chandra")</f>
        <v>Mr. Shailesh Chandra</v>
      </c>
      <c r="C669" s="17" t="str">
        <f>IFERROR(__xludf.DUMMYFUNCTION("""COMPUTED_VALUE"""),"CEO, Tata Motors Passenger Vehicles")</f>
        <v>CEO, Tata Motors Passenger Vehicles</v>
      </c>
      <c r="D669" s="27" t="str">
        <f>IFERROR(__xludf.DUMMYFUNCTION("""COMPUTED_VALUE"""),"https://www.linkedin.com/in/shaileshchandra13/")</f>
        <v>https://www.linkedin.com/in/shaileshchandra13/</v>
      </c>
      <c r="E669" s="17"/>
      <c r="F669" s="17" t="str">
        <f>IFERROR(__xludf.DUMMYFUNCTION("""COMPUTED_VALUE"""),"shailesh.chandra@tatamotors.com")</f>
        <v>shailesh.chandra@tatamotors.com</v>
      </c>
      <c r="G669" s="17"/>
      <c r="H669" s="17"/>
    </row>
    <row r="670">
      <c r="A670" s="17" t="str">
        <f>IFERROR(__xludf.DUMMYFUNCTION("""COMPUTED_VALUE"""),"Tata Steel Ltd")</f>
        <v>Tata Steel Ltd</v>
      </c>
      <c r="B670" s="17" t="str">
        <f>IFERROR(__xludf.DUMMYFUNCTION("""COMPUTED_VALUE"""),"Mr. T. V. Narendran")</f>
        <v>Mr. T. V. Narendran</v>
      </c>
      <c r="C670" s="17" t="str">
        <f>IFERROR(__xludf.DUMMYFUNCTION("""COMPUTED_VALUE"""),"CEO &amp; Managing Director")</f>
        <v>CEO &amp; Managing Director</v>
      </c>
      <c r="D670" s="27" t="str">
        <f>IFERROR(__xludf.DUMMYFUNCTION("""COMPUTED_VALUE"""),"https://www.linkedin.com/in/t-v-narendran-5b531816/")</f>
        <v>https://www.linkedin.com/in/t-v-narendran-5b531816/</v>
      </c>
      <c r="E670" s="17" t="str">
        <f>IFERROR(__xludf.DUMMYFUNCTION("""COMPUTED_VALUE"""),"919234554125")</f>
        <v>919234554125</v>
      </c>
      <c r="F670" s="17" t="str">
        <f>IFERROR(__xludf.DUMMYFUNCTION("""COMPUTED_VALUE"""),"tvnarendran@gmail.com,t.narendran@tatasteel.com")</f>
        <v>tvnarendran@gmail.com,t.narendran@tatasteel.com</v>
      </c>
      <c r="G670" s="17" t="str">
        <f>IFERROR(__xludf.DUMMYFUNCTION("""COMPUTED_VALUE"""),"Sakshi Sharma")</f>
        <v>Sakshi Sharma</v>
      </c>
      <c r="H670" s="17" t="str">
        <f>IFERROR(__xludf.DUMMYFUNCTION("""COMPUTED_VALUE"""),"saakshidadheech@gmail.com")</f>
        <v>saakshidadheech@gmail.com</v>
      </c>
    </row>
    <row r="671">
      <c r="A671" s="17" t="str">
        <f>IFERROR(__xludf.DUMMYFUNCTION("""COMPUTED_VALUE"""),"Tata Consultancy Services Ltd (TCS)")</f>
        <v>Tata Consultancy Services Ltd (TCS)</v>
      </c>
      <c r="B671" s="17" t="str">
        <f>IFERROR(__xludf.DUMMYFUNCTION("""COMPUTED_VALUE"""),"Mr. K. Krithivasan")</f>
        <v>Mr. K. Krithivasan</v>
      </c>
      <c r="C671" s="17" t="str">
        <f>IFERROR(__xludf.DUMMYFUNCTION("""COMPUTED_VALUE"""),"MD &amp; CEO")</f>
        <v>MD &amp; CEO</v>
      </c>
      <c r="D671" s="27" t="str">
        <f>IFERROR(__xludf.DUMMYFUNCTION("""COMPUTED_VALUE"""),"https://www.linkedin.com/in/k-krithivasan-84659325/")</f>
        <v>https://www.linkedin.com/in/k-krithivasan-84659325/</v>
      </c>
      <c r="E671" s="17"/>
      <c r="F671" s="17" t="str">
        <f>IFERROR(__xludf.DUMMYFUNCTION("""COMPUTED_VALUE"""),"shailesh.chandra@tatamotors.com")</f>
        <v>shailesh.chandra@tatamotors.com</v>
      </c>
      <c r="G671" s="17"/>
      <c r="H671" s="17"/>
    </row>
    <row r="672">
      <c r="A672" s="17" t="str">
        <f>IFERROR(__xludf.DUMMYFUNCTION("""COMPUTED_VALUE"""),"Hindalco Industries Ltd")</f>
        <v>Hindalco Industries Ltd</v>
      </c>
      <c r="B672" s="17" t="str">
        <f>IFERROR(__xludf.DUMMYFUNCTION("""COMPUTED_VALUE"""),"Mr. Kumar Mangalam Birla")</f>
        <v>Mr. Kumar Mangalam Birla</v>
      </c>
      <c r="C672" s="17" t="str">
        <f>IFERROR(__xludf.DUMMYFUNCTION("""COMPUTED_VALUE"""),"Chairman")</f>
        <v>Chairman</v>
      </c>
      <c r="D672" s="17"/>
      <c r="E672" s="17"/>
      <c r="F672" s="17" t="str">
        <f>IFERROR(__xludf.DUMMYFUNCTION("""COMPUTED_VALUE"""),"m.kumar@adityabirla.com")</f>
        <v>m.kumar@adityabirla.com</v>
      </c>
      <c r="G672" s="17"/>
      <c r="H672" s="17"/>
    </row>
    <row r="673">
      <c r="A673" s="17" t="str">
        <f>IFERROR(__xludf.DUMMYFUNCTION("""COMPUTED_VALUE"""),"Hindalco Industries Ltd")</f>
        <v>Hindalco Industries Ltd</v>
      </c>
      <c r="B673" s="17" t="str">
        <f>IFERROR(__xludf.DUMMYFUNCTION("""COMPUTED_VALUE"""),"Mr. Satish Pai")</f>
        <v>Mr. Satish Pai</v>
      </c>
      <c r="C673" s="17" t="str">
        <f>IFERROR(__xludf.DUMMYFUNCTION("""COMPUTED_VALUE"""),"Managing Director")</f>
        <v>Managing Director</v>
      </c>
      <c r="D673" s="17"/>
      <c r="E673" s="17"/>
      <c r="F673" s="17" t="str">
        <f>IFERROR(__xludf.DUMMYFUNCTION("""COMPUTED_VALUE"""),"satish.pai@adityabirla.com")</f>
        <v>satish.pai@adityabirla.com</v>
      </c>
      <c r="G673" s="17"/>
      <c r="H673" s="17"/>
    </row>
    <row r="674">
      <c r="A674" s="17" t="str">
        <f>IFERROR(__xludf.DUMMYFUNCTION("""COMPUTED_VALUE"""),"NTPC Ltd")</f>
        <v>NTPC Ltd</v>
      </c>
      <c r="B674" s="17" t="str">
        <f>IFERROR(__xludf.DUMMYFUNCTION("""COMPUTED_VALUE"""),"Mr. Gurdeep Singh")</f>
        <v>Mr. Gurdeep Singh</v>
      </c>
      <c r="C674" s="17" t="str">
        <f>IFERROR(__xludf.DUMMYFUNCTION("""COMPUTED_VALUE"""),"Chairman &amp; Managing Director")</f>
        <v>Chairman &amp; Managing Director</v>
      </c>
      <c r="D674" s="17"/>
      <c r="E674" s="17"/>
      <c r="F674" s="17" t="str">
        <f>IFERROR(__xludf.DUMMYFUNCTION("""COMPUTED_VALUE"""),"gurdeepsingh@ntpc.co.in")</f>
        <v>gurdeepsingh@ntpc.co.in</v>
      </c>
      <c r="G674" s="17"/>
      <c r="H674" s="17"/>
    </row>
    <row r="675">
      <c r="A675" s="17" t="str">
        <f>IFERROR(__xludf.DUMMYFUNCTION("""COMPUTED_VALUE"""),"Bharti Airtel Ltd")</f>
        <v>Bharti Airtel Ltd</v>
      </c>
      <c r="B675" s="17" t="str">
        <f>IFERROR(__xludf.DUMMYFUNCTION("""COMPUTED_VALUE"""),"Mr. Gopal Vittal")</f>
        <v>Mr. Gopal Vittal</v>
      </c>
      <c r="C675" s="17" t="str">
        <f>IFERROR(__xludf.DUMMYFUNCTION("""COMPUTED_VALUE"""),"MD, Vice Chairman &amp; CEO")</f>
        <v>MD, Vice Chairman &amp; CEO</v>
      </c>
      <c r="D675" s="17"/>
      <c r="E675" s="17"/>
      <c r="F675" s="17"/>
      <c r="G675" s="17"/>
      <c r="H675" s="17"/>
    </row>
    <row r="676">
      <c r="A676" s="17" t="str">
        <f>IFERROR(__xludf.DUMMYFUNCTION("""COMPUTED_VALUE"""),"Infosys Ltd")</f>
        <v>Infosys Ltd</v>
      </c>
      <c r="B676" s="17" t="str">
        <f>IFERROR(__xludf.DUMMYFUNCTION("""COMPUTED_VALUE"""),"Nandan M. Nilekani")</f>
        <v>Nandan M. Nilekani</v>
      </c>
      <c r="C676" s="17" t="str">
        <f>IFERROR(__xludf.DUMMYFUNCTION("""COMPUTED_VALUE"""),"Chairman")</f>
        <v>Chairman</v>
      </c>
      <c r="D676" s="17"/>
      <c r="E676" s="17"/>
      <c r="F676" s="17"/>
      <c r="G676" s="17"/>
      <c r="H676" s="17"/>
    </row>
    <row r="677">
      <c r="A677" s="17" t="str">
        <f>IFERROR(__xludf.DUMMYFUNCTION("""COMPUTED_VALUE"""),"Infosys Ltd")</f>
        <v>Infosys Ltd</v>
      </c>
      <c r="B677" s="17" t="str">
        <f>IFERROR(__xludf.DUMMYFUNCTION("""COMPUTED_VALUE"""),"Mr. Salil Parekh")</f>
        <v>Mr. Salil Parekh</v>
      </c>
      <c r="C677" s="17" t="str">
        <f>IFERROR(__xludf.DUMMYFUNCTION("""COMPUTED_VALUE"""),"CEO and MD")</f>
        <v>CEO and MD</v>
      </c>
      <c r="D677" s="17"/>
      <c r="E677" s="17"/>
      <c r="F677" s="17" t="str">
        <f>IFERROR(__xludf.DUMMYFUNCTION("""COMPUTED_VALUE"""),"salil.parekh@infosys.com")</f>
        <v>salil.parekh@infosys.com</v>
      </c>
      <c r="G677" s="17"/>
      <c r="H677" s="17"/>
    </row>
    <row r="678">
      <c r="A678" s="17" t="str">
        <f>IFERROR(__xludf.DUMMYFUNCTION("""COMPUTED_VALUE"""),"Infosys Ltd")</f>
        <v>Infosys Ltd</v>
      </c>
      <c r="B678" s="17" t="str">
        <f>IFERROR(__xludf.DUMMYFUNCTION("""COMPUTED_VALUE"""),"Rishi Basu")</f>
        <v>Rishi Basu</v>
      </c>
      <c r="C678" s="17" t="str">
        <f>IFERROR(__xludf.DUMMYFUNCTION("""COMPUTED_VALUE"""),"Global Head - Corporate Communications &amp; PR")</f>
        <v>Global Head - Corporate Communications &amp; PR</v>
      </c>
      <c r="D678" s="27" t="str">
        <f>IFERROR(__xludf.DUMMYFUNCTION("""COMPUTED_VALUE"""),"https://www.linkedin.com/in/rishi-basu-b067574a/")</f>
        <v>https://www.linkedin.com/in/rishi-basu-b067574a/</v>
      </c>
      <c r="E678" s="17"/>
      <c r="F678" s="17" t="str">
        <f>IFERROR(__xludf.DUMMYFUNCTION("""COMPUTED_VALUE"""),"rajarshi.basu@infosys.com")</f>
        <v>rajarshi.basu@infosys.com</v>
      </c>
      <c r="G678" s="17"/>
      <c r="H678" s="17"/>
    </row>
    <row r="679">
      <c r="A679" s="17" t="str">
        <f>IFERROR(__xludf.DUMMYFUNCTION("""COMPUTED_VALUE"""),"Mahindra &amp; Mahindra Ltd (M&amp;M)")</f>
        <v>Mahindra &amp; Mahindra Ltd (M&amp;M)</v>
      </c>
      <c r="B679" s="17" t="str">
        <f>IFERROR(__xludf.DUMMYFUNCTION("""COMPUTED_VALUE"""),"Mr. Anand Mahindra")</f>
        <v>Mr. Anand Mahindra</v>
      </c>
      <c r="C679" s="17" t="str">
        <f>IFERROR(__xludf.DUMMYFUNCTION("""COMPUTED_VALUE"""),"Chairman")</f>
        <v>Chairman</v>
      </c>
      <c r="D679" s="17"/>
      <c r="E679" s="17"/>
      <c r="F679" s="27" t="str">
        <f>IFERROR(__xludf.DUMMYFUNCTION("""COMPUTED_VALUE"""),"https://www.google.com/search?q=Uday+Kotak+site%3Alinkedin.com")</f>
        <v>https://www.google.com/search?q=Uday+Kotak+site%3Alinkedin.com</v>
      </c>
      <c r="G679" s="17"/>
      <c r="H679" s="17"/>
    </row>
    <row r="680">
      <c r="A680" s="17" t="str">
        <f>IFERROR(__xludf.DUMMYFUNCTION("""COMPUTED_VALUE"""),"Mahindra &amp; Mahindra Ltd (M&amp;M)")</f>
        <v>Mahindra &amp; Mahindra Ltd (M&amp;M)</v>
      </c>
      <c r="B680" s="17" t="str">
        <f>IFERROR(__xludf.DUMMYFUNCTION("""COMPUTED_VALUE"""),"Mr. Anish Shah")</f>
        <v>Mr. Anish Shah</v>
      </c>
      <c r="C680" s="17" t="str">
        <f>IFERROR(__xludf.DUMMYFUNCTION("""COMPUTED_VALUE"""),"Managing Director &amp; CEO")</f>
        <v>Managing Director &amp; CEO</v>
      </c>
      <c r="D680" s="17"/>
      <c r="E680" s="17" t="str">
        <f>IFERROR(__xludf.DUMMYFUNCTION("""COMPUTED_VALUE"""),"7738353601")</f>
        <v>7738353601</v>
      </c>
      <c r="F680" s="17" t="str">
        <f>IFERROR(__xludf.DUMMYFUNCTION("""COMPUTED_VALUE"""),"anishshah19@hotmail.com , anish@zeelearn.com")</f>
        <v>anishshah19@hotmail.com , anish@zeelearn.com</v>
      </c>
      <c r="G680" s="17"/>
      <c r="H680" s="17"/>
    </row>
    <row r="681">
      <c r="A681" s="17" t="str">
        <f>IFERROR(__xludf.DUMMYFUNCTION("""COMPUTED_VALUE"""),"Vedanta Ltd")</f>
        <v>Vedanta Ltd</v>
      </c>
      <c r="B681" s="17" t="str">
        <f>IFERROR(__xludf.DUMMYFUNCTION("""COMPUTED_VALUE"""),"Anil Agarwal")</f>
        <v>Anil Agarwal</v>
      </c>
      <c r="C681" s="17" t="str">
        <f>IFERROR(__xludf.DUMMYFUNCTION("""COMPUTED_VALUE"""),"Chairman")</f>
        <v>Chairman</v>
      </c>
      <c r="D681" s="17"/>
      <c r="E681" s="17"/>
      <c r="F681" s="17" t="str">
        <f>IFERROR(__xludf.DUMMYFUNCTION("""COMPUTED_VALUE"""),"anil.agarwal@vedanta.co.in,anilag01@gmail.com ")</f>
        <v>anil.agarwal@vedanta.co.in,anilag01@gmail.com </v>
      </c>
      <c r="G681" s="17"/>
      <c r="H681" s="17"/>
    </row>
    <row r="682">
      <c r="A682" s="17" t="str">
        <f>IFERROR(__xludf.DUMMYFUNCTION("""COMPUTED_VALUE"""),"Vedanta Ltd")</f>
        <v>Vedanta Ltd</v>
      </c>
      <c r="B682" s="17" t="str">
        <f>IFERROR(__xludf.DUMMYFUNCTION("""COMPUTED_VALUE"""),"Ms. Priya Agarwal Hebbar")</f>
        <v>Ms. Priya Agarwal Hebbar</v>
      </c>
      <c r="C682" s="17" t="str">
        <f>IFERROR(__xludf.DUMMYFUNCTION("""COMPUTED_VALUE"""),"Non-Executive Director")</f>
        <v>Non-Executive Director</v>
      </c>
      <c r="D682" s="17"/>
      <c r="E682" s="17" t="str">
        <f>IFERROR(__xludf.DUMMYFUNCTION("""COMPUTED_VALUE"""),"918899997704")</f>
        <v>918899997704</v>
      </c>
      <c r="F682" s="17" t="str">
        <f>IFERROR(__xludf.DUMMYFUNCTION("""COMPUTED_VALUE"""),"priyaaa12@hotmail.com")</f>
        <v>priyaaa12@hotmail.com</v>
      </c>
      <c r="G682" s="17"/>
      <c r="H682" s="17"/>
    </row>
    <row r="683">
      <c r="A683" s="17" t="str">
        <f>IFERROR(__xludf.DUMMYFUNCTION("""COMPUTED_VALUE"""),"GAIL (India) Ltd")</f>
        <v>GAIL (India) Ltd</v>
      </c>
      <c r="B683" s="17" t="str">
        <f>IFERROR(__xludf.DUMMYFUNCTION("""COMPUTED_VALUE"""),"Mr. Sandeep Kumar Gupta")</f>
        <v>Mr. Sandeep Kumar Gupta</v>
      </c>
      <c r="C683" s="17" t="str">
        <f>IFERROR(__xludf.DUMMYFUNCTION("""COMPUTED_VALUE"""),"Chairman &amp; Managing Director")</f>
        <v>Chairman &amp; Managing Director</v>
      </c>
      <c r="D683" s="17"/>
      <c r="E683" s="17" t="str">
        <f>IFERROR(__xludf.DUMMYFUNCTION("""COMPUTED_VALUE"""),"99996 58346")</f>
        <v>99996 58346</v>
      </c>
      <c r="F683" s="17" t="str">
        <f>IFERROR(__xludf.DUMMYFUNCTION("""COMPUTED_VALUE"""),"sandeepg@indianoil.in,s4guptas@hotmail.com")</f>
        <v>sandeepg@indianoil.in,s4guptas@hotmail.com</v>
      </c>
      <c r="G683" s="17"/>
      <c r="H683" s="17"/>
    </row>
    <row r="684">
      <c r="A684" s="17" t="str">
        <f>IFERROR(__xludf.DUMMYFUNCTION("""COMPUTED_VALUE"""),"GAIL (India) Ltd")</f>
        <v>GAIL (India) Ltd</v>
      </c>
      <c r="B684" s="17" t="str">
        <f>IFERROR(__xludf.DUMMYFUNCTION("""COMPUTED_VALUE"""),"Mr. Deepak Gupta")</f>
        <v>Mr. Deepak Gupta</v>
      </c>
      <c r="C684" s="17" t="str">
        <f>IFERROR(__xludf.DUMMYFUNCTION("""COMPUTED_VALUE"""),"Director (HR)")</f>
        <v>Director (HR)</v>
      </c>
      <c r="D684" s="17"/>
      <c r="E684" s="17" t="str">
        <f>IFERROR(__xludf.DUMMYFUNCTION("""COMPUTED_VALUE"""),"12017839631")</f>
        <v>12017839631</v>
      </c>
      <c r="F684" s="17" t="str">
        <f>IFERROR(__xludf.DUMMYFUNCTION("""COMPUTED_VALUE"""),"dg8544@gmail.com")</f>
        <v>dg8544@gmail.com</v>
      </c>
      <c r="G684" s="17"/>
      <c r="H684" s="17"/>
    </row>
    <row r="685">
      <c r="A685" s="17" t="str">
        <f>IFERROR(__xludf.DUMMYFUNCTION("""COMPUTED_VALUE"""),"Bajaj Auto Ltd")</f>
        <v>Bajaj Auto Ltd</v>
      </c>
      <c r="B685" s="17" t="str">
        <f>IFERROR(__xludf.DUMMYFUNCTION("""COMPUTED_VALUE"""),"Mr. Rajiv Bajaj")</f>
        <v>Mr. Rajiv Bajaj</v>
      </c>
      <c r="C685" s="17" t="str">
        <f>IFERROR(__xludf.DUMMYFUNCTION("""COMPUTED_VALUE"""),"Managing Director")</f>
        <v>Managing Director</v>
      </c>
      <c r="D685" s="17"/>
      <c r="E685" s="17" t="str">
        <f>IFERROR(__xludf.DUMMYFUNCTION("""COMPUTED_VALUE"""),"91931049")</f>
        <v>91931049</v>
      </c>
      <c r="F685" s="17" t="str">
        <f>IFERROR(__xludf.DUMMYFUNCTION("""COMPUTED_VALUE"""),"rajivrupabajaj@gmail.com,rajivbajaj@bajajauto.co.in")</f>
        <v>rajivrupabajaj@gmail.com,rajivbajaj@bajajauto.co.in</v>
      </c>
      <c r="G685" s="17"/>
      <c r="H685" s="17"/>
    </row>
    <row r="686">
      <c r="A686" s="17" t="str">
        <f>IFERROR(__xludf.DUMMYFUNCTION("""COMPUTED_VALUE"""),"Samvardhana Motherson International Ltd")</f>
        <v>Samvardhana Motherson International Ltd</v>
      </c>
      <c r="B686" s="17" t="str">
        <f>IFERROR(__xludf.DUMMYFUNCTION("""COMPUTED_VALUE"""),"Mr. Laxman Agrawal")</f>
        <v>Mr. Laxman Agrawal</v>
      </c>
      <c r="C686" s="17" t="str">
        <f>IFERROR(__xludf.DUMMYFUNCTION("""COMPUTED_VALUE"""),"Director")</f>
        <v>Director</v>
      </c>
      <c r="D686" s="17"/>
      <c r="E686" s="17"/>
      <c r="F686" s="17"/>
      <c r="G686" s="17"/>
      <c r="H686" s="17"/>
    </row>
    <row r="687">
      <c r="A687" s="17" t="str">
        <f>IFERROR(__xludf.DUMMYFUNCTION("""COMPUTED_VALUE"""),"Steel Authority of India Ltd (SAIL)")</f>
        <v>Steel Authority of India Ltd (SAIL)</v>
      </c>
      <c r="B687" s="17" t="str">
        <f>IFERROR(__xludf.DUMMYFUNCTION("""COMPUTED_VALUE"""),"Mr. Amarendu Prakash")</f>
        <v>Mr. Amarendu Prakash</v>
      </c>
      <c r="C687" s="17" t="str">
        <f>IFERROR(__xludf.DUMMYFUNCTION("""COMPUTED_VALUE"""),"Chairman &amp; Managing Director")</f>
        <v>Chairman &amp; Managing Director</v>
      </c>
      <c r="D687" s="17"/>
      <c r="E687" s="17"/>
      <c r="F687" s="17" t="str">
        <f>IFERROR(__xludf.DUMMYFUNCTION("""COMPUTED_VALUE"""),"amarendu.prakash@steel.gov.in")</f>
        <v>amarendu.prakash@steel.gov.in</v>
      </c>
      <c r="G687" s="17"/>
      <c r="H687" s="17"/>
    </row>
    <row r="688">
      <c r="A688" s="17" t="str">
        <f>IFERROR(__xludf.DUMMYFUNCTION("""COMPUTED_VALUE"""),"Steel Authority of India Ltd (SAIL)")</f>
        <v>Steel Authority of India Ltd (SAIL)</v>
      </c>
      <c r="B688" s="17" t="str">
        <f>IFERROR(__xludf.DUMMYFUNCTION("""COMPUTED_VALUE"""),"Mr. Arvind Kumar Singh")</f>
        <v>Mr. Arvind Kumar Singh</v>
      </c>
      <c r="C688" s="17" t="str">
        <f>IFERROR(__xludf.DUMMYFUNCTION("""COMPUTED_VALUE"""),"Director (Technical)")</f>
        <v>Director (Technical)</v>
      </c>
      <c r="D688" s="17"/>
      <c r="E688" s="17"/>
      <c r="F688" s="17" t="str">
        <f>IFERROR(__xludf.DUMMYFUNCTION("""COMPUTED_VALUE"""),"arvindsingh27@engineer.com")</f>
        <v>arvindsingh27@engineer.com</v>
      </c>
      <c r="G688" s="17"/>
      <c r="H688" s="17"/>
    </row>
    <row r="689">
      <c r="A689" s="17" t="str">
        <f>IFERROR(__xludf.DUMMYFUNCTION("""COMPUTED_VALUE"""),"Adani Enterprises Ltd")</f>
        <v>Adani Enterprises Ltd</v>
      </c>
      <c r="B689" s="17" t="str">
        <f>IFERROR(__xludf.DUMMYFUNCTION("""COMPUTED_VALUE"""),"Mr. Rajesh Adani")</f>
        <v>Mr. Rajesh Adani</v>
      </c>
      <c r="C689" s="17" t="str">
        <f>IFERROR(__xludf.DUMMYFUNCTION("""COMPUTED_VALUE"""),"Managing Director")</f>
        <v>Managing Director</v>
      </c>
      <c r="D689" s="17"/>
      <c r="E689" s="17"/>
      <c r="F689" s="17"/>
      <c r="G689" s="17"/>
      <c r="H689" s="17"/>
    </row>
    <row r="690">
      <c r="A690" s="17" t="str">
        <f>IFERROR(__xludf.DUMMYFUNCTION("""COMPUTED_VALUE"""),"Wipro Ltd")</f>
        <v>Wipro Ltd</v>
      </c>
      <c r="B690" s="17" t="str">
        <f>IFERROR(__xludf.DUMMYFUNCTION("""COMPUTED_VALUE"""),"Mr. Rishad Premji")</f>
        <v>Mr. Rishad Premji</v>
      </c>
      <c r="C690" s="17" t="str">
        <f>IFERROR(__xludf.DUMMYFUNCTION("""COMPUTED_VALUE"""),"Executive Chairman")</f>
        <v>Executive Chairman</v>
      </c>
      <c r="D690" s="17"/>
      <c r="E690" s="17"/>
      <c r="F690" s="17" t="str">
        <f>IFERROR(__xludf.DUMMYFUNCTION("""COMPUTED_VALUE"""),"rishad.premji@wipro.com")</f>
        <v>rishad.premji@wipro.com</v>
      </c>
      <c r="G690" s="17"/>
      <c r="H690" s="17"/>
    </row>
    <row r="691">
      <c r="A691" s="17" t="str">
        <f>IFERROR(__xludf.DUMMYFUNCTION("""COMPUTED_VALUE"""),"Wipro Ltd")</f>
        <v>Wipro Ltd</v>
      </c>
      <c r="B691" s="17" t="str">
        <f>IFERROR(__xludf.DUMMYFUNCTION("""COMPUTED_VALUE"""),"Mr. Srini Palia")</f>
        <v>Mr. Srini Palia</v>
      </c>
      <c r="C691" s="17" t="str">
        <f>IFERROR(__xludf.DUMMYFUNCTION("""COMPUTED_VALUE"""),"CEO and Managing Director")</f>
        <v>CEO and Managing Director</v>
      </c>
      <c r="D691" s="27" t="str">
        <f>IFERROR(__xludf.DUMMYFUNCTION("""COMPUTED_VALUE"""),"https://www.linkedin.com/in/srini-pallia/")</f>
        <v>https://www.linkedin.com/in/srini-pallia/</v>
      </c>
      <c r="E691" s="17"/>
      <c r="F691" s="17" t="str">
        <f>IFERROR(__xludf.DUMMYFUNCTION("""COMPUTED_VALUE"""),"srinivas.pallia@wipro.com")</f>
        <v>srinivas.pallia@wipro.com</v>
      </c>
      <c r="G691" s="17"/>
      <c r="H691" s="17"/>
    </row>
    <row r="692">
      <c r="A692" s="17" t="str">
        <f>IFERROR(__xludf.DUMMYFUNCTION("""COMPUTED_VALUE"""),"Axis Bank Ltd")</f>
        <v>Axis Bank Ltd</v>
      </c>
      <c r="B692" s="17" t="str">
        <f>IFERROR(__xludf.DUMMYFUNCTION("""COMPUTED_VALUE"""),"Mr. Amitabh Chaudhry")</f>
        <v>Mr. Amitabh Chaudhry</v>
      </c>
      <c r="C692" s="17" t="str">
        <f>IFERROR(__xludf.DUMMYFUNCTION("""COMPUTED_VALUE"""),"MD &amp; CEO")</f>
        <v>MD &amp; CEO</v>
      </c>
      <c r="D692" s="17"/>
      <c r="E692" s="17"/>
      <c r="F692" s="17" t="str">
        <f>IFERROR(__xludf.DUMMYFUNCTION("""COMPUTED_VALUE"""),"amitabh.chaudhry@axisbank.com")</f>
        <v>amitabh.chaudhry@axisbank.com</v>
      </c>
      <c r="G692" s="17"/>
      <c r="H692" s="17"/>
    </row>
    <row r="693">
      <c r="A693" s="17" t="str">
        <f>IFERROR(__xludf.DUMMYFUNCTION("""COMPUTED_VALUE"""),"ITC Ltd")</f>
        <v>ITC Ltd</v>
      </c>
      <c r="B693" s="17" t="str">
        <f>IFERROR(__xludf.DUMMYFUNCTION("""COMPUTED_VALUE"""),"Mr. Sanjiv Puri")</f>
        <v>Mr. Sanjiv Puri</v>
      </c>
      <c r="C693" s="17" t="str">
        <f>IFERROR(__xludf.DUMMYFUNCTION("""COMPUTED_VALUE"""),"Chairman &amp; Managing Director")</f>
        <v>Chairman &amp; Managing Director</v>
      </c>
      <c r="D693" s="17"/>
      <c r="E693" s="17"/>
      <c r="F693" s="17" t="str">
        <f>IFERROR(__xludf.DUMMYFUNCTION("""COMPUTED_VALUE"""),"rmukundan@tatachemicals.com")</f>
        <v>rmukundan@tatachemicals.com</v>
      </c>
      <c r="G693" s="17"/>
      <c r="H693" s="17"/>
    </row>
    <row r="694">
      <c r="A694" s="17" t="str">
        <f>IFERROR(__xludf.DUMMYFUNCTION("""COMPUTED_VALUE"""),"ITC Ltd")</f>
        <v>ITC Ltd</v>
      </c>
      <c r="B694" s="17" t="str">
        <f>IFERROR(__xludf.DUMMYFUNCTION("""COMPUTED_VALUE"""),"Mr. Nakul Anand")</f>
        <v>Mr. Nakul Anand</v>
      </c>
      <c r="C694" s="17" t="str">
        <f>IFERROR(__xludf.DUMMYFUNCTION("""COMPUTED_VALUE"""),"Executive Director")</f>
        <v>Executive Director</v>
      </c>
      <c r="D694" s="17"/>
      <c r="E694" s="17"/>
      <c r="F694" s="17" t="str">
        <f>IFERROR(__xludf.DUMMYFUNCTION("""COMPUTED_VALUE"""),"anakul@itcportal.com")</f>
        <v>anakul@itcportal.com</v>
      </c>
      <c r="G694" s="17"/>
      <c r="H694" s="17"/>
    </row>
    <row r="695">
      <c r="A695" s="17" t="str">
        <f>IFERROR(__xludf.DUMMYFUNCTION("""COMPUTED_VALUE"""),"UltraTech Cement Ltd")</f>
        <v>UltraTech Cement Ltd</v>
      </c>
      <c r="B695" s="17" t="str">
        <f>IFERROR(__xludf.DUMMYFUNCTION("""COMPUTED_VALUE"""),"Mr. Kumar Mangalam Birla")</f>
        <v>Mr. Kumar Mangalam Birla</v>
      </c>
      <c r="C695" s="17" t="str">
        <f>IFERROR(__xludf.DUMMYFUNCTION("""COMPUTED_VALUE"""),"Chairman")</f>
        <v>Chairman</v>
      </c>
      <c r="D695" s="17"/>
      <c r="E695" s="17"/>
      <c r="F695" s="17" t="str">
        <f>IFERROR(__xludf.DUMMYFUNCTION("""COMPUTED_VALUE"""),"b.kumar@adityabirla.com")</f>
        <v>b.kumar@adityabirla.com</v>
      </c>
      <c r="G695" s="17"/>
      <c r="H695" s="17"/>
    </row>
    <row r="696">
      <c r="A696" s="17" t="str">
        <f>IFERROR(__xludf.DUMMYFUNCTION("""COMPUTED_VALUE"""),"UltraTech Cement Ltd")</f>
        <v>UltraTech Cement Ltd</v>
      </c>
      <c r="B696" s="17" t="str">
        <f>IFERROR(__xludf.DUMMYFUNCTION("""COMPUTED_VALUE"""),"Mr. K. C. Jhanwar")</f>
        <v>Mr. K. C. Jhanwar</v>
      </c>
      <c r="C696" s="17" t="str">
        <f>IFERROR(__xludf.DUMMYFUNCTION("""COMPUTED_VALUE"""),"Managing Director")</f>
        <v>Managing Director</v>
      </c>
      <c r="D696" s="17"/>
      <c r="E696" s="17"/>
      <c r="F696" s="17" t="str">
        <f>IFERROR(__xludf.DUMMYFUNCTION("""COMPUTED_VALUE"""),"kailash.jhanwar@adityabirla.com")</f>
        <v>kailash.jhanwar@adityabirla.com</v>
      </c>
      <c r="G696" s="17"/>
      <c r="H696" s="17"/>
    </row>
    <row r="697">
      <c r="A697" s="17" t="str">
        <f>IFERROR(__xludf.DUMMYFUNCTION("""COMPUTED_VALUE"""),"Kotak Mahindra Bank Ltd")</f>
        <v>Kotak Mahindra Bank Ltd</v>
      </c>
      <c r="B697" s="17" t="str">
        <f>IFERROR(__xludf.DUMMYFUNCTION("""COMPUTED_VALUE"""),"Mr. Uday Kotak")</f>
        <v>Mr. Uday Kotak</v>
      </c>
      <c r="C697" s="17" t="str">
        <f>IFERROR(__xludf.DUMMYFUNCTION("""COMPUTED_VALUE"""),"Founder, Director")</f>
        <v>Founder, Director</v>
      </c>
      <c r="D697" s="17"/>
      <c r="E697" s="17"/>
      <c r="F697" s="17"/>
      <c r="G697" s="17"/>
      <c r="H697" s="17"/>
    </row>
    <row r="698">
      <c r="A698" s="17" t="str">
        <f>IFERROR(__xludf.DUMMYFUNCTION("""COMPUTED_VALUE"""),"Kotak Mahindra Bank Ltd")</f>
        <v>Kotak Mahindra Bank Ltd</v>
      </c>
      <c r="B698" s="17" t="str">
        <f>IFERROR(__xludf.DUMMYFUNCTION("""COMPUTED_VALUE"""),"Mr. Dipak Gupta")</f>
        <v>Mr. Dipak Gupta</v>
      </c>
      <c r="C698" s="17" t="str">
        <f>IFERROR(__xludf.DUMMYFUNCTION("""COMPUTED_VALUE"""),"Managing Director &amp; CEO")</f>
        <v>Managing Director &amp; CEO</v>
      </c>
      <c r="D698" s="17"/>
      <c r="E698" s="17"/>
      <c r="F698" s="17" t="str">
        <f>IFERROR(__xludf.DUMMYFUNCTION("""COMPUTED_VALUE"""),"deepak.gupta@sscinc.com")</f>
        <v>deepak.gupta@sscinc.com</v>
      </c>
      <c r="G698" s="17"/>
      <c r="H698" s="17"/>
    </row>
    <row r="699">
      <c r="A699" s="17" t="str">
        <f>IFERROR(__xludf.DUMMYFUNCTION("""COMPUTED_VALUE"""),"Kotak Mahindra Bank Ltd")</f>
        <v>Kotak Mahindra Bank Ltd</v>
      </c>
      <c r="B699" s="17" t="str">
        <f>IFERROR(__xludf.DUMMYFUNCTION("""COMPUTED_VALUE"""),"Mr. Ashok Vahani")</f>
        <v>Mr. Ashok Vahani</v>
      </c>
      <c r="C699" s="17" t="str">
        <f>IFERROR(__xludf.DUMMYFUNCTION("""COMPUTED_VALUE"""),"Managing Director")</f>
        <v>Managing Director</v>
      </c>
      <c r="D699" s="27" t="str">
        <f>IFERROR(__xludf.DUMMYFUNCTION("""COMPUTED_VALUE"""),"https://www.linkedin.com/in/ashokvaswani/?originalSubdomain=in")</f>
        <v>https://www.linkedin.com/in/ashokvaswani/?originalSubdomain=in</v>
      </c>
      <c r="E699" s="17"/>
      <c r="F699" s="17" t="str">
        <f>IFERROR(__xludf.DUMMYFUNCTION("""COMPUTED_VALUE"""),"ashok.vaswani@kotak.com")</f>
        <v>ashok.vaswani@kotak.com</v>
      </c>
      <c r="G699" s="17"/>
      <c r="H699" s="17"/>
    </row>
    <row r="700">
      <c r="A700" s="17" t="str">
        <f>IFERROR(__xludf.DUMMYFUNCTION("""COMPUTED_VALUE"""),"Microsoft")</f>
        <v>Microsoft</v>
      </c>
      <c r="B700" s="17" t="str">
        <f>IFERROR(__xludf.DUMMYFUNCTION("""COMPUTED_VALUE"""),"Mr. Rajiv Kumar")</f>
        <v>Mr. Rajiv Kumar</v>
      </c>
      <c r="C700" s="17" t="str">
        <f>IFERROR(__xludf.DUMMYFUNCTION("""COMPUTED_VALUE"""),"Managing Director")</f>
        <v>Managing Director</v>
      </c>
      <c r="D700" s="27" t="str">
        <f>IFERROR(__xludf.DUMMYFUNCTION("""COMPUTED_VALUE"""),"https://www.linkedin.com/in/rajivk-ms/")</f>
        <v>https://www.linkedin.com/in/rajivk-ms/</v>
      </c>
      <c r="E700" s="17"/>
      <c r="F700" s="17" t="str">
        <f>IFERROR(__xludf.DUMMYFUNCTION("""COMPUTED_VALUE"""),"rajiv.kumar@microsoft.com")</f>
        <v>rajiv.kumar@microsoft.com</v>
      </c>
      <c r="G700" s="17"/>
      <c r="H700" s="17"/>
    </row>
    <row r="701">
      <c r="A701" s="17" t="str">
        <f>IFERROR(__xludf.DUMMYFUNCTION("""COMPUTED_VALUE"""),"Microsoft")</f>
        <v>Microsoft</v>
      </c>
      <c r="B701" s="17" t="str">
        <f>IFERROR(__xludf.DUMMYFUNCTION("""COMPUTED_VALUE"""),"Mr. Satya Nadela")</f>
        <v>Mr. Satya Nadela</v>
      </c>
      <c r="C701" s="17" t="str">
        <f>IFERROR(__xludf.DUMMYFUNCTION("""COMPUTED_VALUE"""),"CEO and Chairman")</f>
        <v>CEO and Chairman</v>
      </c>
      <c r="D701" s="27" t="str">
        <f>IFERROR(__xludf.DUMMYFUNCTION("""COMPUTED_VALUE"""),"https://www.linkedin.com/in/satyanadella/")</f>
        <v>https://www.linkedin.com/in/satyanadella/</v>
      </c>
      <c r="E701" s="17"/>
      <c r="F701" s="17" t="str">
        <f>IFERROR(__xludf.DUMMYFUNCTION("""COMPUTED_VALUE"""),"satyan@microsoft.com")</f>
        <v>satyan@microsoft.com</v>
      </c>
      <c r="G701" s="17"/>
      <c r="H701" s="17"/>
    </row>
    <row r="702">
      <c r="A702" s="17" t="str">
        <f>IFERROR(__xludf.DUMMYFUNCTION("""COMPUTED_VALUE"""),"Microsoft")</f>
        <v>Microsoft</v>
      </c>
      <c r="B702" s="17" t="str">
        <f>IFERROR(__xludf.DUMMYFUNCTION("""COMPUTED_VALUE"""),"Mr. Scott Guthrie")</f>
        <v>Mr. Scott Guthrie</v>
      </c>
      <c r="C702" s="17" t="str">
        <f>IFERROR(__xludf.DUMMYFUNCTION("""COMPUTED_VALUE"""),"Executive Vice President")</f>
        <v>Executive Vice President</v>
      </c>
      <c r="D702" s="27" t="str">
        <f>IFERROR(__xludf.DUMMYFUNCTION("""COMPUTED_VALUE"""),"https://www.linkedin.com/in/guthriescott/")</f>
        <v>https://www.linkedin.com/in/guthriescott/</v>
      </c>
      <c r="E702" s="17"/>
      <c r="F702" s="17" t="str">
        <f>IFERROR(__xludf.DUMMYFUNCTION("""COMPUTED_VALUE"""),"scottgu@microsoft.com")</f>
        <v>scottgu@microsoft.com</v>
      </c>
      <c r="G702" s="17"/>
      <c r="H702" s="17"/>
    </row>
    <row r="703">
      <c r="A703" s="17" t="str">
        <f>IFERROR(__xludf.DUMMYFUNCTION("""COMPUTED_VALUE"""),"Microsoft AI")</f>
        <v>Microsoft AI</v>
      </c>
      <c r="B703" s="17" t="str">
        <f>IFERROR(__xludf.DUMMYFUNCTION("""COMPUTED_VALUE"""),"Mr. Mustafa Suleyman")</f>
        <v>Mr. Mustafa Suleyman</v>
      </c>
      <c r="C703" s="17" t="str">
        <f>IFERROR(__xludf.DUMMYFUNCTION("""COMPUTED_VALUE"""),"CEO ")</f>
        <v>CEO </v>
      </c>
      <c r="D703" s="27" t="str">
        <f>IFERROR(__xludf.DUMMYFUNCTION("""COMPUTED_VALUE"""),"https://www.linkedin.com/in/mustafa-suleyman/")</f>
        <v>https://www.linkedin.com/in/mustafa-suleyman/</v>
      </c>
      <c r="E703" s="17"/>
      <c r="F703" s="17" t="str">
        <f>IFERROR(__xludf.DUMMYFUNCTION("""COMPUTED_VALUE"""),"mustafas@microsoft.com")</f>
        <v>mustafas@microsoft.com</v>
      </c>
      <c r="G703" s="17" t="str">
        <f>IFERROR(__xludf.DUMMYFUNCTION("""COMPUTED_VALUE"""),"Microsoft")</f>
        <v>Microsoft</v>
      </c>
      <c r="H703" s="17" t="str">
        <f>IFERROR(__xludf.DUMMYFUNCTION("""COMPUTED_VALUE"""),"Mr. Christina Rogers")</f>
        <v>Mr. Christina Rogers</v>
      </c>
    </row>
    <row r="704">
      <c r="A704" s="17" t="str">
        <f>IFERROR(__xludf.DUMMYFUNCTION("""COMPUTED_VALUE"""),"Microsoft")</f>
        <v>Microsoft</v>
      </c>
      <c r="B704" s="17" t="str">
        <f>IFERROR(__xludf.DUMMYFUNCTION("""COMPUTED_VALUE"""),"Pallavi Walia")</f>
        <v>Pallavi Walia</v>
      </c>
      <c r="C704" s="17" t="str">
        <f>IFERROR(__xludf.DUMMYFUNCTION("""COMPUTED_VALUE"""),"Director of Comms")</f>
        <v>Director of Comms</v>
      </c>
      <c r="D704" s="27" t="str">
        <f>IFERROR(__xludf.DUMMYFUNCTION("""COMPUTED_VALUE"""),"https://www.linkedin.com/in/pallaviwalia/?originalSubdomain=in")</f>
        <v>https://www.linkedin.com/in/pallaviwalia/?originalSubdomain=in</v>
      </c>
      <c r="E704" s="17" t="str">
        <f>IFERROR(__xludf.DUMMYFUNCTION("""COMPUTED_VALUE"""),"919810649593")</f>
        <v>919810649593</v>
      </c>
      <c r="F704" s="17" t="str">
        <f>IFERROR(__xludf.DUMMYFUNCTION("""COMPUTED_VALUE"""),"pwalia@microsoft.com")</f>
        <v>pwalia@microsoft.com</v>
      </c>
      <c r="G704" s="17"/>
      <c r="H704" s="17"/>
    </row>
    <row r="705">
      <c r="A705" s="17" t="str">
        <f>IFERROR(__xludf.DUMMYFUNCTION("""COMPUTED_VALUE"""),"Microsoft")</f>
        <v>Microsoft</v>
      </c>
      <c r="B705" s="17" t="str">
        <f>IFERROR(__xludf.DUMMYFUNCTION("""COMPUTED_VALUE"""),"Lauren Myers")</f>
        <v>Lauren Myers</v>
      </c>
      <c r="C705" s="17" t="str">
        <f>IFERROR(__xludf.DUMMYFUNCTION("""COMPUTED_VALUE"""),"Head of Comms")</f>
        <v>Head of Comms</v>
      </c>
      <c r="D705" s="27" t="str">
        <f>IFERROR(__xludf.DUMMYFUNCTION("""COMPUTED_VALUE"""),"https://www.linkedin.com/in/lauren-myers-cavanagh-71801517/")</f>
        <v>https://www.linkedin.com/in/lauren-myers-cavanagh-71801517/</v>
      </c>
      <c r="E705" s="17"/>
      <c r="F705" s="17" t="str">
        <f>IFERROR(__xludf.DUMMYFUNCTION("""COMPUTED_VALUE"""),"laurenmc@microsoft.com")</f>
        <v>laurenmc@microsoft.com</v>
      </c>
      <c r="G705" s="17"/>
      <c r="H705" s="17"/>
    </row>
    <row r="706">
      <c r="A706" s="17" t="str">
        <f>IFERROR(__xludf.DUMMYFUNCTION("""COMPUTED_VALUE"""),"Bank of Baroda")</f>
        <v>Bank of Baroda</v>
      </c>
      <c r="B706" s="17" t="str">
        <f>IFERROR(__xludf.DUMMYFUNCTION("""COMPUTED_VALUE"""),"Mr. Debadatta Chand")</f>
        <v>Mr. Debadatta Chand</v>
      </c>
      <c r="C706" s="17" t="str">
        <f>IFERROR(__xludf.DUMMYFUNCTION("""COMPUTED_VALUE"""),"Managing Director &amp; CEO")</f>
        <v>Managing Director &amp; CEO</v>
      </c>
      <c r="D706" s="27" t="str">
        <f>IFERROR(__xludf.DUMMYFUNCTION("""COMPUTED_VALUE"""),"https://www.linkedin.com/in/dr-debadatta-chand-0208b711a/?originalSubdomain=in")</f>
        <v>https://www.linkedin.com/in/dr-debadatta-chand-0208b711a/?originalSubdomain=in</v>
      </c>
      <c r="E706" s="17"/>
      <c r="F706" s="17"/>
      <c r="G706" s="17"/>
      <c r="H706" s="17"/>
    </row>
    <row r="707">
      <c r="A707" s="17" t="str">
        <f>IFERROR(__xludf.DUMMYFUNCTION("""COMPUTED_VALUE"""),"Bank of Baroda")</f>
        <v>Bank of Baroda</v>
      </c>
      <c r="B707" s="17" t="str">
        <f>IFERROR(__xludf.DUMMYFUNCTION("""COMPUTED_VALUE"""),"Mr. Lalit Tyagi")</f>
        <v>Mr. Lalit Tyagi</v>
      </c>
      <c r="C707" s="17" t="str">
        <f>IFERROR(__xludf.DUMMYFUNCTION("""COMPUTED_VALUE"""),"Executive Director")</f>
        <v>Executive Director</v>
      </c>
      <c r="D707" s="27" t="str">
        <f>IFERROR(__xludf.DUMMYFUNCTION("""COMPUTED_VALUE"""),"https://www.linkedin.com/in/lalit-tyagi-8643b416/?originalSubdomain=in")</f>
        <v>https://www.linkedin.com/in/lalit-tyagi-8643b416/?originalSubdomain=in</v>
      </c>
      <c r="E707" s="17"/>
      <c r="F707" s="17" t="str">
        <f>IFERROR(__xludf.DUMMYFUNCTION("""COMPUTED_VALUE"""),"lalit.tyagi@bankofbaroda.com")</f>
        <v>lalit.tyagi@bankofbaroda.com</v>
      </c>
      <c r="G707" s="17"/>
      <c r="H707" s="17"/>
    </row>
    <row r="708">
      <c r="A708" s="17" t="str">
        <f>IFERROR(__xludf.DUMMYFUNCTION("""COMPUTED_VALUE"""),"HCL Technologies Ltd")</f>
        <v>HCL Technologies Ltd</v>
      </c>
      <c r="B708" s="17" t="str">
        <f>IFERROR(__xludf.DUMMYFUNCTION("""COMPUTED_VALUE"""),"Shiva Nadar")</f>
        <v>Shiva Nadar</v>
      </c>
      <c r="C708" s="17" t="str">
        <f>IFERROR(__xludf.DUMMYFUNCTION("""COMPUTED_VALUE"""),"Chairman Emeritus")</f>
        <v>Chairman Emeritus</v>
      </c>
      <c r="D708" s="17"/>
      <c r="E708" s="17"/>
      <c r="F708" s="17" t="str">
        <f>IFERROR(__xludf.DUMMYFUNCTION("""COMPUTED_VALUE""")," foundationconnect@shivnadarfoundation.org")</f>
        <v> foundationconnect@shivnadarfoundation.org</v>
      </c>
      <c r="G708" s="17"/>
      <c r="H708" s="17"/>
    </row>
    <row r="709">
      <c r="A709" s="17" t="str">
        <f>IFERROR(__xludf.DUMMYFUNCTION("""COMPUTED_VALUE"""),"HCL Technologies Ltd")</f>
        <v>HCL Technologies Ltd</v>
      </c>
      <c r="B709" s="17" t="str">
        <f>IFERROR(__xludf.DUMMYFUNCTION("""COMPUTED_VALUE"""),"C Vijayakumar")</f>
        <v>C Vijayakumar</v>
      </c>
      <c r="C709" s="17" t="str">
        <f>IFERROR(__xludf.DUMMYFUNCTION("""COMPUTED_VALUE"""),"CEO &amp; Managing Director")</f>
        <v>CEO &amp; Managing Director</v>
      </c>
      <c r="D709" s="17"/>
      <c r="E709" s="17"/>
      <c r="F709" s="17" t="str">
        <f>IFERROR(__xludf.DUMMYFUNCTION("""COMPUTED_VALUE"""),"vijayakumar_c@hcltech.com")</f>
        <v>vijayakumar_c@hcltech.com</v>
      </c>
      <c r="G709" s="17"/>
      <c r="H709" s="17"/>
    </row>
    <row r="710">
      <c r="A710" s="17" t="str">
        <f>IFERROR(__xludf.DUMMYFUNCTION("""COMPUTED_VALUE"""),"Bajaj Finserv Ltd")</f>
        <v>Bajaj Finserv Ltd</v>
      </c>
      <c r="B710" s="17" t="str">
        <f>IFERROR(__xludf.DUMMYFUNCTION("""COMPUTED_VALUE"""),"Sanjiv Bajaj")</f>
        <v>Sanjiv Bajaj</v>
      </c>
      <c r="C710" s="17" t="str">
        <f>IFERROR(__xludf.DUMMYFUNCTION("""COMPUTED_VALUE"""),"Chairman and Managing Director")</f>
        <v>Chairman and Managing Director</v>
      </c>
      <c r="D710" s="27" t="str">
        <f>IFERROR(__xludf.DUMMYFUNCTION("""COMPUTED_VALUE"""),"https://www.linkedin.com/in/sanjiv-r-bajaj/?originalSubdomain=in")</f>
        <v>https://www.linkedin.com/in/sanjiv-r-bajaj/?originalSubdomain=in</v>
      </c>
      <c r="E710" s="17"/>
      <c r="F710" s="17" t="str">
        <f>IFERROR(__xludf.DUMMYFUNCTION("""COMPUTED_VALUE"""),"sanjiv.bajaj@cii.in")</f>
        <v>sanjiv.bajaj@cii.in</v>
      </c>
      <c r="G710" s="17"/>
      <c r="H710" s="17"/>
    </row>
    <row r="711">
      <c r="A711" s="17" t="str">
        <f>IFERROR(__xludf.DUMMYFUNCTION("""COMPUTED_VALUE"""),"Bajaj Finserv Ltd")</f>
        <v>Bajaj Finserv Ltd</v>
      </c>
      <c r="B711" s="17" t="str">
        <f>IFERROR(__xludf.DUMMYFUNCTION("""COMPUTED_VALUE"""),"Ganesh Mohan")</f>
        <v>Ganesh Mohan</v>
      </c>
      <c r="C711" s="17" t="str">
        <f>IFERROR(__xludf.DUMMYFUNCTION("""COMPUTED_VALUE"""),"Managing Director, Asset Mgmt")</f>
        <v>Managing Director, Asset Mgmt</v>
      </c>
      <c r="D711" s="27" t="str">
        <f>IFERROR(__xludf.DUMMYFUNCTION("""COMPUTED_VALUE"""),"https://www.linkedin.com/in/ganesh-mohan-5840841/?originalSubdomain=in")</f>
        <v>https://www.linkedin.com/in/ganesh-mohan-5840841/?originalSubdomain=in</v>
      </c>
      <c r="E711" s="17"/>
      <c r="F711" s="17" t="str">
        <f>IFERROR(__xludf.DUMMYFUNCTION("""COMPUTED_VALUE"""),"ganesh.mohan@bajajamc.com")</f>
        <v>ganesh.mohan@bajajamc.com</v>
      </c>
      <c r="G711" s="17"/>
      <c r="H711" s="17"/>
    </row>
    <row r="712">
      <c r="A712" s="17" t="str">
        <f>IFERROR(__xludf.DUMMYFUNCTION("""COMPUTED_VALUE"""),"NVIDIA")</f>
        <v>NVIDIA</v>
      </c>
      <c r="B712" s="17" t="str">
        <f>IFERROR(__xludf.DUMMYFUNCTION("""COMPUTED_VALUE"""),"Jensen Huang")</f>
        <v>Jensen Huang</v>
      </c>
      <c r="C712" s="17" t="str">
        <f>IFERROR(__xludf.DUMMYFUNCTION("""COMPUTED_VALUE"""),"Founder and CEO")</f>
        <v>Founder and CEO</v>
      </c>
      <c r="D712" s="27" t="str">
        <f>IFERROR(__xludf.DUMMYFUNCTION("""COMPUTED_VALUE"""),"https://www.linkedin.com/in/jenhsunhuang/")</f>
        <v>https://www.linkedin.com/in/jenhsunhuang/</v>
      </c>
      <c r="E712" s="17"/>
      <c r="F712" s="17" t="str">
        <f>IFERROR(__xludf.DUMMYFUNCTION("""COMPUTED_VALUE"""),"jensenh@nvidia.com")</f>
        <v>jensenh@nvidia.com</v>
      </c>
      <c r="G712" s="17"/>
      <c r="H712" s="17"/>
    </row>
    <row r="713">
      <c r="A713" s="17" t="str">
        <f>IFERROR(__xludf.DUMMYFUNCTION("""COMPUTED_VALUE"""),"NVIDIA")</f>
        <v>NVIDIA</v>
      </c>
      <c r="B713" s="17" t="str">
        <f>IFERROR(__xludf.DUMMYFUNCTION("""COMPUTED_VALUE"""),"Colette Kress")</f>
        <v>Colette Kress</v>
      </c>
      <c r="C713" s="17" t="str">
        <f>IFERROR(__xludf.DUMMYFUNCTION("""COMPUTED_VALUE"""),"EVP/CFO")</f>
        <v>EVP/CFO</v>
      </c>
      <c r="D713" s="27" t="str">
        <f>IFERROR(__xludf.DUMMYFUNCTION("""COMPUTED_VALUE"""),"https://www.linkedin.com/in/colette-kress-22328346/")</f>
        <v>https://www.linkedin.com/in/colette-kress-22328346/</v>
      </c>
      <c r="E713" s="17"/>
      <c r="F713" s="17" t="str">
        <f>IFERROR(__xludf.DUMMYFUNCTION("""COMPUTED_VALUE"""),"ckress@nvidia.com")</f>
        <v>ckress@nvidia.com</v>
      </c>
      <c r="G713" s="17" t="str">
        <f>IFERROR(__xludf.DUMMYFUNCTION("""COMPUTED_VALUE"""),"colettekress@hotmail.com")</f>
        <v>colettekress@hotmail.com</v>
      </c>
      <c r="H713" s="17"/>
    </row>
    <row r="714">
      <c r="A714" s="17" t="str">
        <f>IFERROR(__xludf.DUMMYFUNCTION("""COMPUTED_VALUE"""),"NVIDIA")</f>
        <v>NVIDIA</v>
      </c>
      <c r="B714" s="17" t="str">
        <f>IFERROR(__xludf.DUMMYFUNCTION("""COMPUTED_VALUE"""),"Sachiko Gomez")</f>
        <v>Sachiko Gomez</v>
      </c>
      <c r="C714" s="17" t="str">
        <f>IFERROR(__xludf.DUMMYFUNCTION("""COMPUTED_VALUE"""),"Executive Assistant")</f>
        <v>Executive Assistant</v>
      </c>
      <c r="D714" s="27" t="str">
        <f>IFERROR(__xludf.DUMMYFUNCTION("""COMPUTED_VALUE"""),"https://www.linkedin.com/in/sachiko-gomez-57219777/")</f>
        <v>https://www.linkedin.com/in/sachiko-gomez-57219777/</v>
      </c>
      <c r="E714" s="17"/>
      <c r="F714" s="17" t="str">
        <f>IFERROR(__xludf.DUMMYFUNCTION("""COMPUTED_VALUE"""),"sgomez@nvidia.com")</f>
        <v>sgomez@nvidia.com</v>
      </c>
      <c r="G714" s="17"/>
      <c r="H714" s="17"/>
    </row>
    <row r="715">
      <c r="A715" s="17" t="str">
        <f>IFERROR(__xludf.DUMMYFUNCTION("""COMPUTED_VALUE"""),"NVIDIA")</f>
        <v>NVIDIA</v>
      </c>
      <c r="B715" s="17" t="str">
        <f>IFERROR(__xludf.DUMMYFUNCTION("""COMPUTED_VALUE"""),"Vishal Dhupar")</f>
        <v>Vishal Dhupar</v>
      </c>
      <c r="C715" s="17" t="str">
        <f>IFERROR(__xludf.DUMMYFUNCTION("""COMPUTED_VALUE"""),"Managing Director")</f>
        <v>Managing Director</v>
      </c>
      <c r="D715" s="27" t="str">
        <f>IFERROR(__xludf.DUMMYFUNCTION("""COMPUTED_VALUE"""),"https://www.linkedin.com/in/vishaldhupar/?originalSubdomain=in")</f>
        <v>https://www.linkedin.com/in/vishaldhupar/?originalSubdomain=in</v>
      </c>
      <c r="E715" s="17"/>
      <c r="F715" s="17" t="str">
        <f>IFERROR(__xludf.DUMMYFUNCTION("""COMPUTED_VALUE"""),"vdhupar@nvidia.com")</f>
        <v>vdhupar@nvidia.com</v>
      </c>
      <c r="G715" s="17"/>
      <c r="H715" s="17"/>
    </row>
    <row r="716">
      <c r="A716" s="17" t="str">
        <f>IFERROR(__xludf.DUMMYFUNCTION("""COMPUTED_VALUE"""),"NVIDIA")</f>
        <v>NVIDIA</v>
      </c>
      <c r="B716" s="17" t="str">
        <f>IFERROR(__xludf.DUMMYFUNCTION("""COMPUTED_VALUE"""),"Anabella James")</f>
        <v>Anabella James</v>
      </c>
      <c r="C716" s="17" t="str">
        <f>IFERROR(__xludf.DUMMYFUNCTION("""COMPUTED_VALUE"""),"Executvie Assistant")</f>
        <v>Executvie Assistant</v>
      </c>
      <c r="D716" s="27" t="str">
        <f>IFERROR(__xludf.DUMMYFUNCTION("""COMPUTED_VALUE"""),"https://www.linkedin.com/in/anabella-james-a9434826/")</f>
        <v>https://www.linkedin.com/in/anabella-james-a9434826/</v>
      </c>
      <c r="E716" s="17"/>
      <c r="F716" s="17" t="str">
        <f>IFERROR(__xludf.DUMMYFUNCTION("""COMPUTED_VALUE"""),"anabellaj@nvidia.com")</f>
        <v>anabellaj@nvidia.com</v>
      </c>
      <c r="G716" s="17"/>
      <c r="H716" s="17"/>
    </row>
    <row r="717">
      <c r="A717" s="17" t="str">
        <f>IFERROR(__xludf.DUMMYFUNCTION("""COMPUTED_VALUE"""),"//DO NOT MAIL REMAINING NVIDIA")</f>
        <v>//DO NOT MAIL REMAINING NVIDIA</v>
      </c>
      <c r="B717" s="17"/>
      <c r="C717" s="17"/>
      <c r="D717" s="17"/>
      <c r="E717" s="17"/>
      <c r="F717" s="17"/>
      <c r="G717" s="17"/>
      <c r="H717" s="17"/>
    </row>
    <row r="718">
      <c r="A718" s="17" t="str">
        <f>IFERROR(__xludf.DUMMYFUNCTION("""COMPUTED_VALUE"""),"NVIDIA")</f>
        <v>NVIDIA</v>
      </c>
      <c r="B718" s="17" t="str">
        <f>IFERROR(__xludf.DUMMYFUNCTION("""COMPUTED_VALUE"""),"Janinie Paniagua")</f>
        <v>Janinie Paniagua</v>
      </c>
      <c r="C718" s="17" t="str">
        <f>IFERROR(__xludf.DUMMYFUNCTION("""COMPUTED_VALUE"""),"Director of Executive Communications")</f>
        <v>Director of Executive Communications</v>
      </c>
      <c r="D718" s="27" t="str">
        <f>IFERROR(__xludf.DUMMYFUNCTION("""COMPUTED_VALUE"""),"https://www.linkedin.com/in/janine-paniagua-23560747/")</f>
        <v>https://www.linkedin.com/in/janine-paniagua-23560747/</v>
      </c>
      <c r="E718" s="17"/>
      <c r="F718" s="17" t="str">
        <f>IFERROR(__xludf.DUMMYFUNCTION("""COMPUTED_VALUE"""),"janinep@nvidia.com")</f>
        <v>janinep@nvidia.com</v>
      </c>
      <c r="G718" s="17"/>
      <c r="H718" s="17"/>
    </row>
    <row r="719">
      <c r="A719" s="17" t="str">
        <f>IFERROR(__xludf.DUMMYFUNCTION("""COMPUTED_VALUE"""),"NVIDIA")</f>
        <v>NVIDIA</v>
      </c>
      <c r="B719" s="17" t="str">
        <f>IFERROR(__xludf.DUMMYFUNCTION("""COMPUTED_VALUE"""),"Sydney Massing- Schaffer")</f>
        <v>Sydney Massing- Schaffer</v>
      </c>
      <c r="C719" s="17" t="str">
        <f>IFERROR(__xludf.DUMMYFUNCTION("""COMPUTED_VALUE"""),"Corporate Events")</f>
        <v>Corporate Events</v>
      </c>
      <c r="D719" s="27" t="str">
        <f>IFERROR(__xludf.DUMMYFUNCTION("""COMPUTED_VALUE"""),"https://www.linkedin.com/in/sydneymassing/")</f>
        <v>https://www.linkedin.com/in/sydneymassing/</v>
      </c>
      <c r="E719" s="17"/>
      <c r="F719" s="17" t="str">
        <f>IFERROR(__xludf.DUMMYFUNCTION("""COMPUTED_VALUE"""),"smassing@nvidia.com")</f>
        <v>smassing@nvidia.com</v>
      </c>
      <c r="G719" s="17"/>
      <c r="H719" s="17"/>
    </row>
    <row r="720">
      <c r="A720" s="17" t="str">
        <f>IFERROR(__xludf.DUMMYFUNCTION("""COMPUTED_VALUE"""),"NVIDIA")</f>
        <v>NVIDIA</v>
      </c>
      <c r="B720" s="17" t="str">
        <f>IFERROR(__xludf.DUMMYFUNCTION("""COMPUTED_VALUE"""),"Laura Fay")</f>
        <v>Laura Fay</v>
      </c>
      <c r="C720" s="17" t="str">
        <f>IFERROR(__xludf.DUMMYFUNCTION("""COMPUTED_VALUE"""),"Vice President Enterprise Marketing")</f>
        <v>Vice President Enterprise Marketing</v>
      </c>
      <c r="D720" s="27" t="str">
        <f>IFERROR(__xludf.DUMMYFUNCTION("""COMPUTED_VALUE"""),"https://www.linkedin.com/in/laura-fay-b95688/")</f>
        <v>https://www.linkedin.com/in/laura-fay-b95688/</v>
      </c>
      <c r="E720" s="17"/>
      <c r="F720" s="17" t="str">
        <f>IFERROR(__xludf.DUMMYFUNCTION("""COMPUTED_VALUE"""),"lfay@nvidia.com")</f>
        <v>lfay@nvidia.com</v>
      </c>
      <c r="G720" s="17"/>
      <c r="H720" s="17"/>
    </row>
    <row r="721">
      <c r="A721" s="17" t="str">
        <f>IFERROR(__xludf.DUMMYFUNCTION("""COMPUTED_VALUE"""),"NVIDIA")</f>
        <v>NVIDIA</v>
      </c>
      <c r="B721" s="17" t="str">
        <f>IFERROR(__xludf.DUMMYFUNCTION("""COMPUTED_VALUE"""),"Yogesh Agrawal")</f>
        <v>Yogesh Agrawal</v>
      </c>
      <c r="C721" s="17" t="str">
        <f>IFERROR(__xludf.DUMMYFUNCTION("""COMPUTED_VALUE"""),"Vice President")</f>
        <v>Vice President</v>
      </c>
      <c r="D721" s="27" t="str">
        <f>IFERROR(__xludf.DUMMYFUNCTION("""COMPUTED_VALUE"""),"https://www.linkedin.com/in/yagrawal/")</f>
        <v>https://www.linkedin.com/in/yagrawal/</v>
      </c>
      <c r="E721" s="17"/>
      <c r="F721" s="17" t="str">
        <f>IFERROR(__xludf.DUMMYFUNCTION("""COMPUTED_VALUE"""),"yogesha@nvidia.com")</f>
        <v>yogesha@nvidia.com</v>
      </c>
      <c r="G721" s="17"/>
      <c r="H721" s="17"/>
    </row>
    <row r="722">
      <c r="A722" s="17" t="str">
        <f>IFERROR(__xludf.DUMMYFUNCTION("""COMPUTED_VALUE"""),"NVIDIA")</f>
        <v>NVIDIA</v>
      </c>
      <c r="B722" s="17" t="str">
        <f>IFERROR(__xludf.DUMMYFUNCTION("""COMPUTED_VALUE"""),"Mark Hamilton")</f>
        <v>Mark Hamilton</v>
      </c>
      <c r="C722" s="17" t="str">
        <f>IFERROR(__xludf.DUMMYFUNCTION("""COMPUTED_VALUE"""),"VP, Solution Architecture")</f>
        <v>VP, Solution Architecture</v>
      </c>
      <c r="D722" s="27" t="str">
        <f>IFERROR(__xludf.DUMMYFUNCTION("""COMPUTED_VALUE"""),"https://www.linkedin.com/in/marchamilton/")</f>
        <v>https://www.linkedin.com/in/marchamilton/</v>
      </c>
      <c r="E722" s="17"/>
      <c r="F722" s="17" t="str">
        <f>IFERROR(__xludf.DUMMYFUNCTION("""COMPUTED_VALUE"""),"mhamilton@nvidia.com")</f>
        <v>mhamilton@nvidia.com</v>
      </c>
      <c r="G722" s="17"/>
      <c r="H722" s="17"/>
    </row>
    <row r="723">
      <c r="A723" s="17" t="str">
        <f>IFERROR(__xludf.DUMMYFUNCTION("""COMPUTED_VALUE"""),"Coal India Ltd")</f>
        <v>Coal India Ltd</v>
      </c>
      <c r="B723" s="17" t="str">
        <f>IFERROR(__xludf.DUMMYFUNCTION("""COMPUTED_VALUE"""),"G Pandey")</f>
        <v>G Pandey</v>
      </c>
      <c r="C723" s="17" t="str">
        <f>IFERROR(__xludf.DUMMYFUNCTION("""COMPUTED_VALUE"""),"Director (Business Development)")</f>
        <v>Director (Business Development)</v>
      </c>
      <c r="D723" s="17"/>
      <c r="E723" s="17"/>
      <c r="F723" s="17" t="str">
        <f>IFERROR(__xludf.DUMMYFUNCTION("""COMPUTED_VALUE"""),"dtop.ncl.cil@coalindia.in")</f>
        <v>dtop.ncl.cil@coalindia.in</v>
      </c>
      <c r="G723" s="17"/>
      <c r="H723" s="17"/>
    </row>
    <row r="724">
      <c r="A724" s="17" t="str">
        <f>IFERROR(__xludf.DUMMYFUNCTION("""COMPUTED_VALUE"""),"Accenture")</f>
        <v>Accenture</v>
      </c>
      <c r="B724" s="17" t="str">
        <f>IFERROR(__xludf.DUMMYFUNCTION("""COMPUTED_VALUE"""),"Julie Sweet")</f>
        <v>Julie Sweet</v>
      </c>
      <c r="C724" s="17" t="str">
        <f>IFERROR(__xludf.DUMMYFUNCTION("""COMPUTED_VALUE"""),"CEO")</f>
        <v>CEO</v>
      </c>
      <c r="D724" s="27" t="str">
        <f>IFERROR(__xludf.DUMMYFUNCTION("""COMPUTED_VALUE"""),"https://www.linkedin.com/in/julie-sweet/")</f>
        <v>https://www.linkedin.com/in/julie-sweet/</v>
      </c>
      <c r="E724" s="17"/>
      <c r="F724" s="17" t="str">
        <f>IFERROR(__xludf.DUMMYFUNCTION("""COMPUTED_VALUE"""),"julie.sweet@accenture.com")</f>
        <v>julie.sweet@accenture.com</v>
      </c>
      <c r="G724" s="17"/>
      <c r="H724" s="17"/>
    </row>
    <row r="725">
      <c r="A725" s="17" t="str">
        <f>IFERROR(__xludf.DUMMYFUNCTION("""COMPUTED_VALUE"""),"Accenture")</f>
        <v>Accenture</v>
      </c>
      <c r="B725" s="17" t="str">
        <f>IFERROR(__xludf.DUMMYFUNCTION("""COMPUTED_VALUE"""),"Ajay Vij")</f>
        <v>Ajay Vij</v>
      </c>
      <c r="C725" s="17" t="str">
        <f>IFERROR(__xludf.DUMMYFUNCTION("""COMPUTED_VALUE"""),"Managing Director")</f>
        <v>Managing Director</v>
      </c>
      <c r="D725" s="27" t="str">
        <f>IFERROR(__xludf.DUMMYFUNCTION("""COMPUTED_VALUE"""),"https://www.linkedin.com/in/ajay-vij-040292/?originalSubdomain=in")</f>
        <v>https://www.linkedin.com/in/ajay-vij-040292/?originalSubdomain=in</v>
      </c>
      <c r="E725" s="17"/>
      <c r="F725" s="17" t="str">
        <f>IFERROR(__xludf.DUMMYFUNCTION("""COMPUTED_VALUE"""),"ajay.vij@accenture.com")</f>
        <v>ajay.vij@accenture.com</v>
      </c>
      <c r="G725" s="17"/>
      <c r="H725" s="17"/>
    </row>
    <row r="726">
      <c r="A726" s="17" t="str">
        <f>IFERROR(__xludf.DUMMYFUNCTION("""COMPUTED_VALUE"""),"Accenture")</f>
        <v>Accenture</v>
      </c>
      <c r="B726" s="17" t="str">
        <f>IFERROR(__xludf.DUMMYFUNCTION("""COMPUTED_VALUE"""),"Arundhati Chakraborty")</f>
        <v>Arundhati Chakraborty</v>
      </c>
      <c r="C726" s="17" t="str">
        <f>IFERROR(__xludf.DUMMYFUNCTION("""COMPUTED_VALUE"""),"Chief Executive")</f>
        <v>Chief Executive</v>
      </c>
      <c r="D726" s="27" t="str">
        <f>IFERROR(__xludf.DUMMYFUNCTION("""COMPUTED_VALUE"""),"https://www.linkedin.com/in/arundhati-chak/")</f>
        <v>https://www.linkedin.com/in/arundhati-chak/</v>
      </c>
      <c r="E726" s="17"/>
      <c r="F726" s="17" t="str">
        <f>IFERROR(__xludf.DUMMYFUNCTION("""COMPUTED_VALUE"""),"arundhati0708@gmail.com")</f>
        <v>arundhati0708@gmail.com</v>
      </c>
      <c r="G726" s="17"/>
      <c r="H726" s="17"/>
    </row>
    <row r="727">
      <c r="A727" s="17" t="str">
        <f>IFERROR(__xludf.DUMMYFUNCTION("""COMPUTED_VALUE"""),"Accenture")</f>
        <v>Accenture</v>
      </c>
      <c r="B727" s="17" t="str">
        <f>IFERROR(__xludf.DUMMYFUNCTION("""COMPUTED_VALUE"""),"Mansi Arora")</f>
        <v>Mansi Arora</v>
      </c>
      <c r="C727" s="17" t="str">
        <f>IFERROR(__xludf.DUMMYFUNCTION("""COMPUTED_VALUE"""),"Managing Director")</f>
        <v>Managing Director</v>
      </c>
      <c r="D727" s="27" t="str">
        <f>IFERROR(__xludf.DUMMYFUNCTION("""COMPUTED_VALUE"""),"https://www.linkedin.com/in/raghupolisetty/")</f>
        <v>https://www.linkedin.com/in/raghupolisetty/</v>
      </c>
      <c r="E727" s="17"/>
      <c r="F727" s="17" t="str">
        <f>IFERROR(__xludf.DUMMYFUNCTION("""COMPUTED_VALUE"""),"mansi.arora@accenture.com")</f>
        <v>mansi.arora@accenture.com</v>
      </c>
      <c r="G727" s="17"/>
      <c r="H727" s="17"/>
    </row>
    <row r="728">
      <c r="A728" s="17" t="str">
        <f>IFERROR(__xludf.DUMMYFUNCTION("""COMPUTED_VALUE"""),"Accenture")</f>
        <v>Accenture</v>
      </c>
      <c r="B728" s="17" t="str">
        <f>IFERROR(__xludf.DUMMYFUNCTION("""COMPUTED_VALUE"""),"Priyanka Abbi")</f>
        <v>Priyanka Abbi</v>
      </c>
      <c r="C728" s="17" t="str">
        <f>IFERROR(__xludf.DUMMYFUNCTION("""COMPUTED_VALUE"""),"Managing Director")</f>
        <v>Managing Director</v>
      </c>
      <c r="D728" s="27" t="str">
        <f>IFERROR(__xludf.DUMMYFUNCTION("""COMPUTED_VALUE"""),"https://www.linkedin.com/in/priyankaabbi09/")</f>
        <v>https://www.linkedin.com/in/priyankaabbi09/</v>
      </c>
      <c r="E728" s="17"/>
      <c r="F728" s="17" t="str">
        <f>IFERROR(__xludf.DUMMYFUNCTION("""COMPUTED_VALUE"""),"priyanka.abbi@accenture.com")</f>
        <v>priyanka.abbi@accenture.com</v>
      </c>
      <c r="G728" s="17"/>
      <c r="H728" s="17"/>
    </row>
    <row r="729">
      <c r="A729" s="17" t="str">
        <f>IFERROR(__xludf.DUMMYFUNCTION("""COMPUTED_VALUE"""),"Accenture")</f>
        <v>Accenture</v>
      </c>
      <c r="B729" s="17" t="str">
        <f>IFERROR(__xludf.DUMMYFUNCTION("""COMPUTED_VALUE"""),"Alison Kennedy")</f>
        <v>Alison Kennedy</v>
      </c>
      <c r="C729" s="17" t="str">
        <f>IFERROR(__xludf.DUMMYFUNCTION("""COMPUTED_VALUE"""),"Senior Managing Director")</f>
        <v>Senior Managing Director</v>
      </c>
      <c r="D729" s="27" t="str">
        <f>IFERROR(__xludf.DUMMYFUNCTION("""COMPUTED_VALUE"""),"https://www.linkedin.com/in/alison-kennedy-2aaa6b14/")</f>
        <v>https://www.linkedin.com/in/alison-kennedy-2aaa6b14/</v>
      </c>
      <c r="E729" s="17"/>
      <c r="F729" s="17" t="str">
        <f>IFERROR(__xludf.DUMMYFUNCTION("""COMPUTED_VALUE"""),"alison.kennedy@accenture.com")</f>
        <v>alison.kennedy@accenture.com</v>
      </c>
      <c r="G729" s="17"/>
      <c r="H729" s="17"/>
    </row>
    <row r="730">
      <c r="A730" s="17" t="str">
        <f>IFERROR(__xludf.DUMMYFUNCTION("""COMPUTED_VALUE"""),"Accenture")</f>
        <v>Accenture</v>
      </c>
      <c r="B730" s="17" t="str">
        <f>IFERROR(__xludf.DUMMYFUNCTION("""COMPUTED_VALUE"""),"Sumedha Mahorey")</f>
        <v>Sumedha Mahorey</v>
      </c>
      <c r="C730" s="17" t="str">
        <f>IFERROR(__xludf.DUMMYFUNCTION("""COMPUTED_VALUE"""),"Global Media Relatons Lead")</f>
        <v>Global Media Relatons Lead</v>
      </c>
      <c r="D730" s="27" t="str">
        <f>IFERROR(__xludf.DUMMYFUNCTION("""COMPUTED_VALUE"""),"https://www.linkedin.com/in/sumedha-mahorey-4a523a3/")</f>
        <v>https://www.linkedin.com/in/sumedha-mahorey-4a523a3/</v>
      </c>
      <c r="E730" s="17" t="str">
        <f>IFERROR(__xludf.DUMMYFUNCTION("""COMPUTED_VALUE"""),"919820192152")</f>
        <v>919820192152</v>
      </c>
      <c r="F730" s="17" t="str">
        <f>IFERROR(__xludf.DUMMYFUNCTION("""COMPUTED_VALUE"""),"sumedha.mahorey@accenture.com")</f>
        <v>sumedha.mahorey@accenture.com</v>
      </c>
      <c r="G730" s="17"/>
      <c r="H730" s="17"/>
    </row>
    <row r="731">
      <c r="A731" s="17" t="str">
        <f>IFERROR(__xludf.DUMMYFUNCTION("""COMPUTED_VALUE"""),"Aditya Birla Group")</f>
        <v>Aditya Birla Group</v>
      </c>
      <c r="B731" s="17" t="str">
        <f>IFERROR(__xludf.DUMMYFUNCTION("""COMPUTED_VALUE"""),"Kumar Mangalam Birla")</f>
        <v>Kumar Mangalam Birla</v>
      </c>
      <c r="C731" s="17" t="str">
        <f>IFERROR(__xludf.DUMMYFUNCTION("""COMPUTED_VALUE"""),"Chairman")</f>
        <v>Chairman</v>
      </c>
      <c r="D731" s="27" t="str">
        <f>IFERROR(__xludf.DUMMYFUNCTION("""COMPUTED_VALUE"""),"https://www.linkedin.com/in/kumar-manglam-a95a316b/?originalSubdomain=in")</f>
        <v>https://www.linkedin.com/in/kumar-manglam-a95a316b/?originalSubdomain=in</v>
      </c>
      <c r="E731" s="17"/>
      <c r="F731" s="17" t="str">
        <f>IFERROR(__xludf.DUMMYFUNCTION("""COMPUTED_VALUE"""),"m.kumar@adityabirla.com")</f>
        <v>m.kumar@adityabirla.com</v>
      </c>
      <c r="G731" s="17"/>
      <c r="H731" s="17"/>
    </row>
    <row r="732">
      <c r="A732" s="17" t="str">
        <f>IFERROR(__xludf.DUMMYFUNCTION("""COMPUTED_VALUE"""),"Aditya Birla Group")</f>
        <v>Aditya Birla Group</v>
      </c>
      <c r="B732" s="17" t="str">
        <f>IFERROR(__xludf.DUMMYFUNCTION("""COMPUTED_VALUE"""),"Sushil Agarwal")</f>
        <v>Sushil Agarwal</v>
      </c>
      <c r="C732" s="17" t="str">
        <f>IFERROR(__xludf.DUMMYFUNCTION("""COMPUTED_VALUE"""),"Group CFO")</f>
        <v>Group CFO</v>
      </c>
      <c r="D732" s="17"/>
      <c r="E732" s="17"/>
      <c r="F732" s="17"/>
      <c r="G732" s="17"/>
      <c r="H732" s="17"/>
    </row>
    <row r="733">
      <c r="A733" s="17" t="str">
        <f>IFERROR(__xludf.DUMMYFUNCTION("""COMPUTED_VALUE"""),"Google")</f>
        <v>Google</v>
      </c>
      <c r="B733" s="17" t="str">
        <f>IFERROR(__xludf.DUMMYFUNCTION("""COMPUTED_VALUE"""),"Sundar Pichai")</f>
        <v>Sundar Pichai</v>
      </c>
      <c r="C733" s="17" t="str">
        <f>IFERROR(__xludf.DUMMYFUNCTION("""COMPUTED_VALUE"""),"CEO ")</f>
        <v>CEO </v>
      </c>
      <c r="D733" s="27" t="str">
        <f>IFERROR(__xludf.DUMMYFUNCTION("""COMPUTED_VALUE"""),"https://www.linkedin.com/in/sundarpichai/")</f>
        <v>https://www.linkedin.com/in/sundarpichai/</v>
      </c>
      <c r="E733" s="17"/>
      <c r="F733" s="17" t="str">
        <f>IFERROR(__xludf.DUMMYFUNCTION("""COMPUTED_VALUE"""),"sundar@google.com")</f>
        <v>sundar@google.com</v>
      </c>
      <c r="G733" s="17"/>
      <c r="H733" s="17"/>
    </row>
    <row r="734">
      <c r="A734" s="17" t="str">
        <f>IFERROR(__xludf.DUMMYFUNCTION("""COMPUTED_VALUE"""),"Google  ")</f>
        <v>Google  </v>
      </c>
      <c r="B734" s="17" t="str">
        <f>IFERROR(__xludf.DUMMYFUNCTION("""COMPUTED_VALUE"""),"Roma Datta Chobey")</f>
        <v>Roma Datta Chobey</v>
      </c>
      <c r="C734" s="17" t="str">
        <f>IFERROR(__xludf.DUMMYFUNCTION("""COMPUTED_VALUE"""),"Managing Director")</f>
        <v>Managing Director</v>
      </c>
      <c r="D734" s="27" t="str">
        <f>IFERROR(__xludf.DUMMYFUNCTION("""COMPUTED_VALUE"""),"https://www.linkedin.com/in/roma-datta-chobey-8474bb31/?originalSubdomain=in")</f>
        <v>https://www.linkedin.com/in/roma-datta-chobey-8474bb31/?originalSubdomain=in</v>
      </c>
      <c r="E734" s="17"/>
      <c r="F734" s="17" t="str">
        <f>IFERROR(__xludf.DUMMYFUNCTION("""COMPUTED_VALUE"""),"roma@google.com")</f>
        <v>roma@google.com</v>
      </c>
      <c r="G734" s="17"/>
      <c r="H734" s="17"/>
    </row>
    <row r="735">
      <c r="A735" s="17" t="str">
        <f>IFERROR(__xludf.DUMMYFUNCTION("""COMPUTED_VALUE"""),"Google")</f>
        <v>Google</v>
      </c>
      <c r="B735" s="17" t="str">
        <f>IFERROR(__xludf.DUMMYFUNCTION("""COMPUTED_VALUE"""),"Amit Kumar")</f>
        <v>Amit Kumar</v>
      </c>
      <c r="C735" s="17" t="str">
        <f>IFERROR(__xludf.DUMMYFUNCTION("""COMPUTED_VALUE"""),"Managing Director")</f>
        <v>Managing Director</v>
      </c>
      <c r="D735" s="27" t="str">
        <f>IFERROR(__xludf.DUMMYFUNCTION("""COMPUTED_VALUE"""),"https://www.linkedin.com/in/amit-kumar-11241a7/")</f>
        <v>https://www.linkedin.com/in/amit-kumar-11241a7/</v>
      </c>
      <c r="E735" s="17"/>
      <c r="F735" s="17" t="str">
        <f>IFERROR(__xludf.DUMMYFUNCTION("""COMPUTED_VALUE"""),"amittkumarr@google.com")</f>
        <v>amittkumarr@google.com</v>
      </c>
      <c r="G735" s="17"/>
      <c r="H735" s="17"/>
    </row>
    <row r="736">
      <c r="A736" s="17" t="str">
        <f>IFERROR(__xludf.DUMMYFUNCTION("""COMPUTED_VALUE"""),"Google  ")</f>
        <v>Google  </v>
      </c>
      <c r="B736" s="17" t="str">
        <f>IFERROR(__xludf.DUMMYFUNCTION("""COMPUTED_VALUE"""),"Thoman Kurian")</f>
        <v>Thoman Kurian</v>
      </c>
      <c r="C736" s="17" t="str">
        <f>IFERROR(__xludf.DUMMYFUNCTION("""COMPUTED_VALUE"""),"CEO at Google cloud")</f>
        <v>CEO at Google cloud</v>
      </c>
      <c r="D736" s="27" t="str">
        <f>IFERROR(__xludf.DUMMYFUNCTION("""COMPUTED_VALUE"""),"https://www.linkedin.com/in/thomas-kurian-469b6219/")</f>
        <v>https://www.linkedin.com/in/thomas-kurian-469b6219/</v>
      </c>
      <c r="E736" s="17"/>
      <c r="F736" s="17" t="str">
        <f>IFERROR(__xludf.DUMMYFUNCTION("""COMPUTED_VALUE"""),"tkurian@google.com")</f>
        <v>tkurian@google.com</v>
      </c>
      <c r="G736" s="17"/>
      <c r="H736" s="17"/>
    </row>
    <row r="737">
      <c r="A737" s="17" t="str">
        <f>IFERROR(__xludf.DUMMYFUNCTION("""COMPUTED_VALUE"""),"Google")</f>
        <v>Google</v>
      </c>
      <c r="B737" s="17" t="str">
        <f>IFERROR(__xludf.DUMMYFUNCTION("""COMPUTED_VALUE"""),"Gaurav Bhaskar")</f>
        <v>Gaurav Bhaskar</v>
      </c>
      <c r="C737" s="17" t="str">
        <f>IFERROR(__xludf.DUMMYFUNCTION("""COMPUTED_VALUE"""),"Director, Global Comm")</f>
        <v>Director, Global Comm</v>
      </c>
      <c r="D737" s="27" t="str">
        <f>IFERROR(__xludf.DUMMYFUNCTION("""COMPUTED_VALUE"""),"https://www.linkedin.com/in/bhaskargaurav/?originalSubdomain=sg")</f>
        <v>https://www.linkedin.com/in/bhaskargaurav/?originalSubdomain=sg</v>
      </c>
      <c r="E737" s="17"/>
      <c r="F737" s="17" t="str">
        <f>IFERROR(__xludf.DUMMYFUNCTION("""COMPUTED_VALUE"""),"gauravbhaskar@google.com")</f>
        <v>gauravbhaskar@google.com</v>
      </c>
      <c r="G737" s="17"/>
      <c r="H737" s="17"/>
    </row>
    <row r="738">
      <c r="A738" s="17" t="str">
        <f>IFERROR(__xludf.DUMMYFUNCTION("""COMPUTED_VALUE"""),"Google")</f>
        <v>Google</v>
      </c>
      <c r="B738" s="17" t="str">
        <f>IFERROR(__xludf.DUMMYFUNCTION("""COMPUTED_VALUE"""),"Saiyai Sakawee")</f>
        <v>Saiyai Sakawee</v>
      </c>
      <c r="C738" s="17" t="str">
        <f>IFERROR(__xludf.DUMMYFUNCTION("""COMPUTED_VALUE"""),"Comms Manager")</f>
        <v>Comms Manager</v>
      </c>
      <c r="D738" s="27" t="str">
        <f>IFERROR(__xludf.DUMMYFUNCTION("""COMPUTED_VALUE"""),"https://www.linkedin.com/in/saiyai/")</f>
        <v>https://www.linkedin.com/in/saiyai/</v>
      </c>
      <c r="E738" s="17" t="str">
        <f>IFERROR(__xludf.DUMMYFUNCTION("""COMPUTED_VALUE"""),"19175453974")</f>
        <v>19175453974</v>
      </c>
      <c r="F738" s="17" t="str">
        <f>IFERROR(__xludf.DUMMYFUNCTION("""COMPUTED_VALUE"""),"saiyai@google.com")</f>
        <v>saiyai@google.com</v>
      </c>
      <c r="G738" s="17"/>
      <c r="H738" s="17"/>
    </row>
    <row r="739">
      <c r="A739" s="17" t="str">
        <f>IFERROR(__xludf.DUMMYFUNCTION("""COMPUTED_VALUE"""),"Google  ")</f>
        <v>Google  </v>
      </c>
      <c r="B739" s="17" t="str">
        <f>IFERROR(__xludf.DUMMYFUNCTION("""COMPUTED_VALUE"""),"Jackie Wang")</f>
        <v>Jackie Wang</v>
      </c>
      <c r="C739" s="17" t="str">
        <f>IFERROR(__xludf.DUMMYFUNCTION("""COMPUTED_VALUE"""),"Director, Google Customer Solutions SEA")</f>
        <v>Director, Google Customer Solutions SEA</v>
      </c>
      <c r="D739" s="27" t="str">
        <f>IFERROR(__xludf.DUMMYFUNCTION("""COMPUTED_VALUE"""),"https://www.linkedin.com/in/jackie-wang-41bb012/")</f>
        <v>https://www.linkedin.com/in/jackie-wang-41bb012/</v>
      </c>
      <c r="E739" s="17"/>
      <c r="F739" s="17" t="str">
        <f>IFERROR(__xludf.DUMMYFUNCTION("""COMPUTED_VALUE"""),"jackiewang@google.com")</f>
        <v>jackiewang@google.com</v>
      </c>
      <c r="G739" s="17"/>
      <c r="H739" s="17"/>
    </row>
    <row r="740">
      <c r="A740" s="17" t="str">
        <f>IFERROR(__xludf.DUMMYFUNCTION("""COMPUTED_VALUE"""),"Larsen &amp; Toubro Ltd (L&amp;T)")</f>
        <v>Larsen &amp; Toubro Ltd (L&amp;T)</v>
      </c>
      <c r="B740" s="17" t="str">
        <f>IFERROR(__xludf.DUMMYFUNCTION("""COMPUTED_VALUE"""),"S. N. Subrahmanyan")</f>
        <v>S. N. Subrahmanyan</v>
      </c>
      <c r="C740" s="17" t="str">
        <f>IFERROR(__xludf.DUMMYFUNCTION("""COMPUTED_VALUE"""),"Chairman &amp; Managing Director")</f>
        <v>Chairman &amp; Managing Director</v>
      </c>
      <c r="D740" s="27" t="str">
        <f>IFERROR(__xludf.DUMMYFUNCTION("""COMPUTED_VALUE"""),"https://www.linkedin.com/in/s-r-subramanian-475207b/?originalSubdomain=in")</f>
        <v>https://www.linkedin.com/in/s-r-subramanian-475207b/?originalSubdomain=in</v>
      </c>
      <c r="E740" s="17"/>
      <c r="F740" s="17" t="str">
        <f>IFERROR(__xludf.DUMMYFUNCTION("""COMPUTED_VALUE"""),"s.subramanian@larsentoubro.com")</f>
        <v>s.subramanian@larsentoubro.com</v>
      </c>
      <c r="G740" s="17"/>
      <c r="H740" s="17"/>
    </row>
    <row r="741">
      <c r="A741" s="17" t="str">
        <f>IFERROR(__xludf.DUMMYFUNCTION("""COMPUTED_VALUE"""),"Larsen &amp; Toubro Ltd (L&amp;T)")</f>
        <v>Larsen &amp; Toubro Ltd (L&amp;T)</v>
      </c>
      <c r="B741" s="17" t="str">
        <f>IFERROR(__xludf.DUMMYFUNCTION("""COMPUTED_VALUE"""),"R. Shankar Raman")</f>
        <v>R. Shankar Raman</v>
      </c>
      <c r="C741" s="17" t="str">
        <f>IFERROR(__xludf.DUMMYFUNCTION("""COMPUTED_VALUE"""),"Non-Executive Director")</f>
        <v>Non-Executive Director</v>
      </c>
      <c r="D741" s="27" t="str">
        <f>IFERROR(__xludf.DUMMYFUNCTION("""COMPUTED_VALUE"""),"https://www.linkedin.com/in/shankar-raman-2193808/?originalSubdomain=in")</f>
        <v>https://www.linkedin.com/in/shankar-raman-2193808/?originalSubdomain=in</v>
      </c>
      <c r="E741" s="17"/>
      <c r="F741" s="17" t="str">
        <f>IFERROR(__xludf.DUMMYFUNCTION("""COMPUTED_VALUE"""),"shankar.raman@larsentoubro.com")</f>
        <v>shankar.raman@larsentoubro.com</v>
      </c>
      <c r="G741" s="17"/>
      <c r="H741" s="17"/>
    </row>
    <row r="742">
      <c r="A742" s="17" t="str">
        <f>IFERROR(__xludf.DUMMYFUNCTION("""COMPUTED_VALUE"""),"Hinduja Group")</f>
        <v>Hinduja Group</v>
      </c>
      <c r="B742" s="17" t="str">
        <f>IFERROR(__xludf.DUMMYFUNCTION("""COMPUTED_VALUE"""),"Sreedhar Rajendra")</f>
        <v>Sreedhar Rajendra</v>
      </c>
      <c r="C742" s="17" t="str">
        <f>IFERROR(__xludf.DUMMYFUNCTION("""COMPUTED_VALUE"""),"Executive Assistant")</f>
        <v>Executive Assistant</v>
      </c>
      <c r="D742" s="27" t="str">
        <f>IFERROR(__xludf.DUMMYFUNCTION("""COMPUTED_VALUE"""),"https://www.linkedin.com/in/sreedhar-rajendran-5a1a96248/?originalSubdomain=in")</f>
        <v>https://www.linkedin.com/in/sreedhar-rajendran-5a1a96248/?originalSubdomain=in</v>
      </c>
      <c r="E742" s="17"/>
      <c r="F742" s="17"/>
      <c r="G742" s="17"/>
      <c r="H742" s="17"/>
    </row>
    <row r="743">
      <c r="A743" s="17" t="str">
        <f>IFERROR(__xludf.DUMMYFUNCTION("""COMPUTED_VALUE"""),"Hinduja Group")</f>
        <v>Hinduja Group</v>
      </c>
      <c r="B743" s="17" t="str">
        <f>IFERROR(__xludf.DUMMYFUNCTION("""COMPUTED_VALUE"""),"Ashok P. Hinduja")</f>
        <v>Ashok P. Hinduja</v>
      </c>
      <c r="C743" s="17" t="str">
        <f>IFERROR(__xludf.DUMMYFUNCTION("""COMPUTED_VALUE"""),"Chairman (India)")</f>
        <v>Chairman (India)</v>
      </c>
      <c r="D743" s="17"/>
      <c r="E743" s="17"/>
      <c r="F743" s="17"/>
      <c r="G743" s="17"/>
      <c r="H743" s="17"/>
    </row>
    <row r="744">
      <c r="A744" s="17" t="str">
        <f>IFERROR(__xludf.DUMMYFUNCTION("""COMPUTED_VALUE"""),"Petronet LNG Ltd")</f>
        <v>Petronet LNG Ltd</v>
      </c>
      <c r="B744" s="17" t="str">
        <f>IFERROR(__xludf.DUMMYFUNCTION("""COMPUTED_VALUE"""),"Akshay Kumar Singh")</f>
        <v>Akshay Kumar Singh</v>
      </c>
      <c r="C744" s="17" t="str">
        <f>IFERROR(__xludf.DUMMYFUNCTION("""COMPUTED_VALUE"""),"Managing Director &amp; CEO")</f>
        <v>Managing Director &amp; CEO</v>
      </c>
      <c r="D744" s="17"/>
      <c r="E744" s="17"/>
      <c r="F744" s="17" t="str">
        <f>IFERROR(__xludf.DUMMYFUNCTION("""COMPUTED_VALUE"""),"webmaster@petronetlng.in")</f>
        <v>webmaster@petronetlng.in</v>
      </c>
      <c r="G744" s="17"/>
      <c r="H744" s="17"/>
    </row>
    <row r="745">
      <c r="A745" s="17" t="str">
        <f>IFERROR(__xludf.DUMMYFUNCTION("""COMPUTED_VALUE"""),"Petronet LNG Ltd")</f>
        <v>Petronet LNG Ltd</v>
      </c>
      <c r="B745" s="17" t="str">
        <f>IFERROR(__xludf.DUMMYFUNCTION("""COMPUTED_VALUE"""),"V. K. Singh")</f>
        <v>V. K. Singh</v>
      </c>
      <c r="C745" s="17" t="str">
        <f>IFERROR(__xludf.DUMMYFUNCTION("""COMPUTED_VALUE"""),"Director (Technical)")</f>
        <v>Director (Technical)</v>
      </c>
      <c r="D745" s="17"/>
      <c r="E745" s="17"/>
      <c r="F745" s="17"/>
      <c r="G745" s="17"/>
      <c r="H745" s="17"/>
    </row>
    <row r="746">
      <c r="A746" s="17" t="str">
        <f>IFERROR(__xludf.DUMMYFUNCTION("""COMPUTED_VALUE"""),"InterGlobe Aviation Ltd (IndiGo)")</f>
        <v>InterGlobe Aviation Ltd (IndiGo)</v>
      </c>
      <c r="B746" s="17" t="str">
        <f>IFERROR(__xludf.DUMMYFUNCTION("""COMPUTED_VALUE"""),"Vikram Singh Mehta")</f>
        <v>Vikram Singh Mehta</v>
      </c>
      <c r="C746" s="17" t="str">
        <f>IFERROR(__xludf.DUMMYFUNCTION("""COMPUTED_VALUE"""),"Chairman")</f>
        <v>Chairman</v>
      </c>
      <c r="D746" s="17"/>
      <c r="E746" s="17"/>
      <c r="F746" s="17"/>
      <c r="G746" s="17"/>
      <c r="H746" s="17"/>
    </row>
    <row r="747">
      <c r="A747" s="17" t="str">
        <f>IFERROR(__xludf.DUMMYFUNCTION("""COMPUTED_VALUE"""),"InterGlobe Aviation Ltd (IndiGo)")</f>
        <v>InterGlobe Aviation Ltd (IndiGo)</v>
      </c>
      <c r="B747" s="17" t="str">
        <f>IFERROR(__xludf.DUMMYFUNCTION("""COMPUTED_VALUE"""),"Rahul Bhatia")</f>
        <v>Rahul Bhatia</v>
      </c>
      <c r="C747" s="17" t="str">
        <f>IFERROR(__xludf.DUMMYFUNCTION("""COMPUTED_VALUE"""),"Managing Director")</f>
        <v>Managing Director</v>
      </c>
      <c r="D747" s="27" t="str">
        <f>IFERROR(__xludf.DUMMYFUNCTION("""COMPUTED_VALUE"""),"https://www.linkedin.com/in/rahul-bhatia-55a4b61/?originalSubdomain=in")</f>
        <v>https://www.linkedin.com/in/rahul-bhatia-55a4b61/?originalSubdomain=in</v>
      </c>
      <c r="E747" s="17"/>
      <c r="F747" s="17" t="str">
        <f>IFERROR(__xludf.DUMMYFUNCTION("""COMPUTED_VALUE"""),"rahul.bhatia@globaldata.com")</f>
        <v>rahul.bhatia@globaldata.com</v>
      </c>
      <c r="G747" s="17"/>
      <c r="H747" s="17"/>
    </row>
    <row r="748">
      <c r="A748" s="17" t="str">
        <f>IFERROR(__xludf.DUMMYFUNCTION("""COMPUTED_VALUE"""),"InterGlobe Aviation Ltd (IndiGo)")</f>
        <v>InterGlobe Aviation Ltd (IndiGo)</v>
      </c>
      <c r="B748" s="17" t="str">
        <f>IFERROR(__xludf.DUMMYFUNCTION("""COMPUTED_VALUE"""),"Rashmi Soni")</f>
        <v>Rashmi Soni</v>
      </c>
      <c r="C748" s="17" t="str">
        <f>IFERROR(__xludf.DUMMYFUNCTION("""COMPUTED_VALUE"""),"VP - Corporate Communications")</f>
        <v>VP - Corporate Communications</v>
      </c>
      <c r="D748" s="27" t="str">
        <f>IFERROR(__xludf.DUMMYFUNCTION("""COMPUTED_VALUE"""),"https://www.linkedin.com/in/rashmi-soni-scpm%C2%AE-227ba51/")</f>
        <v>https://www.linkedin.com/in/rashmi-soni-scpm%C2%AE-227ba51/</v>
      </c>
      <c r="E748" s="17"/>
      <c r="F748" s="17" t="str">
        <f>IFERROR(__xludf.DUMMYFUNCTION("""COMPUTED_VALUE"""),"rashmi.soni@goindigo.in")</f>
        <v>rashmi.soni@goindigo.in</v>
      </c>
      <c r="G748" s="17"/>
      <c r="H748" s="17"/>
    </row>
    <row r="749">
      <c r="A749" s="17" t="str">
        <f>IFERROR(__xludf.DUMMYFUNCTION("""COMPUTED_VALUE"""),"InterGlobe Aviation Ltd (IndiGo)")</f>
        <v>InterGlobe Aviation Ltd (IndiGo)</v>
      </c>
      <c r="B749" s="17" t="str">
        <f>IFERROR(__xludf.DUMMYFUNCTION("""COMPUTED_VALUE"""),"Anuradha Mukharjee Chaudhari")</f>
        <v>Anuradha Mukharjee Chaudhari</v>
      </c>
      <c r="C749" s="17" t="str">
        <f>IFERROR(__xludf.DUMMYFUNCTION("""COMPUTED_VALUE"""),"Manager- Communications")</f>
        <v>Manager- Communications</v>
      </c>
      <c r="D749" s="27" t="str">
        <f>IFERROR(__xludf.DUMMYFUNCTION("""COMPUTED_VALUE"""),"https://www.linkedin.com/in/anuradha-mukherjee-chaudhuri-2b1b5538/")</f>
        <v>https://www.linkedin.com/in/anuradha-mukherjee-chaudhuri-2b1b5538/</v>
      </c>
      <c r="E749" s="17"/>
      <c r="F749" s="17" t="str">
        <f>IFERROR(__xludf.DUMMYFUNCTION("""COMPUTED_VALUE"""),"anuradha.chaudhuri@goindigo.in")</f>
        <v>anuradha.chaudhuri@goindigo.in</v>
      </c>
      <c r="G749" s="17"/>
      <c r="H749" s="17"/>
    </row>
    <row r="750">
      <c r="A750" s="17" t="str">
        <f>IFERROR(__xludf.DUMMYFUNCTION("""COMPUTED_VALUE"""),"UltraTech Industries Ltd (Grasim Industries Subsidiary)")</f>
        <v>UltraTech Industries Ltd (Grasim Industries Subsidiary)</v>
      </c>
      <c r="B750" s="17" t="str">
        <f>IFERROR(__xludf.DUMMYFUNCTION("""COMPUTED_VALUE"""),"Kumar Mangalam Birla")</f>
        <v>Kumar Mangalam Birla</v>
      </c>
      <c r="C750" s="17" t="str">
        <f>IFERROR(__xludf.DUMMYFUNCTION("""COMPUTED_VALUE"""),"Chairman")</f>
        <v>Chairman</v>
      </c>
      <c r="D750" s="27" t="str">
        <f>IFERROR(__xludf.DUMMYFUNCTION("""COMPUTED_VALUE"""),"https://www.linkedin.com/in/kumar-manglam-a95a316b/?originalSubdomain=in")</f>
        <v>https://www.linkedin.com/in/kumar-manglam-a95a316b/?originalSubdomain=in</v>
      </c>
      <c r="E750" s="17"/>
      <c r="F750" s="17" t="str">
        <f>IFERROR(__xludf.DUMMYFUNCTION("""COMPUTED_VALUE"""),"m.kumar@adityabirla.com")</f>
        <v>m.kumar@adityabirla.com</v>
      </c>
      <c r="G750" s="17"/>
      <c r="H750" s="17"/>
    </row>
    <row r="751">
      <c r="A751" s="17" t="str">
        <f>IFERROR(__xludf.DUMMYFUNCTION("""COMPUTED_VALUE"""),"UltraTech Industries Ltd (Grasim Industries Subsidiary)")</f>
        <v>UltraTech Industries Ltd (Grasim Industries Subsidiary)</v>
      </c>
      <c r="B751" s="17" t="str">
        <f>IFERROR(__xludf.DUMMYFUNCTION("""COMPUTED_VALUE"""),"Dilip Gour")</f>
        <v>Dilip Gour</v>
      </c>
      <c r="C751" s="17" t="str">
        <f>IFERROR(__xludf.DUMMYFUNCTION("""COMPUTED_VALUE"""),"Chief Operating Officer")</f>
        <v>Chief Operating Officer</v>
      </c>
      <c r="D751" s="27" t="str">
        <f>IFERROR(__xludf.DUMMYFUNCTION("""COMPUTED_VALUE"""),"https://www.linkedin.com/in/dilipgaur/?originalSubdomain=in")</f>
        <v>https://www.linkedin.com/in/dilipgaur/?originalSubdomain=in</v>
      </c>
      <c r="E751" s="17"/>
      <c r="F751" s="17" t="str">
        <f>IFERROR(__xludf.DUMMYFUNCTION("""COMPUTED_VALUE"""),"dilip.gaur@adityabirla.com")</f>
        <v>dilip.gaur@adityabirla.com</v>
      </c>
      <c r="G751" s="17"/>
      <c r="H751" s="17"/>
    </row>
    <row r="752">
      <c r="A752" s="17" t="str">
        <f>IFERROR(__xludf.DUMMYFUNCTION("""COMPUTED_VALUE"""),"Sun Pharmaceutical Industries Ltd")</f>
        <v>Sun Pharmaceutical Industries Ltd</v>
      </c>
      <c r="B752" s="17" t="str">
        <f>IFERROR(__xludf.DUMMYFUNCTION("""COMPUTED_VALUE"""),"Dilip Shanghvi")</f>
        <v>Dilip Shanghvi</v>
      </c>
      <c r="C752" s="17" t="str">
        <f>IFERROR(__xludf.DUMMYFUNCTION("""COMPUTED_VALUE"""),"Managing Director")</f>
        <v>Managing Director</v>
      </c>
      <c r="D752" s="17"/>
      <c r="E752" s="17"/>
      <c r="F752" s="17" t="str">
        <f>IFERROR(__xludf.DUMMYFUNCTION("""COMPUTED_VALUE"""),"dilip.shanghvi@sunpharma.com")</f>
        <v>dilip.shanghvi@sunpharma.com</v>
      </c>
      <c r="G752" s="17"/>
      <c r="H752" s="17"/>
    </row>
    <row r="753">
      <c r="A753" s="17" t="str">
        <f>IFERROR(__xludf.DUMMYFUNCTION("""COMPUTED_VALUE"""),"Sun Pharmaceutical Industries Ltd")</f>
        <v>Sun Pharmaceutical Industries Ltd</v>
      </c>
      <c r="B753" s="17" t="str">
        <f>IFERROR(__xludf.DUMMYFUNCTION("""COMPUTED_VALUE"""),"Gaurav Chugh")</f>
        <v>Gaurav Chugh</v>
      </c>
      <c r="C753" s="17" t="str">
        <f>IFERROR(__xludf.DUMMYFUNCTION("""COMPUTED_VALUE"""),"PA")</f>
        <v>PA</v>
      </c>
      <c r="D753" s="17"/>
      <c r="E753" s="17"/>
      <c r="F753" s="17" t="str">
        <f>IFERROR(__xludf.DUMMYFUNCTION("""COMPUTED_VALUE"""),"gaurav.chugh@sunpharma.com")</f>
        <v>gaurav.chugh@sunpharma.com</v>
      </c>
      <c r="G753" s="17"/>
      <c r="H753" s="17"/>
    </row>
    <row r="754">
      <c r="A754" s="17" t="str">
        <f>IFERROR(__xludf.DUMMYFUNCTION("""COMPUTED_VALUE"""),"Dr Reddy’s Laboratories Ltd")</f>
        <v>Dr Reddy’s Laboratories Ltd</v>
      </c>
      <c r="B754" s="17" t="str">
        <f>IFERROR(__xludf.DUMMYFUNCTION("""COMPUTED_VALUE"""),"G V Prasad")</f>
        <v>G V Prasad</v>
      </c>
      <c r="C754" s="17" t="str">
        <f>IFERROR(__xludf.DUMMYFUNCTION("""COMPUTED_VALUE"""),"Co-Chairman and MD")</f>
        <v>Co-Chairman and MD</v>
      </c>
      <c r="D754" s="27" t="str">
        <f>IFERROR(__xludf.DUMMYFUNCTION("""COMPUTED_VALUE"""),"https://www.linkedin.com/in/gvprasadster/?originalSubdomain=in")</f>
        <v>https://www.linkedin.com/in/gvprasadster/?originalSubdomain=in</v>
      </c>
      <c r="E754" s="17"/>
      <c r="F754" s="17" t="str">
        <f>IFERROR(__xludf.DUMMYFUNCTION("""COMPUTED_VALUE"""),"prasadv@drreddys.com")</f>
        <v>prasadv@drreddys.com</v>
      </c>
      <c r="G754" s="17"/>
      <c r="H754" s="17"/>
    </row>
    <row r="755">
      <c r="A755" s="17" t="str">
        <f>IFERROR(__xludf.DUMMYFUNCTION("""COMPUTED_VALUE"""),"Dr Reddy’s Laboratories Ltd")</f>
        <v>Dr Reddy’s Laboratories Ltd</v>
      </c>
      <c r="B755" s="17" t="str">
        <f>IFERROR(__xludf.DUMMYFUNCTION("""COMPUTED_VALUE"""),"Erez Israeli")</f>
        <v>Erez Israeli</v>
      </c>
      <c r="C755" s="17" t="str">
        <f>IFERROR(__xludf.DUMMYFUNCTION("""COMPUTED_VALUE"""),"Chief Executive Officer")</f>
        <v>Chief Executive Officer</v>
      </c>
      <c r="D755" s="27" t="str">
        <f>IFERROR(__xludf.DUMMYFUNCTION("""COMPUTED_VALUE"""),"linkedin.com/in/erez-israeli-50a35585?originalSubdomain=il")</f>
        <v>linkedin.com/in/erez-israeli-50a35585?originalSubdomain=il</v>
      </c>
      <c r="E755" s="17"/>
      <c r="F755" s="17" t="str">
        <f>IFERROR(__xludf.DUMMYFUNCTION("""COMPUTED_VALUE"""),"erez@drreddys.com")</f>
        <v>erez@drreddys.com</v>
      </c>
      <c r="G755" s="17"/>
      <c r="H755" s="17"/>
    </row>
    <row r="756">
      <c r="A756" s="17" t="str">
        <f>IFERROR(__xludf.DUMMYFUNCTION("""COMPUTED_VALUE"""),"Cipla Ltd")</f>
        <v>Cipla Ltd</v>
      </c>
      <c r="B756" s="17" t="str">
        <f>IFERROR(__xludf.DUMMYFUNCTION("""COMPUTED_VALUE"""),"Yusuf Hamied")</f>
        <v>Yusuf Hamied</v>
      </c>
      <c r="C756" s="17" t="str">
        <f>IFERROR(__xludf.DUMMYFUNCTION("""COMPUTED_VALUE"""),"Non-Executive Chairman")</f>
        <v>Non-Executive Chairman</v>
      </c>
      <c r="D756" s="27" t="str">
        <f>IFERROR(__xludf.DUMMYFUNCTION("""COMPUTED_VALUE"""),"https://www.linkedin.com/in/yusuf-hamied-9bb8b610b/?originalSubdomain=mu")</f>
        <v>https://www.linkedin.com/in/yusuf-hamied-9bb8b610b/?originalSubdomain=mu</v>
      </c>
      <c r="E756" s="17"/>
      <c r="F756" s="17"/>
      <c r="G756" s="17"/>
      <c r="H756" s="17"/>
    </row>
    <row r="757">
      <c r="A757" s="17" t="str">
        <f>IFERROR(__xludf.DUMMYFUNCTION("""COMPUTED_VALUE"""),"Cipla Ltd")</f>
        <v>Cipla Ltd</v>
      </c>
      <c r="B757" s="17" t="str">
        <f>IFERROR(__xludf.DUMMYFUNCTION("""COMPUTED_VALUE"""),"Umang Vohra")</f>
        <v>Umang Vohra</v>
      </c>
      <c r="C757" s="17" t="str">
        <f>IFERROR(__xludf.DUMMYFUNCTION("""COMPUTED_VALUE"""),"Managing Director &amp; Global CEO")</f>
        <v>Managing Director &amp; Global CEO</v>
      </c>
      <c r="D757" s="27" t="str">
        <f>IFERROR(__xludf.DUMMYFUNCTION("""COMPUTED_VALUE"""),"https://www.linkedin.com/in/umangvohra/?originalSubdomain=in")</f>
        <v>https://www.linkedin.com/in/umangvohra/?originalSubdomain=in</v>
      </c>
      <c r="E757" s="17"/>
      <c r="F757" s="17" t="str">
        <f>IFERROR(__xludf.DUMMYFUNCTION("""COMPUTED_VALUE"""),"umang.vohra@cipla.com")</f>
        <v>umang.vohra@cipla.com</v>
      </c>
      <c r="G757" s="17"/>
      <c r="H757" s="17"/>
    </row>
    <row r="758">
      <c r="A758" s="17" t="str">
        <f>IFERROR(__xludf.DUMMYFUNCTION("""COMPUTED_VALUE"""),"BCG")</f>
        <v>BCG</v>
      </c>
      <c r="B758" s="17" t="str">
        <f>IFERROR(__xludf.DUMMYFUNCTION("""COMPUTED_VALUE"""),"Saurav Chhajer")</f>
        <v>Saurav Chhajer</v>
      </c>
      <c r="C758" s="17" t="str">
        <f>IFERROR(__xludf.DUMMYFUNCTION("""COMPUTED_VALUE"""),"Managing Director")</f>
        <v>Managing Director</v>
      </c>
      <c r="D758" s="17"/>
      <c r="E758" s="17"/>
      <c r="F758" s="17" t="str">
        <f>IFERROR(__xludf.DUMMYFUNCTION("""COMPUTED_VALUE"""),"sc@bcg.com")</f>
        <v>sc@bcg.com</v>
      </c>
      <c r="G758" s="17"/>
      <c r="H758" s="17"/>
    </row>
    <row r="759">
      <c r="A759" s="17" t="str">
        <f>IFERROR(__xludf.DUMMYFUNCTION("""COMPUTED_VALUE"""),"BCG")</f>
        <v>BCG</v>
      </c>
      <c r="B759" s="17"/>
      <c r="C759" s="17"/>
      <c r="D759" s="27" t="str">
        <f>IFERROR(__xludf.DUMMYFUNCTION("""COMPUTED_VALUE"""),"https://www.linkedin.com/in/saurabhchhajer/")</f>
        <v>https://www.linkedin.com/in/saurabhchhajer/</v>
      </c>
      <c r="E759" s="17"/>
      <c r="F759" s="17" t="str">
        <f>IFERROR(__xludf.DUMMYFUNCTION("""COMPUTED_VALUE"""),"saurabhchhajer@gmail.com")</f>
        <v>saurabhchhajer@gmail.com</v>
      </c>
      <c r="G759" s="17"/>
      <c r="H759" s="17"/>
    </row>
    <row r="760">
      <c r="A760" s="17" t="str">
        <f>IFERROR(__xludf.DUMMYFUNCTION("""COMPUTED_VALUE"""),"BCG")</f>
        <v>BCG</v>
      </c>
      <c r="B760" s="17" t="str">
        <f>IFERROR(__xludf.DUMMYFUNCTION("""COMPUTED_VALUE"""),"Varun Ghaba")</f>
        <v>Varun Ghaba</v>
      </c>
      <c r="C760" s="17" t="str">
        <f>IFERROR(__xludf.DUMMYFUNCTION("""COMPUTED_VALUE"""),"Executive Assitant")</f>
        <v>Executive Assitant</v>
      </c>
      <c r="D760" s="27" t="str">
        <f>IFERROR(__xludf.DUMMYFUNCTION("""COMPUTED_VALUE"""),"https://www.linkedin.com/in/varun-gaba-3a7432164/")</f>
        <v>https://www.linkedin.com/in/varun-gaba-3a7432164/</v>
      </c>
      <c r="E760" s="17"/>
      <c r="F760" s="17" t="str">
        <f>IFERROR(__xludf.DUMMYFUNCTION("""COMPUTED_VALUE"""),"varun.gaba@bcg.com")</f>
        <v>varun.gaba@bcg.com</v>
      </c>
      <c r="G760" s="17"/>
      <c r="H760" s="17"/>
    </row>
    <row r="761">
      <c r="A761" s="17" t="str">
        <f>IFERROR(__xludf.DUMMYFUNCTION("""COMPUTED_VALUE"""),"BCG")</f>
        <v>BCG</v>
      </c>
      <c r="B761" s="17" t="str">
        <f>IFERROR(__xludf.DUMMYFUNCTION("""COMPUTED_VALUE"""),"Dhruv Sethu")</f>
        <v>Dhruv Sethu</v>
      </c>
      <c r="C761" s="17" t="str">
        <f>IFERROR(__xludf.DUMMYFUNCTION("""COMPUTED_VALUE"""),"Managing Director")</f>
        <v>Managing Director</v>
      </c>
      <c r="D761" s="27" t="str">
        <f>IFERROR(__xludf.DUMMYFUNCTION("""COMPUTED_VALUE"""),"https://www.linkedin.com/in/dhruv-sethi-ab675118/")</f>
        <v>https://www.linkedin.com/in/dhruv-sethi-ab675118/</v>
      </c>
      <c r="E761" s="17"/>
      <c r="F761" s="17" t="str">
        <f>IFERROR(__xludf.DUMMYFUNCTION("""COMPUTED_VALUE"""),"dhruv.sethi@bcg.com")</f>
        <v>dhruv.sethi@bcg.com</v>
      </c>
      <c r="G761" s="17"/>
      <c r="H761" s="17"/>
    </row>
    <row r="762">
      <c r="A762" s="17" t="str">
        <f>IFERROR(__xludf.DUMMYFUNCTION("""COMPUTED_VALUE"""),"BCG")</f>
        <v>BCG</v>
      </c>
      <c r="B762" s="17" t="str">
        <f>IFERROR(__xludf.DUMMYFUNCTION("""COMPUTED_VALUE"""),"Varun Boppana")</f>
        <v>Varun Boppana</v>
      </c>
      <c r="C762" s="17" t="str">
        <f>IFERROR(__xludf.DUMMYFUNCTION("""COMPUTED_VALUE"""),"Managing Director")</f>
        <v>Managing Director</v>
      </c>
      <c r="D762" s="27" t="str">
        <f>IFERROR(__xludf.DUMMYFUNCTION("""COMPUTED_VALUE"""),"https://www.linkedin.com/in/varunboppana/")</f>
        <v>https://www.linkedin.com/in/varunboppana/</v>
      </c>
      <c r="E762" s="17"/>
      <c r="F762" s="17" t="str">
        <f>IFERROR(__xludf.DUMMYFUNCTION("""COMPUTED_VALUE"""),"boppana.varun@bcg.com")</f>
        <v>boppana.varun@bcg.com</v>
      </c>
      <c r="G762" s="17"/>
      <c r="H762" s="17"/>
    </row>
    <row r="763">
      <c r="A763" s="17" t="str">
        <f>IFERROR(__xludf.DUMMYFUNCTION("""COMPUTED_VALUE"""),"BCG")</f>
        <v>BCG</v>
      </c>
      <c r="B763" s="17" t="str">
        <f>IFERROR(__xludf.DUMMYFUNCTION("""COMPUTED_VALUE"""),"Bhumika Gupta Oberoi")</f>
        <v>Bhumika Gupta Oberoi</v>
      </c>
      <c r="C763" s="17" t="str">
        <f>IFERROR(__xludf.DUMMYFUNCTION("""COMPUTED_VALUE"""),"Marketing Communications")</f>
        <v>Marketing Communications</v>
      </c>
      <c r="D763" s="27" t="str">
        <f>IFERROR(__xludf.DUMMYFUNCTION("""COMPUTED_VALUE"""),"https://www.linkedin.com/in/bhumika-gupta/?originalSubdomain=in")</f>
        <v>https://www.linkedin.com/in/bhumika-gupta/?originalSubdomain=in</v>
      </c>
      <c r="E763" s="17"/>
      <c r="F763" s="17" t="str">
        <f>IFERROR(__xludf.DUMMYFUNCTION("""COMPUTED_VALUE"""),"gupta.bhumika@bcg.com")</f>
        <v>gupta.bhumika@bcg.com</v>
      </c>
      <c r="G763" s="17"/>
      <c r="H763" s="17"/>
    </row>
    <row r="764">
      <c r="A764" s="17" t="str">
        <f>IFERROR(__xludf.DUMMYFUNCTION("""COMPUTED_VALUE"""),"BCG")</f>
        <v>BCG</v>
      </c>
      <c r="B764" s="17" t="str">
        <f>IFERROR(__xludf.DUMMYFUNCTION("""COMPUTED_VALUE"""),"Hazel Menezes")</f>
        <v>Hazel Menezes</v>
      </c>
      <c r="C764" s="17" t="str">
        <f>IFERROR(__xludf.DUMMYFUNCTION("""COMPUTED_VALUE"""),"Marketing and Communications")</f>
        <v>Marketing and Communications</v>
      </c>
      <c r="D764" s="27" t="str">
        <f>IFERROR(__xludf.DUMMYFUNCTION("""COMPUTED_VALUE"""),"https://www.linkedin.com/in/hazel-menezes/")</f>
        <v>https://www.linkedin.com/in/hazel-menezes/</v>
      </c>
      <c r="E764" s="17"/>
      <c r="F764" s="17" t="str">
        <f>IFERROR(__xludf.DUMMYFUNCTION("""COMPUTED_VALUE"""),"hazel.menezes@bcg.com")</f>
        <v>hazel.menezes@bcg.com</v>
      </c>
      <c r="G764" s="17"/>
      <c r="H764" s="17"/>
    </row>
    <row r="765">
      <c r="A765" s="17" t="str">
        <f>IFERROR(__xludf.DUMMYFUNCTION("""COMPUTED_VALUE"""),"Ashok Leyland Ltd")</f>
        <v>Ashok Leyland Ltd</v>
      </c>
      <c r="B765" s="17" t="str">
        <f>IFERROR(__xludf.DUMMYFUNCTION("""COMPUTED_VALUE"""),"Dheeraj G Hinduja")</f>
        <v>Dheeraj G Hinduja</v>
      </c>
      <c r="C765" s="17" t="str">
        <f>IFERROR(__xludf.DUMMYFUNCTION("""COMPUTED_VALUE"""),"Chairman")</f>
        <v>Chairman</v>
      </c>
      <c r="D765" s="17"/>
      <c r="E765" s="17"/>
      <c r="F765" s="17"/>
      <c r="G765" s="17"/>
      <c r="H765" s="17"/>
    </row>
    <row r="766">
      <c r="A766" s="17" t="str">
        <f>IFERROR(__xludf.DUMMYFUNCTION("""COMPUTED_VALUE"""),"Ashok Leyland Ltd")</f>
        <v>Ashok Leyland Ltd</v>
      </c>
      <c r="B766" s="17" t="str">
        <f>IFERROR(__xludf.DUMMYFUNCTION("""COMPUTED_VALUE"""),"Shenu Agarwal")</f>
        <v>Shenu Agarwal</v>
      </c>
      <c r="C766" s="17" t="str">
        <f>IFERROR(__xludf.DUMMYFUNCTION("""COMPUTED_VALUE"""),"Managing Director &amp; CEO")</f>
        <v>Managing Director &amp; CEO</v>
      </c>
      <c r="D766" s="27" t="str">
        <f>IFERROR(__xludf.DUMMYFUNCTION("""COMPUTED_VALUE"""),"https://www.linkedin.com/in/shenu-agarwal/")</f>
        <v>https://www.linkedin.com/in/shenu-agarwal/</v>
      </c>
      <c r="E766" s="17"/>
      <c r="F766" s="17" t="str">
        <f>IFERROR(__xludf.DUMMYFUNCTION("""COMPUTED_VALUE"""),"shenu.agarwal@ashokleyland.com")</f>
        <v>shenu.agarwal@ashokleyland.com</v>
      </c>
      <c r="G766" s="17"/>
      <c r="H766" s="17"/>
    </row>
    <row r="767">
      <c r="A767" s="17" t="str">
        <f>IFERROR(__xludf.DUMMYFUNCTION("""COMPUTED_VALUE"""),"Bharat Heavy Electricals Ltd (BHEL)")</f>
        <v>Bharat Heavy Electricals Ltd (BHEL)</v>
      </c>
      <c r="B767" s="17" t="str">
        <f>IFERROR(__xludf.DUMMYFUNCTION("""COMPUTED_VALUE"""),"K Sadashiv Murthy")</f>
        <v>K Sadashiv Murthy</v>
      </c>
      <c r="C767" s="17" t="str">
        <f>IFERROR(__xludf.DUMMYFUNCTION("""COMPUTED_VALUE"""),"Chairman &amp; Managing Director")</f>
        <v>Chairman &amp; Managing Director</v>
      </c>
      <c r="D767" s="27" t="str">
        <f>IFERROR(__xludf.DUMMYFUNCTION("""COMPUTED_VALUE"""),"https://www.linkedin.com/in/sadashiv-murthy-koppu-512216242/")</f>
        <v>https://www.linkedin.com/in/sadashiv-murthy-koppu-512216242/</v>
      </c>
      <c r="E767" s="17"/>
      <c r="F767" s="17" t="str">
        <f>IFERROR(__xludf.DUMMYFUNCTION("""COMPUTED_VALUE"""),"sadashivkoppu@hecltd.com")</f>
        <v>sadashivkoppu@hecltd.com</v>
      </c>
      <c r="G767" s="17"/>
      <c r="H767" s="17"/>
    </row>
    <row r="768">
      <c r="A768" s="17" t="str">
        <f>IFERROR(__xludf.DUMMYFUNCTION("""COMPUTED_VALUE"""),"Bharat Heavy Electricals Ltd (BHEL)")</f>
        <v>Bharat Heavy Electricals Ltd (BHEL)</v>
      </c>
      <c r="B768" s="17" t="str">
        <f>IFERROR(__xludf.DUMMYFUNCTION("""COMPUTED_VALUE"""),"S M Ramanathan")</f>
        <v>S M Ramanathan</v>
      </c>
      <c r="C768" s="17" t="str">
        <f>IFERROR(__xludf.DUMMYFUNCTION("""COMPUTED_VALUE"""),"Director (Engineering, Research &amp; Dev.)")</f>
        <v>Director (Engineering, Research &amp; Dev.)</v>
      </c>
      <c r="D768" s="27" t="str">
        <f>IFERROR(__xludf.DUMMYFUNCTION("""COMPUTED_VALUE"""),"https://www.linkedin.com/in/ramanathan-s-m-64235320/")</f>
        <v>https://www.linkedin.com/in/ramanathan-s-m-64235320/</v>
      </c>
      <c r="E768" s="17"/>
      <c r="F768" s="17" t="str">
        <f>IFERROR(__xludf.DUMMYFUNCTION("""COMPUTED_VALUE"""),"smrama@gmail.com")</f>
        <v>smrama@gmail.com</v>
      </c>
      <c r="G768" s="17"/>
      <c r="H768" s="17"/>
    </row>
    <row r="769">
      <c r="A769" s="17" t="str">
        <f>IFERROR(__xludf.DUMMYFUNCTION("""COMPUTED_VALUE"""),"Torrent Power Ltd")</f>
        <v>Torrent Power Ltd</v>
      </c>
      <c r="B769" s="17" t="str">
        <f>IFERROR(__xludf.DUMMYFUNCTION("""COMPUTED_VALUE"""),"Jinal Mehta")</f>
        <v>Jinal Mehta</v>
      </c>
      <c r="C769" s="17" t="str">
        <f>IFERROR(__xludf.DUMMYFUNCTION("""COMPUTED_VALUE"""),"Vice Chairman &amp; Managing Director")</f>
        <v>Vice Chairman &amp; Managing Director</v>
      </c>
      <c r="D769" s="17"/>
      <c r="E769" s="17"/>
      <c r="F769" s="17"/>
      <c r="G769" s="17"/>
      <c r="H769" s="17"/>
    </row>
    <row r="770">
      <c r="A770" s="17" t="str">
        <f>IFERROR(__xludf.DUMMYFUNCTION("""COMPUTED_VALUE"""),"Torrent Power Ltd")</f>
        <v>Torrent Power Ltd</v>
      </c>
      <c r="B770" s="17" t="str">
        <f>IFERROR(__xludf.DUMMYFUNCTION("""COMPUTED_VALUE"""),"Samir Mehta")</f>
        <v>Samir Mehta</v>
      </c>
      <c r="C770" s="17" t="str">
        <f>IFERROR(__xludf.DUMMYFUNCTION("""COMPUTED_VALUE"""),"Chairman")</f>
        <v>Chairman</v>
      </c>
      <c r="D770" s="17"/>
      <c r="E770" s="17"/>
      <c r="F770" s="17"/>
      <c r="G770" s="17"/>
      <c r="H770" s="17"/>
    </row>
    <row r="771">
      <c r="A771" s="17" t="str">
        <f>IFERROR(__xludf.DUMMYFUNCTION("""COMPUTED_VALUE"""),"Adani Power Ltd")</f>
        <v>Adani Power Ltd</v>
      </c>
      <c r="B771" s="17" t="str">
        <f>IFERROR(__xludf.DUMMYFUNCTION("""COMPUTED_VALUE"""),"Anil Sardana")</f>
        <v>Anil Sardana</v>
      </c>
      <c r="C771" s="17" t="str">
        <f>IFERROR(__xludf.DUMMYFUNCTION("""COMPUTED_VALUE"""),"MD &amp; CEO")</f>
        <v>MD &amp; CEO</v>
      </c>
      <c r="D771" s="27" t="str">
        <f>IFERROR(__xludf.DUMMYFUNCTION("""COMPUTED_VALUE"""),"https://www.linkedin.com/in/anil-sardana-30771721/")</f>
        <v>https://www.linkedin.com/in/anil-sardana-30771721/</v>
      </c>
      <c r="E771" s="17"/>
      <c r="F771" s="17" t="str">
        <f>IFERROR(__xludf.DUMMYFUNCTION("""COMPUTED_VALUE"""),"anil.sardana@tatapower-ddl.com")</f>
        <v>anil.sardana@tatapower-ddl.com</v>
      </c>
      <c r="G771" s="17"/>
      <c r="H771" s="17"/>
    </row>
    <row r="772">
      <c r="A772" s="17" t="str">
        <f>IFERROR(__xludf.DUMMYFUNCTION("""COMPUTED_VALUE"""),"Power Grid Corporation of India Ltd")</f>
        <v>Power Grid Corporation of India Ltd</v>
      </c>
      <c r="B772" s="17" t="str">
        <f>IFERROR(__xludf.DUMMYFUNCTION("""COMPUTED_VALUE"""),"R. K. Tyagi")</f>
        <v>R. K. Tyagi</v>
      </c>
      <c r="C772" s="17" t="str">
        <f>IFERROR(__xludf.DUMMYFUNCTION("""COMPUTED_VALUE"""),"Chairman &amp; Managing Director")</f>
        <v>Chairman &amp; Managing Director</v>
      </c>
      <c r="D772" s="17"/>
      <c r="E772" s="17"/>
      <c r="F772" s="17" t="str">
        <f>IFERROR(__xludf.DUMMYFUNCTION("""COMPUTED_VALUE"""),"cmd@powergrid.in")</f>
        <v>cmd@powergrid.in</v>
      </c>
      <c r="G772" s="17"/>
      <c r="H772" s="17"/>
    </row>
    <row r="773">
      <c r="A773" s="17" t="str">
        <f>IFERROR(__xludf.DUMMYFUNCTION("""COMPUTED_VALUE"""),"Power Grid Corporation of India Ltd")</f>
        <v>Power Grid Corporation of India Ltd</v>
      </c>
      <c r="B773" s="17" t="str">
        <f>IFERROR(__xludf.DUMMYFUNCTION("""COMPUTED_VALUE"""),"Mohan K. Prasad")</f>
        <v>Mohan K. Prasad</v>
      </c>
      <c r="C773" s="17" t="str">
        <f>IFERROR(__xludf.DUMMYFUNCTION("""COMPUTED_VALUE"""),"Director (Projects)")</f>
        <v>Director (Projects)</v>
      </c>
      <c r="D773" s="17"/>
      <c r="E773" s="17"/>
      <c r="F773" s="17"/>
      <c r="G773" s="17"/>
      <c r="H773" s="17"/>
    </row>
    <row r="774">
      <c r="A774" s="17" t="str">
        <f>IFERROR(__xludf.DUMMYFUNCTION("""COMPUTED_VALUE"""),"Apple ")</f>
        <v>Apple </v>
      </c>
      <c r="B774" s="17" t="str">
        <f>IFERROR(__xludf.DUMMYFUNCTION("""COMPUTED_VALUE"""),"Tim Cook")</f>
        <v>Tim Cook</v>
      </c>
      <c r="C774" s="17" t="str">
        <f>IFERROR(__xludf.DUMMYFUNCTION("""COMPUTED_VALUE"""),"CEO")</f>
        <v>CEO</v>
      </c>
      <c r="D774" s="27" t="str">
        <f>IFERROR(__xludf.DUMMYFUNCTION("""COMPUTED_VALUE"""),"https://www.linkedin.com/in/cooktim/?originalSubdomain=uk")</f>
        <v>https://www.linkedin.com/in/cooktim/?originalSubdomain=uk</v>
      </c>
      <c r="E774" s="17"/>
      <c r="F774" s="17" t="str">
        <f>IFERROR(__xludf.DUMMYFUNCTION("""COMPUTED_VALUE"""),"tcook@acertitude.com")</f>
        <v>tcook@acertitude.com</v>
      </c>
      <c r="G774" s="17"/>
      <c r="H774" s="17"/>
    </row>
    <row r="775">
      <c r="A775" s="17" t="str">
        <f>IFERROR(__xludf.DUMMYFUNCTION("""COMPUTED_VALUE"""),"Apple ")</f>
        <v>Apple </v>
      </c>
      <c r="B775" s="17" t="str">
        <f>IFERROR(__xludf.DUMMYFUNCTION("""COMPUTED_VALUE"""),"Virat Bhatia")</f>
        <v>Virat Bhatia</v>
      </c>
      <c r="C775" s="17" t="str">
        <f>IFERROR(__xludf.DUMMYFUNCTION("""COMPUTED_VALUE"""),"Managing Director")</f>
        <v>Managing Director</v>
      </c>
      <c r="D775" s="27" t="str">
        <f>IFERROR(__xludf.DUMMYFUNCTION("""COMPUTED_VALUE"""),"https://www.linkedin.com/in/virat-bhatia-19304a97/?originalSubdomain=in")</f>
        <v>https://www.linkedin.com/in/virat-bhatia-19304a97/?originalSubdomain=in</v>
      </c>
      <c r="E775" s="17"/>
      <c r="F775" s="17" t="str">
        <f>IFERROR(__xludf.DUMMYFUNCTION("""COMPUTED_VALUE"""),"virat.bhatia@apple.com")</f>
        <v>virat.bhatia@apple.com</v>
      </c>
      <c r="G775" s="17"/>
      <c r="H775" s="17"/>
    </row>
    <row r="776">
      <c r="A776" s="17" t="str">
        <f>IFERROR(__xludf.DUMMYFUNCTION("""COMPUTED_VALUE"""),"Apple ")</f>
        <v>Apple </v>
      </c>
      <c r="B776" s="17" t="str">
        <f>IFERROR(__xludf.DUMMYFUNCTION("""COMPUTED_VALUE"""),"Katie Jurow")</f>
        <v>Katie Jurow</v>
      </c>
      <c r="C776" s="17" t="str">
        <f>IFERROR(__xludf.DUMMYFUNCTION("""COMPUTED_VALUE"""),"Executive Assistant to Tim Cook")</f>
        <v>Executive Assistant to Tim Cook</v>
      </c>
      <c r="D776" s="27" t="str">
        <f>IFERROR(__xludf.DUMMYFUNCTION("""COMPUTED_VALUE"""),"https://www.linkedin.com/in/katiejurowbarkett/")</f>
        <v>https://www.linkedin.com/in/katiejurowbarkett/</v>
      </c>
      <c r="E776" s="17"/>
      <c r="F776" s="17" t="str">
        <f>IFERROR(__xludf.DUMMYFUNCTION("""COMPUTED_VALUE"""),"jurow@apple.com")</f>
        <v>jurow@apple.com</v>
      </c>
      <c r="G776" s="17"/>
      <c r="H776" s="17"/>
    </row>
    <row r="777">
      <c r="A777" s="17" t="str">
        <f>IFERROR(__xludf.DUMMYFUNCTION("""COMPUTED_VALUE"""),"Apple ")</f>
        <v>Apple </v>
      </c>
      <c r="B777" s="17" t="str">
        <f>IFERROR(__xludf.DUMMYFUNCTION("""COMPUTED_VALUE"""),"Shweta Mahajan")</f>
        <v>Shweta Mahajan</v>
      </c>
      <c r="C777" s="17" t="str">
        <f>IFERROR(__xludf.DUMMYFUNCTION("""COMPUTED_VALUE"""),"Executive Assistant")</f>
        <v>Executive Assistant</v>
      </c>
      <c r="D777" s="27" t="str">
        <f>IFERROR(__xludf.DUMMYFUNCTION("""COMPUTED_VALUE"""),"https://www.linkedin.com/in/shweta-mahajan-27b577122/?originalSubdomain=in")</f>
        <v>https://www.linkedin.com/in/shweta-mahajan-27b577122/?originalSubdomain=in</v>
      </c>
      <c r="E777" s="17"/>
      <c r="F777" s="17" t="str">
        <f>IFERROR(__xludf.DUMMYFUNCTION("""COMPUTED_VALUE"""),"shweta@apple.com")</f>
        <v>shweta@apple.com</v>
      </c>
      <c r="G777" s="17"/>
      <c r="H777" s="17"/>
    </row>
    <row r="778">
      <c r="A778" s="17" t="str">
        <f>IFERROR(__xludf.DUMMYFUNCTION("""COMPUTED_VALUE"""),"Apple ")</f>
        <v>Apple </v>
      </c>
      <c r="B778" s="17" t="str">
        <f>IFERROR(__xludf.DUMMYFUNCTION("""COMPUTED_VALUE"""),"Adam Hunt")</f>
        <v>Adam Hunt</v>
      </c>
      <c r="C778" s="17" t="str">
        <f>IFERROR(__xludf.DUMMYFUNCTION("""COMPUTED_VALUE"""),"Corporate Communications + PR")</f>
        <v>Corporate Communications + PR</v>
      </c>
      <c r="D778" s="27" t="str">
        <f>IFERROR(__xludf.DUMMYFUNCTION("""COMPUTED_VALUE"""),"https://www.linkedin.com/in/adamjhhunt/?originalSubdomain=ae")</f>
        <v>https://www.linkedin.com/in/adamjhhunt/?originalSubdomain=ae</v>
      </c>
      <c r="E778" s="17"/>
      <c r="F778" s="17" t="str">
        <f>IFERROR(__xludf.DUMMYFUNCTION("""COMPUTED_VALUE"""),"adam@apple.com")</f>
        <v>adam@apple.com</v>
      </c>
      <c r="G778" s="17"/>
      <c r="H778" s="17"/>
    </row>
    <row r="779">
      <c r="A779" s="17" t="str">
        <f>IFERROR(__xludf.DUMMYFUNCTION("""COMPUTED_VALUE"""),"Apple ")</f>
        <v>Apple </v>
      </c>
      <c r="B779" s="17" t="str">
        <f>IFERROR(__xludf.DUMMYFUNCTION("""COMPUTED_VALUE"""),"Nick Leahy")</f>
        <v>Nick Leahy</v>
      </c>
      <c r="C779" s="17" t="str">
        <f>IFERROR(__xludf.DUMMYFUNCTION("""COMPUTED_VALUE"""),"Director, Corporate Communications")</f>
        <v>Director, Corporate Communications</v>
      </c>
      <c r="D779" s="27" t="str">
        <f>IFERROR(__xludf.DUMMYFUNCTION("""COMPUTED_VALUE"""),"https://www.linkedin.com/in/nickleahy/")</f>
        <v>https://www.linkedin.com/in/nickleahy/</v>
      </c>
      <c r="E779" s="17" t="str">
        <f>IFERROR(__xludf.DUMMYFUNCTION("""COMPUTED_VALUE"""),"14158461715")</f>
        <v>14158461715</v>
      </c>
      <c r="F779" s="17" t="str">
        <f>IFERROR(__xludf.DUMMYFUNCTION("""COMPUTED_VALUE"""),"nleahy@apple.com")</f>
        <v>nleahy@apple.com</v>
      </c>
      <c r="G779" s="17"/>
      <c r="H779" s="17"/>
    </row>
    <row r="780">
      <c r="A780" s="17" t="str">
        <f>IFERROR(__xludf.DUMMYFUNCTION("""COMPUTED_VALUE"""),"Apple ")</f>
        <v>Apple </v>
      </c>
      <c r="B780" s="17" t="str">
        <f>IFERROR(__xludf.DUMMYFUNCTION("""COMPUTED_VALUE"""),"Kristin Huguet Quayle")</f>
        <v>Kristin Huguet Quayle</v>
      </c>
      <c r="C780" s="17" t="str">
        <f>IFERROR(__xludf.DUMMYFUNCTION("""COMPUTED_VALUE"""),"Vice President, Corporate Communications")</f>
        <v>Vice President, Corporate Communications</v>
      </c>
      <c r="D780" s="27" t="str">
        <f>IFERROR(__xludf.DUMMYFUNCTION("""COMPUTED_VALUE"""),"https://www.linkedin.com/in/kristin-huguet-quayle-a362b21/")</f>
        <v>https://www.linkedin.com/in/kristin-huguet-quayle-a362b21/</v>
      </c>
      <c r="E780" s="17" t="str">
        <f>IFERROR(__xludf.DUMMYFUNCTION("""COMPUTED_VALUE"""),"14155722595")</f>
        <v>14155722595</v>
      </c>
      <c r="F780" s="17" t="str">
        <f>IFERROR(__xludf.DUMMYFUNCTION("""COMPUTED_VALUE"""),"khuguet@apple.com")</f>
        <v>khuguet@apple.com</v>
      </c>
      <c r="G780" s="17"/>
      <c r="H780" s="17"/>
    </row>
    <row r="781">
      <c r="A781" s="17" t="str">
        <f>IFERROR(__xludf.DUMMYFUNCTION("""COMPUTED_VALUE"""),"Berkshire Hathaway")</f>
        <v>Berkshire Hathaway</v>
      </c>
      <c r="B781" s="17"/>
      <c r="C781" s="17"/>
      <c r="D781" s="17"/>
      <c r="E781" s="17"/>
      <c r="F781" s="17"/>
      <c r="G781" s="17"/>
      <c r="H781" s="17"/>
    </row>
    <row r="782">
      <c r="A782" s="17" t="str">
        <f>IFERROR(__xludf.DUMMYFUNCTION("""COMPUTED_VALUE"""),"BlackRock")</f>
        <v>BlackRock</v>
      </c>
      <c r="B782" s="17" t="str">
        <f>IFERROR(__xludf.DUMMYFUNCTION("""COMPUTED_VALUE"""),"Larry Fink")</f>
        <v>Larry Fink</v>
      </c>
      <c r="C782" s="17" t="str">
        <f>IFERROR(__xludf.DUMMYFUNCTION("""COMPUTED_VALUE"""),"CEO")</f>
        <v>CEO</v>
      </c>
      <c r="D782" s="27" t="str">
        <f>IFERROR(__xludf.DUMMYFUNCTION("""COMPUTED_VALUE"""),"https://www.linkedin.com/in/laurencefink/")</f>
        <v>https://www.linkedin.com/in/laurencefink/</v>
      </c>
      <c r="E782" s="17"/>
      <c r="F782" s="17" t="str">
        <f>IFERROR(__xludf.DUMMYFUNCTION("""COMPUTED_VALUE"""),"larry_fink@blackrock.com")</f>
        <v>larry_fink@blackrock.com</v>
      </c>
      <c r="G782" s="17"/>
      <c r="H782" s="17"/>
    </row>
    <row r="783">
      <c r="A783" s="17" t="str">
        <f>IFERROR(__xludf.DUMMYFUNCTION("""COMPUTED_VALUE"""),"BlackRock")</f>
        <v>BlackRock</v>
      </c>
      <c r="B783" s="17" t="str">
        <f>IFERROR(__xludf.DUMMYFUNCTION("""COMPUTED_VALUE"""),"Vanessa Walker")</f>
        <v>Vanessa Walker</v>
      </c>
      <c r="C783" s="17" t="str">
        <f>IFERROR(__xludf.DUMMYFUNCTION("""COMPUTED_VALUE"""),"Executive Assistant")</f>
        <v>Executive Assistant</v>
      </c>
      <c r="D783" s="27" t="str">
        <f>IFERROR(__xludf.DUMMYFUNCTION("""COMPUTED_VALUE"""),"https://www.linkedin.com/in/vanessa-walker-4a25b851/")</f>
        <v>https://www.linkedin.com/in/vanessa-walker-4a25b851/</v>
      </c>
      <c r="E783" s="17"/>
      <c r="F783" s="17" t="str">
        <f>IFERROR(__xludf.DUMMYFUNCTION("""COMPUTED_VALUE"""),"vanessa.walker@blackrock.com")</f>
        <v>vanessa.walker@blackrock.com</v>
      </c>
      <c r="G783" s="17"/>
      <c r="H783" s="17"/>
    </row>
    <row r="784">
      <c r="A784" s="17" t="str">
        <f>IFERROR(__xludf.DUMMYFUNCTION("""COMPUTED_VALUE"""),"BlackRock")</f>
        <v>BlackRock</v>
      </c>
      <c r="B784" s="17" t="str">
        <f>IFERROR(__xludf.DUMMYFUNCTION("""COMPUTED_VALUE"""),"Pravin Goel")</f>
        <v>Pravin Goel</v>
      </c>
      <c r="C784" s="17" t="str">
        <f>IFERROR(__xludf.DUMMYFUNCTION("""COMPUTED_VALUE"""),"Managing Director")</f>
        <v>Managing Director</v>
      </c>
      <c r="D784" s="27" t="str">
        <f>IFERROR(__xludf.DUMMYFUNCTION("""COMPUTED_VALUE"""),"https://www.linkedin.com/in/pravin-goel-2452a54/?originalSubdomain=in")</f>
        <v>https://www.linkedin.com/in/pravin-goel-2452a54/?originalSubdomain=in</v>
      </c>
      <c r="E784" s="17"/>
      <c r="F784" s="17" t="str">
        <f>IFERROR(__xludf.DUMMYFUNCTION("""COMPUTED_VALUE"""),"pravin.goel@blackrock.com")</f>
        <v>pravin.goel@blackrock.com</v>
      </c>
      <c r="G784" s="17"/>
      <c r="H784" s="17"/>
    </row>
    <row r="785">
      <c r="A785" s="17" t="str">
        <f>IFERROR(__xludf.DUMMYFUNCTION("""COMPUTED_VALUE"""),"BlackRock")</f>
        <v>BlackRock</v>
      </c>
      <c r="B785" s="17" t="str">
        <f>IFERROR(__xludf.DUMMYFUNCTION("""COMPUTED_VALUE"""),"Prashant Sehgal")</f>
        <v>Prashant Sehgal</v>
      </c>
      <c r="C785" s="17" t="str">
        <f>IFERROR(__xludf.DUMMYFUNCTION("""COMPUTED_VALUE"""),"Managing Director")</f>
        <v>Managing Director</v>
      </c>
      <c r="D785" s="27" t="str">
        <f>IFERROR(__xludf.DUMMYFUNCTION("""COMPUTED_VALUE"""),"https://www.linkedin.com/in/prashant-sehgal-884b68/")</f>
        <v>https://www.linkedin.com/in/prashant-sehgal-884b68/</v>
      </c>
      <c r="E785" s="17"/>
      <c r="F785" s="17" t="str">
        <f>IFERROR(__xludf.DUMMYFUNCTION("""COMPUTED_VALUE"""),"prashant.sehgal@blackrock.com")</f>
        <v>prashant.sehgal@blackrock.com</v>
      </c>
      <c r="G785" s="17"/>
      <c r="H785" s="17"/>
    </row>
    <row r="786">
      <c r="A786" s="17" t="str">
        <f>IFERROR(__xludf.DUMMYFUNCTION("""COMPUTED_VALUE"""),"BlackRock")</f>
        <v>BlackRock</v>
      </c>
      <c r="B786" s="17" t="str">
        <f>IFERROR(__xludf.DUMMYFUNCTION("""COMPUTED_VALUE"""),"Leigh Farris")</f>
        <v>Leigh Farris</v>
      </c>
      <c r="C786" s="17" t="str">
        <f>IFERROR(__xludf.DUMMYFUNCTION("""COMPUTED_VALUE"""),"Global Head of Corporate Communications")</f>
        <v>Global Head of Corporate Communications</v>
      </c>
      <c r="D786" s="27" t="str">
        <f>IFERROR(__xludf.DUMMYFUNCTION("""COMPUTED_VALUE"""),"https://www.linkedin.com/in/leigh-farris-6bba456/")</f>
        <v>https://www.linkedin.com/in/leigh-farris-6bba456/</v>
      </c>
      <c r="E786" s="17"/>
      <c r="F786" s="17" t="str">
        <f>IFERROR(__xludf.DUMMYFUNCTION("""COMPUTED_VALUE"""),"leigh.farris@blackrock.com")</f>
        <v>leigh.farris@blackrock.com</v>
      </c>
      <c r="G786" s="17"/>
      <c r="H786" s="17"/>
    </row>
    <row r="787">
      <c r="A787" s="17" t="str">
        <f>IFERROR(__xludf.DUMMYFUNCTION("""COMPUTED_VALUE"""),"BlackRock")</f>
        <v>BlackRock</v>
      </c>
      <c r="B787" s="17" t="str">
        <f>IFERROR(__xludf.DUMMYFUNCTION("""COMPUTED_VALUE"""),"Christine Anderson")</f>
        <v>Christine Anderson</v>
      </c>
      <c r="C787" s="17" t="str">
        <f>IFERROR(__xludf.DUMMYFUNCTION("""COMPUTED_VALUE"""),"Global Head Of Corporate Affairs")</f>
        <v>Global Head Of Corporate Affairs</v>
      </c>
      <c r="D787" s="27" t="str">
        <f>IFERROR(__xludf.DUMMYFUNCTION("""COMPUTED_VALUE"""),"https://www.linkedin.com/in/christine-anderson-33aa99123/")</f>
        <v>https://www.linkedin.com/in/christine-anderson-33aa99123/</v>
      </c>
      <c r="E787" s="17"/>
      <c r="F787" s="17" t="str">
        <f>IFERROR(__xludf.DUMMYFUNCTION("""COMPUTED_VALUE"""),"christine.anderson@blackstone.com")</f>
        <v>christine.anderson@blackstone.com</v>
      </c>
      <c r="G787" s="17"/>
      <c r="H787" s="17"/>
    </row>
    <row r="788">
      <c r="A788" s="17" t="str">
        <f>IFERROR(__xludf.DUMMYFUNCTION("""COMPUTED_VALUE"""),"BlackRock")</f>
        <v>BlackRock</v>
      </c>
      <c r="B788" s="17" t="str">
        <f>IFERROR(__xludf.DUMMYFUNCTION("""COMPUTED_VALUE"""),"Sachin Bavishi")</f>
        <v>Sachin Bavishi</v>
      </c>
      <c r="C788" s="17" t="str">
        <f>IFERROR(__xludf.DUMMYFUNCTION("""COMPUTED_VALUE"""),"Senior Managing Director")</f>
        <v>Senior Managing Director</v>
      </c>
      <c r="D788" s="27" t="str">
        <f>IFERROR(__xludf.DUMMYFUNCTION("""COMPUTED_VALUE"""),"https://www.linkedin.com/in/sachin-bavishi/")</f>
        <v>https://www.linkedin.com/in/sachin-bavishi/</v>
      </c>
      <c r="E788" s="17"/>
      <c r="F788" s="17" t="str">
        <f>IFERROR(__xludf.DUMMYFUNCTION("""COMPUTED_VALUE"""),"sachin.bavishi@blackstone.com")</f>
        <v>sachin.bavishi@blackstone.com</v>
      </c>
      <c r="G788" s="17"/>
      <c r="H788" s="17"/>
    </row>
    <row r="789">
      <c r="A789" s="17" t="str">
        <f>IFERROR(__xludf.DUMMYFUNCTION("""COMPUTED_VALUE"""),"Goldman Sachs")</f>
        <v>Goldman Sachs</v>
      </c>
      <c r="B789" s="17" t="str">
        <f>IFERROR(__xludf.DUMMYFUNCTION("""COMPUTED_VALUE"""),"David Solomon")</f>
        <v>David Solomon</v>
      </c>
      <c r="C789" s="17" t="str">
        <f>IFERROR(__xludf.DUMMYFUNCTION("""COMPUTED_VALUE"""),"Chairman and CEO")</f>
        <v>Chairman and CEO</v>
      </c>
      <c r="D789" s="27" t="str">
        <f>IFERROR(__xludf.DUMMYFUNCTION("""COMPUTED_VALUE"""),"https://www.linkedin.com/in/david-m-solomon/")</f>
        <v>https://www.linkedin.com/in/david-m-solomon/</v>
      </c>
      <c r="E789" s="17"/>
      <c r="F789" s="17" t="str">
        <f>IFERROR(__xludf.DUMMYFUNCTION("""COMPUTED_VALUE"""),"david.solomon@gs.com")</f>
        <v>david.solomon@gs.com</v>
      </c>
      <c r="G789" s="17" t="str">
        <f>IFERROR(__xludf.DUMMYFUNCTION("""COMPUTED_VALUE"""),"This is probable mail might not be correct")</f>
        <v>This is probable mail might not be correct</v>
      </c>
      <c r="H789" s="17"/>
    </row>
    <row r="790">
      <c r="A790" s="17" t="str">
        <f>IFERROR(__xludf.DUMMYFUNCTION("""COMPUTED_VALUE"""),"Goldman Sachs")</f>
        <v>Goldman Sachs</v>
      </c>
      <c r="B790" s="17" t="str">
        <f>IFERROR(__xludf.DUMMYFUNCTION("""COMPUTED_VALUE"""),"Ramesh Kamath")</f>
        <v>Ramesh Kamath</v>
      </c>
      <c r="C790" s="17" t="str">
        <f>IFERROR(__xludf.DUMMYFUNCTION("""COMPUTED_VALUE"""),"Managing Director")</f>
        <v>Managing Director</v>
      </c>
      <c r="D790" s="27" t="str">
        <f>IFERROR(__xludf.DUMMYFUNCTION("""COMPUTED_VALUE"""),"https://www.linkedin.com/in/rameshkamath/?originalSubdomain=in")</f>
        <v>https://www.linkedin.com/in/rameshkamath/?originalSubdomain=in</v>
      </c>
      <c r="E790" s="17"/>
      <c r="F790" s="17" t="str">
        <f>IFERROR(__xludf.DUMMYFUNCTION("""COMPUTED_VALUE"""),"ramesh.kamath@gs.com")</f>
        <v>ramesh.kamath@gs.com</v>
      </c>
      <c r="G790" s="17"/>
      <c r="H790" s="17"/>
    </row>
    <row r="791">
      <c r="A791" s="17" t="str">
        <f>IFERROR(__xludf.DUMMYFUNCTION("""COMPUTED_VALUE"""),"Goldman Sachs")</f>
        <v>Goldman Sachs</v>
      </c>
      <c r="B791" s="17" t="str">
        <f>IFERROR(__xludf.DUMMYFUNCTION("""COMPUTED_VALUE"""),"Jai Sahani")</f>
        <v>Jai Sahani</v>
      </c>
      <c r="C791" s="17" t="str">
        <f>IFERROR(__xludf.DUMMYFUNCTION("""COMPUTED_VALUE"""),"Managing Director")</f>
        <v>Managing Director</v>
      </c>
      <c r="D791" s="27" t="str">
        <f>IFERROR(__xludf.DUMMYFUNCTION("""COMPUTED_VALUE"""),"https://www.linkedin.com/in/jai-sahani-2a40a5b/")</f>
        <v>https://www.linkedin.com/in/jai-sahani-2a40a5b/</v>
      </c>
      <c r="E791" s="17"/>
      <c r="F791" s="17" t="str">
        <f>IFERROR(__xludf.DUMMYFUNCTION("""COMPUTED_VALUE"""),"jai.sahani@gs.com")</f>
        <v>jai.sahani@gs.com</v>
      </c>
      <c r="G791" s="17"/>
      <c r="H791" s="17"/>
    </row>
    <row r="792">
      <c r="A792" s="17" t="str">
        <f>IFERROR(__xludf.DUMMYFUNCTION("""COMPUTED_VALUE"""),"Goldman Sachs")</f>
        <v>Goldman Sachs</v>
      </c>
      <c r="B792" s="17" t="str">
        <f>IFERROR(__xludf.DUMMYFUNCTION("""COMPUTED_VALUE"""),"Harmeet Kaur")</f>
        <v>Harmeet Kaur</v>
      </c>
      <c r="C792" s="17" t="str">
        <f>IFERROR(__xludf.DUMMYFUNCTION("""COMPUTED_VALUE"""),"Managing Director")</f>
        <v>Managing Director</v>
      </c>
      <c r="D792" s="27" t="str">
        <f>IFERROR(__xludf.DUMMYFUNCTION("""COMPUTED_VALUE"""),"https://www.linkedin.com/in/harneet-kaur-3429863/")</f>
        <v>https://www.linkedin.com/in/harneet-kaur-3429863/</v>
      </c>
      <c r="E792" s="17"/>
      <c r="F792" s="17" t="str">
        <f>IFERROR(__xludf.DUMMYFUNCTION("""COMPUTED_VALUE"""),"harneet.kaur@gs.com")</f>
        <v>harneet.kaur@gs.com</v>
      </c>
      <c r="G792" s="17"/>
      <c r="H792" s="17"/>
    </row>
    <row r="793">
      <c r="A793" s="17" t="str">
        <f>IFERROR(__xludf.DUMMYFUNCTION("""COMPUTED_VALUE"""),"Goldman Sachs")</f>
        <v>Goldman Sachs</v>
      </c>
      <c r="B793" s="17" t="str">
        <f>IFERROR(__xludf.DUMMYFUNCTION("""COMPUTED_VALUE"""),"Tabish Khan")</f>
        <v>Tabish Khan</v>
      </c>
      <c r="C793" s="17" t="str">
        <f>IFERROR(__xludf.DUMMYFUNCTION("""COMPUTED_VALUE"""),"Managing Director")</f>
        <v>Managing Director</v>
      </c>
      <c r="D793" s="27" t="str">
        <f>IFERROR(__xludf.DUMMYFUNCTION("""COMPUTED_VALUE"""),"https://www.linkedin.com/in/tabish-khan-0b850923/")</f>
        <v>https://www.linkedin.com/in/tabish-khan-0b850923/</v>
      </c>
      <c r="E793" s="17"/>
      <c r="F793" s="17" t="str">
        <f>IFERROR(__xludf.DUMMYFUNCTION("""COMPUTED_VALUE"""),"tabish.khan@gs.com")</f>
        <v>tabish.khan@gs.com</v>
      </c>
      <c r="G793" s="17"/>
      <c r="H793" s="17"/>
    </row>
    <row r="794">
      <c r="A794" s="17" t="str">
        <f>IFERROR(__xludf.DUMMYFUNCTION("""COMPUTED_VALUE"""),"Goldman Sachs")</f>
        <v>Goldman Sachs</v>
      </c>
      <c r="B794" s="17" t="str">
        <f>IFERROR(__xludf.DUMMYFUNCTION("""COMPUTED_VALUE"""),"Ankit Chowdhari")</f>
        <v>Ankit Chowdhari</v>
      </c>
      <c r="C794" s="17" t="str">
        <f>IFERROR(__xludf.DUMMYFUNCTION("""COMPUTED_VALUE"""),"Managing Director")</f>
        <v>Managing Director</v>
      </c>
      <c r="D794" s="27" t="str">
        <f>IFERROR(__xludf.DUMMYFUNCTION("""COMPUTED_VALUE"""),"https://www.linkedin.com/in/ankit-chowdhari-a9846148/")</f>
        <v>https://www.linkedin.com/in/ankit-chowdhari-a9846148/</v>
      </c>
      <c r="E794" s="17"/>
      <c r="F794" s="17" t="str">
        <f>IFERROR(__xludf.DUMMYFUNCTION("""COMPUTED_VALUE"""),"ankit.chowdhari@gs.com")</f>
        <v>ankit.chowdhari@gs.com</v>
      </c>
      <c r="G794" s="17"/>
      <c r="H794" s="17"/>
    </row>
    <row r="795">
      <c r="A795" s="17" t="str">
        <f>IFERROR(__xludf.DUMMYFUNCTION("""COMPUTED_VALUE"""),"Goldman Sachs")</f>
        <v>Goldman Sachs</v>
      </c>
      <c r="B795" s="17" t="str">
        <f>IFERROR(__xludf.DUMMYFUNCTION("""COMPUTED_VALUE"""),"Chaitra Purushotham")</f>
        <v>Chaitra Purushotham</v>
      </c>
      <c r="C795" s="17" t="str">
        <f>IFERROR(__xludf.DUMMYFUNCTION("""COMPUTED_VALUE"""),"Managing Director")</f>
        <v>Managing Director</v>
      </c>
      <c r="D795" s="27" t="str">
        <f>IFERROR(__xludf.DUMMYFUNCTION("""COMPUTED_VALUE"""),"https://www.linkedin.com/in/chaitra-purushotham-22259917/")</f>
        <v>https://www.linkedin.com/in/chaitra-purushotham-22259917/</v>
      </c>
      <c r="E795" s="17"/>
      <c r="F795" s="17" t="str">
        <f>IFERROR(__xludf.DUMMYFUNCTION("""COMPUTED_VALUE"""),"chaitra.purushotham@goldmansachs.com")</f>
        <v>chaitra.purushotham@goldmansachs.com</v>
      </c>
      <c r="G795" s="17"/>
      <c r="H795" s="17"/>
    </row>
    <row r="796">
      <c r="A796" s="17" t="str">
        <f>IFERROR(__xludf.DUMMYFUNCTION("""COMPUTED_VALUE"""),"Goldman Sachs")</f>
        <v>Goldman Sachs</v>
      </c>
      <c r="B796" s="17" t="str">
        <f>IFERROR(__xludf.DUMMYFUNCTION("""COMPUTED_VALUE"""),"Krishnamurthy Vaidyanathan")</f>
        <v>Krishnamurthy Vaidyanathan</v>
      </c>
      <c r="C796" s="17" t="str">
        <f>IFERROR(__xludf.DUMMYFUNCTION("""COMPUTED_VALUE"""),"Managing Director and CEO")</f>
        <v>Managing Director and CEO</v>
      </c>
      <c r="D796" s="27" t="str">
        <f>IFERROR(__xludf.DUMMYFUNCTION("""COMPUTED_VALUE"""),"https://www.linkedin.com/in/kvaidyan/")</f>
        <v>https://www.linkedin.com/in/kvaidyan/</v>
      </c>
      <c r="E796" s="17"/>
      <c r="F796" s="17" t="str">
        <f>IFERROR(__xludf.DUMMYFUNCTION("""COMPUTED_VALUE"""),"krishnamurthy.vaidyanathan@gs.com")</f>
        <v>krishnamurthy.vaidyanathan@gs.com</v>
      </c>
      <c r="G796" s="17"/>
      <c r="H796" s="17"/>
    </row>
    <row r="797">
      <c r="A797" s="17" t="str">
        <f>IFERROR(__xludf.DUMMYFUNCTION("""COMPUTED_VALUE"""),"Goldman Sachs")</f>
        <v>Goldman Sachs</v>
      </c>
      <c r="B797" s="17" t="str">
        <f>IFERROR(__xludf.DUMMYFUNCTION("""COMPUTED_VALUE"""),"Shivaprasanna Hebbar")</f>
        <v>Shivaprasanna Hebbar</v>
      </c>
      <c r="C797" s="17" t="str">
        <f>IFERROR(__xludf.DUMMYFUNCTION("""COMPUTED_VALUE"""),"Vice President")</f>
        <v>Vice President</v>
      </c>
      <c r="D797" s="27" t="str">
        <f>IFERROR(__xludf.DUMMYFUNCTION("""COMPUTED_VALUE"""),"https://www.linkedin.com/in/shivaprasannahebbar/?originalSubdomain=in")</f>
        <v>https://www.linkedin.com/in/shivaprasannahebbar/?originalSubdomain=in</v>
      </c>
      <c r="E797" s="17"/>
      <c r="F797" s="17" t="str">
        <f>IFERROR(__xludf.DUMMYFUNCTION("""COMPUTED_VALUE"""),"shivaprasanna.hebbar@gs.com")</f>
        <v>shivaprasanna.hebbar@gs.com</v>
      </c>
      <c r="G797" s="17"/>
      <c r="H797" s="17"/>
    </row>
    <row r="798">
      <c r="A798" s="17" t="str">
        <f>IFERROR(__xludf.DUMMYFUNCTION("""COMPUTED_VALUE"""),"Goldman Sachs")</f>
        <v>Goldman Sachs</v>
      </c>
      <c r="B798" s="17" t="str">
        <f>IFERROR(__xludf.DUMMYFUNCTION("""COMPUTED_VALUE"""),"Jennifer Zuccarelli")</f>
        <v>Jennifer Zuccarelli</v>
      </c>
      <c r="C798" s="17" t="str">
        <f>IFERROR(__xludf.DUMMYFUNCTION("""COMPUTED_VALUE"""),"Global Head of Media Relations")</f>
        <v>Global Head of Media Relations</v>
      </c>
      <c r="D798" s="27" t="str">
        <f>IFERROR(__xludf.DUMMYFUNCTION("""COMPUTED_VALUE"""),"https://www.linkedin.com/in/jennifer-zuccarelli-8945994a/")</f>
        <v>https://www.linkedin.com/in/jennifer-zuccarelli-8945994a/</v>
      </c>
      <c r="E798" s="17"/>
      <c r="F798" s="17" t="str">
        <f>IFERROR(__xludf.DUMMYFUNCTION("""COMPUTED_VALUE"""),"jennifer.zuccarelli@gs.com")</f>
        <v>jennifer.zuccarelli@gs.com</v>
      </c>
      <c r="G798" s="17"/>
      <c r="H798" s="17"/>
    </row>
    <row r="799">
      <c r="A799" s="17" t="str">
        <f>IFERROR(__xludf.DUMMYFUNCTION("""COMPUTED_VALUE"""),"Goldman Sachs")</f>
        <v>Goldman Sachs</v>
      </c>
      <c r="B799" s="17" t="str">
        <f>IFERROR(__xludf.DUMMYFUNCTION("""COMPUTED_VALUE"""),"Jared Cohen")</f>
        <v>Jared Cohen</v>
      </c>
      <c r="C799" s="17" t="str">
        <f>IFERROR(__xludf.DUMMYFUNCTION("""COMPUTED_VALUE"""),"President of Global Affairs &amp; Co-Head")</f>
        <v>President of Global Affairs &amp; Co-Head</v>
      </c>
      <c r="D799" s="27" t="str">
        <f>IFERROR(__xludf.DUMMYFUNCTION("""COMPUTED_VALUE"""),"https://www.linkedin.com/in/jared-cohen-13b071a/")</f>
        <v>https://www.linkedin.com/in/jared-cohen-13b071a/</v>
      </c>
      <c r="E799" s="17"/>
      <c r="F799" s="17" t="str">
        <f>IFERROR(__xludf.DUMMYFUNCTION("""COMPUTED_VALUE"""),"jared.cohen@gs.com")</f>
        <v>jared.cohen@gs.com</v>
      </c>
      <c r="G799" s="17"/>
      <c r="H799" s="17"/>
    </row>
    <row r="800">
      <c r="A800" s="17" t="str">
        <f>IFERROR(__xludf.DUMMYFUNCTION("""COMPUTED_VALUE"""),"JP Morgan")</f>
        <v>JP Morgan</v>
      </c>
      <c r="B800" s="17" t="str">
        <f>IFERROR(__xludf.DUMMYFUNCTION("""COMPUTED_VALUE"""),"Jamie Dimon")</f>
        <v>Jamie Dimon</v>
      </c>
      <c r="C800" s="17" t="str">
        <f>IFERROR(__xludf.DUMMYFUNCTION("""COMPUTED_VALUE"""),"Chairman and CEO")</f>
        <v>Chairman and CEO</v>
      </c>
      <c r="D800" s="27" t="str">
        <f>IFERROR(__xludf.DUMMYFUNCTION("""COMPUTED_VALUE"""),"https://www.linkedin.com/in/jamiedimon/")</f>
        <v>https://www.linkedin.com/in/jamiedimon/</v>
      </c>
      <c r="E800" s="17"/>
      <c r="F800" s="17" t="str">
        <f>IFERROR(__xludf.DUMMYFUNCTION("""COMPUTED_VALUE"""),"jamie.dimon@jpmchase.com")</f>
        <v>jamie.dimon@jpmchase.com</v>
      </c>
      <c r="G800" s="17"/>
      <c r="H800" s="17"/>
    </row>
    <row r="801">
      <c r="A801" s="17" t="str">
        <f>IFERROR(__xludf.DUMMYFUNCTION("""COMPUTED_VALUE"""),"JP Morgan")</f>
        <v>JP Morgan</v>
      </c>
      <c r="B801" s="17" t="str">
        <f>IFERROR(__xludf.DUMMYFUNCTION("""COMPUTED_VALUE"""),"Ajay Deshmukh")</f>
        <v>Ajay Deshmukh</v>
      </c>
      <c r="C801" s="17" t="str">
        <f>IFERROR(__xludf.DUMMYFUNCTION("""COMPUTED_VALUE"""),"Managing Director")</f>
        <v>Managing Director</v>
      </c>
      <c r="D801" s="27" t="str">
        <f>IFERROR(__xludf.DUMMYFUNCTION("""COMPUTED_VALUE"""),"https://www.linkedin.com/in/ajay-deshmukh-5984a015/")</f>
        <v>https://www.linkedin.com/in/ajay-deshmukh-5984a015/</v>
      </c>
      <c r="E801" s="17"/>
      <c r="F801" s="17" t="str">
        <f>IFERROR(__xludf.DUMMYFUNCTION("""COMPUTED_VALUE"""),"ajay.deshmukh@jpmchase.com")</f>
        <v>ajay.deshmukh@jpmchase.com</v>
      </c>
      <c r="G801" s="17"/>
      <c r="H801" s="17"/>
    </row>
    <row r="802">
      <c r="A802" s="17" t="str">
        <f>IFERROR(__xludf.DUMMYFUNCTION("""COMPUTED_VALUE"""),"JP Morgan")</f>
        <v>JP Morgan</v>
      </c>
      <c r="B802" s="17" t="str">
        <f>IFERROR(__xludf.DUMMYFUNCTION("""COMPUTED_VALUE"""),"Kavita Gopal")</f>
        <v>Kavita Gopal</v>
      </c>
      <c r="C802" s="17" t="str">
        <f>IFERROR(__xludf.DUMMYFUNCTION("""COMPUTED_VALUE"""),"Managing Director")</f>
        <v>Managing Director</v>
      </c>
      <c r="D802" s="27" t="str">
        <f>IFERROR(__xludf.DUMMYFUNCTION("""COMPUTED_VALUE"""),"https://www.linkedin.com/in/kavita-gopal-8772036a/")</f>
        <v>https://www.linkedin.com/in/kavita-gopal-8772036a/</v>
      </c>
      <c r="E802" s="17"/>
      <c r="F802" s="17" t="str">
        <f>IFERROR(__xludf.DUMMYFUNCTION("""COMPUTED_VALUE"""),"kavita.gopal@jpmchase.com")</f>
        <v>kavita.gopal@jpmchase.com</v>
      </c>
      <c r="G802" s="17"/>
      <c r="H802" s="17"/>
    </row>
    <row r="803">
      <c r="A803" s="17" t="str">
        <f>IFERROR(__xludf.DUMMYFUNCTION("""COMPUTED_VALUE"""),"JP Morgan")</f>
        <v>JP Morgan</v>
      </c>
      <c r="B803" s="17" t="str">
        <f>IFERROR(__xludf.DUMMYFUNCTION("""COMPUTED_VALUE"""),"Vidhya Duthaluru")</f>
        <v>Vidhya Duthaluru</v>
      </c>
      <c r="C803" s="17" t="str">
        <f>IFERROR(__xludf.DUMMYFUNCTION("""COMPUTED_VALUE"""),"Managing Director")</f>
        <v>Managing Director</v>
      </c>
      <c r="D803" s="27" t="str">
        <f>IFERROR(__xludf.DUMMYFUNCTION("""COMPUTED_VALUE"""),"https://www.linkedin.com/in/vidhya-duthaluru-1b0bb734/")</f>
        <v>https://www.linkedin.com/in/vidhya-duthaluru-1b0bb734/</v>
      </c>
      <c r="E803" s="17"/>
      <c r="F803" s="17" t="str">
        <f>IFERROR(__xludf.DUMMYFUNCTION("""COMPUTED_VALUE"""),"vidhya.duthaluru@jpmorgan.com")</f>
        <v>vidhya.duthaluru@jpmorgan.com</v>
      </c>
      <c r="G803" s="17"/>
      <c r="H803" s="17"/>
    </row>
    <row r="804">
      <c r="A804" s="17" t="str">
        <f>IFERROR(__xludf.DUMMYFUNCTION("""COMPUTED_VALUE"""),"JP Morgan")</f>
        <v>JP Morgan</v>
      </c>
      <c r="B804" s="17" t="str">
        <f>IFERROR(__xludf.DUMMYFUNCTION("""COMPUTED_VALUE"""),"Subba Perepa")</f>
        <v>Subba Perepa</v>
      </c>
      <c r="C804" s="17" t="str">
        <f>IFERROR(__xludf.DUMMYFUNCTION("""COMPUTED_VALUE"""),"Managing Director")</f>
        <v>Managing Director</v>
      </c>
      <c r="D804" s="27" t="str">
        <f>IFERROR(__xludf.DUMMYFUNCTION("""COMPUTED_VALUE"""),"https://www.linkedin.com/in/subbaperepa/")</f>
        <v>https://www.linkedin.com/in/subbaperepa/</v>
      </c>
      <c r="E804" s="17"/>
      <c r="F804" s="17" t="str">
        <f>IFERROR(__xludf.DUMMYFUNCTION("""COMPUTED_VALUE"""),"subba.perepa@jpmorgan.com")</f>
        <v>subba.perepa@jpmorgan.com</v>
      </c>
      <c r="G804" s="17"/>
      <c r="H804" s="17"/>
    </row>
    <row r="805">
      <c r="A805" s="17" t="str">
        <f>IFERROR(__xludf.DUMMYFUNCTION("""COMPUTED_VALUE"""),"JP Morgan")</f>
        <v>JP Morgan</v>
      </c>
      <c r="B805" s="17" t="str">
        <f>IFERROR(__xludf.DUMMYFUNCTION("""COMPUTED_VALUE"""),"Srikrishna Kulkarni")</f>
        <v>Srikrishna Kulkarni</v>
      </c>
      <c r="C805" s="17" t="str">
        <f>IFERROR(__xludf.DUMMYFUNCTION("""COMPUTED_VALUE"""),"Managing Director")</f>
        <v>Managing Director</v>
      </c>
      <c r="D805" s="27" t="str">
        <f>IFERROR(__xludf.DUMMYFUNCTION("""COMPUTED_VALUE"""),"https://www.linkedin.com/in/krishnakulkarni1975/")</f>
        <v>https://www.linkedin.com/in/krishnakulkarni1975/</v>
      </c>
      <c r="E805" s="17"/>
      <c r="F805" s="17" t="str">
        <f>IFERROR(__xludf.DUMMYFUNCTION("""COMPUTED_VALUE"""),"srikrishna.kulkarni@jpmchase.com")</f>
        <v>srikrishna.kulkarni@jpmchase.com</v>
      </c>
      <c r="G805" s="17"/>
      <c r="H805" s="17"/>
    </row>
    <row r="806">
      <c r="A806" s="17" t="str">
        <f>IFERROR(__xludf.DUMMYFUNCTION("""COMPUTED_VALUE"""),"JP Morgan")</f>
        <v>JP Morgan</v>
      </c>
      <c r="B806" s="17" t="str">
        <f>IFERROR(__xludf.DUMMYFUNCTION("""COMPUTED_VALUE"""),"Vishvesh Kumar")</f>
        <v>Vishvesh Kumar</v>
      </c>
      <c r="C806" s="17" t="str">
        <f>IFERROR(__xludf.DUMMYFUNCTION("""COMPUTED_VALUE"""),"Managing Director, Chief Administrative Officer")</f>
        <v>Managing Director, Chief Administrative Officer</v>
      </c>
      <c r="D806" s="27" t="str">
        <f>IFERROR(__xludf.DUMMYFUNCTION("""COMPUTED_VALUE"""),"https://www.linkedin.com/in/vishesh-kumar-82605a2a/")</f>
        <v>https://www.linkedin.com/in/vishesh-kumar-82605a2a/</v>
      </c>
      <c r="E806" s="17"/>
      <c r="F806" s="17" t="str">
        <f>IFERROR(__xludf.DUMMYFUNCTION("""COMPUTED_VALUE"""),"vishesh.kumar@jpmorgan.com")</f>
        <v>vishesh.kumar@jpmorgan.com</v>
      </c>
      <c r="G806" s="17"/>
      <c r="H806" s="17"/>
    </row>
    <row r="807">
      <c r="A807" s="17" t="str">
        <f>IFERROR(__xludf.DUMMYFUNCTION("""COMPUTED_VALUE"""),"JP Morgan")</f>
        <v>JP Morgan</v>
      </c>
      <c r="B807" s="17" t="str">
        <f>IFERROR(__xludf.DUMMYFUNCTION("""COMPUTED_VALUE"""),"Avani Ekbote Mahendra")</f>
        <v>Avani Ekbote Mahendra</v>
      </c>
      <c r="C807" s="17" t="str">
        <f>IFERROR(__xludf.DUMMYFUNCTION("""COMPUTED_VALUE"""),"Executive Director and Head of Communications Corporate Centres")</f>
        <v>Executive Director and Head of Communications Corporate Centres</v>
      </c>
      <c r="D807" s="27" t="str">
        <f>IFERROR(__xludf.DUMMYFUNCTION("""COMPUTED_VALUE"""),"https://www.linkedin.com/in/avanimahendra/")</f>
        <v>https://www.linkedin.com/in/avanimahendra/</v>
      </c>
      <c r="E807" s="17"/>
      <c r="F807" s="17" t="str">
        <f>IFERROR(__xludf.DUMMYFUNCTION("""COMPUTED_VALUE"""),"avani.mahendra@jpmorgan.com")</f>
        <v>avani.mahendra@jpmorgan.com</v>
      </c>
      <c r="G807" s="17"/>
      <c r="H807" s="17"/>
    </row>
    <row r="808">
      <c r="A808" s="17" t="str">
        <f>IFERROR(__xludf.DUMMYFUNCTION("""COMPUTED_VALUE"""),"JP Morgan")</f>
        <v>JP Morgan</v>
      </c>
      <c r="B808" s="17" t="str">
        <f>IFERROR(__xludf.DUMMYFUNCTION("""COMPUTED_VALUE"""),"Brian Marchiony")</f>
        <v>Brian Marchiony</v>
      </c>
      <c r="C808" s="17" t="str">
        <f>IFERROR(__xludf.DUMMYFUNCTION("""COMPUTED_VALUE"""),"Global Head of Communications, Commercial &amp; Investment Bank")</f>
        <v>Global Head of Communications, Commercial &amp; Investment Bank</v>
      </c>
      <c r="D808" s="27" t="str">
        <f>IFERROR(__xludf.DUMMYFUNCTION("""COMPUTED_VALUE"""),"https://www.linkedin.com/in/brianmarchiony/")</f>
        <v>https://www.linkedin.com/in/brianmarchiony/</v>
      </c>
      <c r="E808" s="17"/>
      <c r="F808" s="17" t="str">
        <f>IFERROR(__xludf.DUMMYFUNCTION("""COMPUTED_VALUE"""),"brian.j.marchiony@jpmorgan.com")</f>
        <v>brian.j.marchiony@jpmorgan.com</v>
      </c>
      <c r="G808" s="17"/>
      <c r="H808" s="17"/>
    </row>
    <row r="809">
      <c r="A809" s="17" t="str">
        <f>IFERROR(__xludf.DUMMYFUNCTION("""COMPUTED_VALUE"""),"JP Morgan")</f>
        <v>JP Morgan</v>
      </c>
      <c r="B809" s="17" t="str">
        <f>IFERROR(__xludf.DUMMYFUNCTION("""COMPUTED_VALUE"""),"Patrick Burton")</f>
        <v>Patrick Burton</v>
      </c>
      <c r="C809" s="17" t="str">
        <f>IFERROR(__xludf.DUMMYFUNCTION("""COMPUTED_VALUE"""),"Head of Communications")</f>
        <v>Head of Communications</v>
      </c>
      <c r="D809" s="27" t="str">
        <f>IFERROR(__xludf.DUMMYFUNCTION("""COMPUTED_VALUE"""),"https://www.linkedin.com/in/patrick-burton-82a533/")</f>
        <v>https://www.linkedin.com/in/patrick-burton-82a533/</v>
      </c>
      <c r="E809" s="17"/>
      <c r="F809" s="17" t="str">
        <f>IFERROR(__xludf.DUMMYFUNCTION("""COMPUTED_VALUE"""),"patrick.o.burton@jpmorgan.com")</f>
        <v>patrick.o.burton@jpmorgan.com</v>
      </c>
      <c r="G809" s="17"/>
      <c r="H809" s="17"/>
    </row>
    <row r="810">
      <c r="A810" s="17" t="str">
        <f>IFERROR(__xludf.DUMMYFUNCTION("""COMPUTED_VALUE"""),"Amazon")</f>
        <v>Amazon</v>
      </c>
      <c r="B810" s="17" t="str">
        <f>IFERROR(__xludf.DUMMYFUNCTION("""COMPUTED_VALUE"""),"Andy Jassy")</f>
        <v>Andy Jassy</v>
      </c>
      <c r="C810" s="17" t="str">
        <f>IFERROR(__xludf.DUMMYFUNCTION("""COMPUTED_VALUE"""),"President ")</f>
        <v>President </v>
      </c>
      <c r="D810" s="27" t="str">
        <f>IFERROR(__xludf.DUMMYFUNCTION("""COMPUTED_VALUE"""),"https://www.linkedin.com/in/andy-jassy-8b1615/")</f>
        <v>https://www.linkedin.com/in/andy-jassy-8b1615/</v>
      </c>
      <c r="E810" s="17"/>
      <c r="F810" s="17" t="str">
        <f>IFERROR(__xludf.DUMMYFUNCTION("""COMPUTED_VALUE"""),"ajassy@amazon.com")</f>
        <v>ajassy@amazon.com</v>
      </c>
      <c r="G810" s="17"/>
      <c r="H810" s="17"/>
    </row>
    <row r="811">
      <c r="A811" s="17" t="str">
        <f>IFERROR(__xludf.DUMMYFUNCTION("""COMPUTED_VALUE"""),"Reliance Infrastructure Ltd")</f>
        <v>Reliance Infrastructure Ltd</v>
      </c>
      <c r="B811" s="17" t="str">
        <f>IFERROR(__xludf.DUMMYFUNCTION("""COMPUTED_VALUE"""),"Mrs. Chhaya Virani")</f>
        <v>Mrs. Chhaya Virani</v>
      </c>
      <c r="C811" s="17" t="str">
        <f>IFERROR(__xludf.DUMMYFUNCTION("""COMPUTED_VALUE"""),"Independent Director")</f>
        <v>Independent Director</v>
      </c>
      <c r="D811" s="17"/>
      <c r="E811" s="17" t="str">
        <f>IFERROR(__xludf.DUMMYFUNCTION("""COMPUTED_VALUE"""),"22 400 10000")</f>
        <v>22 400 10000</v>
      </c>
      <c r="F811" s="17" t="str">
        <f>IFERROR(__xludf.DUMMYFUNCTION("""COMPUTED_VALUE"""),"cvirani@almtlegal.com")</f>
        <v>cvirani@almtlegal.com</v>
      </c>
      <c r="G811" s="17"/>
      <c r="H811" s="17"/>
    </row>
    <row r="812">
      <c r="A812" s="17" t="str">
        <f>IFERROR(__xludf.DUMMYFUNCTION("""COMPUTED_VALUE"""),"Reliance Infrastructure Ltd")</f>
        <v>Reliance Infrastructure Ltd</v>
      </c>
      <c r="B812" s="17" t="str">
        <f>IFERROR(__xludf.DUMMYFUNCTION("""COMPUTED_VALUE"""),"Punit Garg")</f>
        <v>Punit Garg</v>
      </c>
      <c r="C812" s="17" t="str">
        <f>IFERROR(__xludf.DUMMYFUNCTION("""COMPUTED_VALUE"""),"Executive Director &amp; CEO")</f>
        <v>Executive Director &amp; CEO</v>
      </c>
      <c r="D812" s="17"/>
      <c r="E812" s="17"/>
      <c r="F812" s="17"/>
      <c r="G812" s="17"/>
      <c r="H812" s="17"/>
    </row>
    <row r="813">
      <c r="A813" s="17" t="str">
        <f>IFERROR(__xludf.DUMMYFUNCTION("""COMPUTED_VALUE"""),"IndusInd Bank Ltd")</f>
        <v>IndusInd Bank Ltd</v>
      </c>
      <c r="B813" s="17" t="str">
        <f>IFERROR(__xludf.DUMMYFUNCTION("""COMPUTED_VALUE"""),"Rajiv Anand")</f>
        <v>Rajiv Anand</v>
      </c>
      <c r="C813" s="17" t="str">
        <f>IFERROR(__xludf.DUMMYFUNCTION("""COMPUTED_VALUE"""),"Managing Director &amp; CEO")</f>
        <v>Managing Director &amp; CEO</v>
      </c>
      <c r="D813" s="27" t="str">
        <f>IFERROR(__xludf.DUMMYFUNCTION("""COMPUTED_VALUE"""),"https://www.linkedin.com/in/rajiv-anand-2730946/")</f>
        <v>https://www.linkedin.com/in/rajiv-anand-2730946/</v>
      </c>
      <c r="E813" s="17"/>
      <c r="F813" s="17" t="str">
        <f>IFERROR(__xludf.DUMMYFUNCTION("""COMPUTED_VALUE"""),"rajiv366@gmail.com")</f>
        <v>rajiv366@gmail.com</v>
      </c>
      <c r="G813" s="17"/>
      <c r="H813" s="17"/>
    </row>
    <row r="814">
      <c r="A814" s="17" t="str">
        <f>IFERROR(__xludf.DUMMYFUNCTION("""COMPUTED_VALUE"""),"IndusInd Bank Ltd")</f>
        <v>IndusInd Bank Ltd</v>
      </c>
      <c r="B814" s="17" t="str">
        <f>IFERROR(__xludf.DUMMYFUNCTION("""COMPUTED_VALUE"""),"Sunil Mehta")</f>
        <v>Sunil Mehta</v>
      </c>
      <c r="C814" s="17" t="str">
        <f>IFERROR(__xludf.DUMMYFUNCTION("""COMPUTED_VALUE"""),"Chairman")</f>
        <v>Chairman</v>
      </c>
      <c r="D814" s="27" t="str">
        <f>IFERROR(__xludf.DUMMYFUNCTION("""COMPUTED_VALUE"""),"https://www.linkedin.com/in/sunil-mehta-29a98298/")</f>
        <v>https://www.linkedin.com/in/sunil-mehta-29a98298/</v>
      </c>
      <c r="E814" s="17"/>
      <c r="F814" s="17" t="str">
        <f>IFERROR(__xludf.DUMMYFUNCTION("""COMPUTED_VALUE"""),"sunmehta99@gmail.com")</f>
        <v>sunmehta99@gmail.com</v>
      </c>
      <c r="G814" s="17"/>
      <c r="H814" s="17"/>
    </row>
    <row r="815">
      <c r="A815" s="17" t="str">
        <f>IFERROR(__xludf.DUMMYFUNCTION("""COMPUTED_VALUE"""),"Tata Power Company Ltd")</f>
        <v>Tata Power Company Ltd</v>
      </c>
      <c r="B815" s="17" t="str">
        <f>IFERROR(__xludf.DUMMYFUNCTION("""COMPUTED_VALUE"""),"N. Chandrasekaran")</f>
        <v>N. Chandrasekaran</v>
      </c>
      <c r="C815" s="17" t="str">
        <f>IFERROR(__xludf.DUMMYFUNCTION("""COMPUTED_VALUE"""),"Chairman")</f>
        <v>Chairman</v>
      </c>
      <c r="D815" s="17"/>
      <c r="E815" s="17"/>
      <c r="F815" s="17"/>
      <c r="G815" s="17"/>
      <c r="H815" s="17"/>
    </row>
    <row r="816">
      <c r="A816" s="17" t="str">
        <f>IFERROR(__xludf.DUMMYFUNCTION("""COMPUTED_VALUE"""),"Tata Power Company Ltd")</f>
        <v>Tata Power Company Ltd</v>
      </c>
      <c r="B816" s="17" t="str">
        <f>IFERROR(__xludf.DUMMYFUNCTION("""COMPUTED_VALUE"""),"Praveer Sinha")</f>
        <v>Praveer Sinha</v>
      </c>
      <c r="C816" s="17" t="str">
        <f>IFERROR(__xludf.DUMMYFUNCTION("""COMPUTED_VALUE"""),"CEO &amp; Managing Director")</f>
        <v>CEO &amp; Managing Director</v>
      </c>
      <c r="D816" s="17"/>
      <c r="E816" s="17"/>
      <c r="F816" s="17"/>
      <c r="G816" s="17"/>
      <c r="H816" s="17"/>
    </row>
    <row r="817">
      <c r="A817" s="17" t="str">
        <f>IFERROR(__xludf.DUMMYFUNCTION("""COMPUTED_VALUE"""),"Grasim Industries Ltd")</f>
        <v>Grasim Industries Ltd</v>
      </c>
      <c r="B817" s="17" t="str">
        <f>IFERROR(__xludf.DUMMYFUNCTION("""COMPUTED_VALUE"""),"Kumar Mangalam Birla")</f>
        <v>Kumar Mangalam Birla</v>
      </c>
      <c r="C817" s="17" t="str">
        <f>IFERROR(__xludf.DUMMYFUNCTION("""COMPUTED_VALUE"""),"Chairman")</f>
        <v>Chairman</v>
      </c>
      <c r="D817" s="17"/>
      <c r="E817" s="17"/>
      <c r="F817" s="17"/>
      <c r="G817" s="17"/>
      <c r="H817" s="17"/>
    </row>
    <row r="818">
      <c r="A818" s="17" t="str">
        <f>IFERROR(__xludf.DUMMYFUNCTION("""COMPUTED_VALUE"""),"Grasim Industries Ltd")</f>
        <v>Grasim Industries Ltd</v>
      </c>
      <c r="B818" s="17" t="str">
        <f>IFERROR(__xludf.DUMMYFUNCTION("""COMPUTED_VALUE"""),"Himanshu Kapania")</f>
        <v>Himanshu Kapania</v>
      </c>
      <c r="C818" s="17" t="str">
        <f>IFERROR(__xludf.DUMMYFUNCTION("""COMPUTED_VALUE"""),"Managing Director Grasim")</f>
        <v>Managing Director Grasim</v>
      </c>
      <c r="D818" s="27" t="str">
        <f>IFERROR(__xludf.DUMMYFUNCTION("""COMPUTED_VALUE"""),"https://www.linkedin.com/in/himanshu-kapania/")</f>
        <v>https://www.linkedin.com/in/himanshu-kapania/</v>
      </c>
      <c r="E818" s="17"/>
      <c r="F818" s="17" t="str">
        <f>IFERROR(__xludf.DUMMYFUNCTION("""COMPUTED_VALUE"""),"himanshu@grasim.com")</f>
        <v>himanshu@grasim.com</v>
      </c>
      <c r="G818" s="17"/>
      <c r="H818" s="17"/>
    </row>
    <row r="819">
      <c r="A819" s="17" t="str">
        <f>IFERROR(__xludf.DUMMYFUNCTION("""COMPUTED_VALUE"""),"Redington India Ltd")</f>
        <v>Redington India Ltd</v>
      </c>
      <c r="B819" s="17" t="str">
        <f>IFERROR(__xludf.DUMMYFUNCTION("""COMPUTED_VALUE"""),"Ramesh Natarajan")</f>
        <v>Ramesh Natarajan</v>
      </c>
      <c r="C819" s="17" t="str">
        <f>IFERROR(__xludf.DUMMYFUNCTION("""COMPUTED_VALUE"""),"CEO")</f>
        <v>CEO</v>
      </c>
      <c r="D819" s="27" t="str">
        <f>IFERROR(__xludf.DUMMYFUNCTION("""COMPUTED_VALUE"""),"https://www.linkedin.com/in/ramesh-natarajan-5533942/")</f>
        <v>https://www.linkedin.com/in/ramesh-natarajan-5533942/</v>
      </c>
      <c r="E819" s="17"/>
      <c r="F819" s="17" t="str">
        <f>IFERROR(__xludf.DUMMYFUNCTION("""COMPUTED_VALUE"""),"ramesh.natarajan@redington.co.in")</f>
        <v>ramesh.natarajan@redington.co.in</v>
      </c>
      <c r="G819" s="17"/>
      <c r="H819" s="17"/>
    </row>
    <row r="820">
      <c r="A820" s="17" t="str">
        <f>IFERROR(__xludf.DUMMYFUNCTION("""COMPUTED_VALUE"""),"Redington India Ltd")</f>
        <v>Redington India Ltd</v>
      </c>
      <c r="B820" s="17" t="str">
        <f>IFERROR(__xludf.DUMMYFUNCTION("""COMPUTED_VALUE"""),"V. S. Hariharan")</f>
        <v>V. S. Hariharan</v>
      </c>
      <c r="C820" s="17" t="str">
        <f>IFERROR(__xludf.DUMMYFUNCTION("""COMPUTED_VALUE"""),"MD &amp; Group CEO")</f>
        <v>MD &amp; Group CEO</v>
      </c>
      <c r="D820" s="17"/>
      <c r="E820" s="17"/>
      <c r="F820" s="17" t="str">
        <f>IFERROR(__xludf.DUMMYFUNCTION("""COMPUTED_VALUE"""),"hariharan@thirdwavepower.com")</f>
        <v>hariharan@thirdwavepower.com</v>
      </c>
      <c r="G820" s="17"/>
      <c r="H820" s="17"/>
    </row>
    <row r="821">
      <c r="A821" s="17" t="str">
        <f>IFERROR(__xludf.DUMMYFUNCTION("""COMPUTED_VALUE"""),"Hyundai Motor India Ltd")</f>
        <v>Hyundai Motor India Ltd</v>
      </c>
      <c r="B821" s="17" t="str">
        <f>IFERROR(__xludf.DUMMYFUNCTION("""COMPUTED_VALUE"""),"Seon Seob Kim")</f>
        <v>Seon Seob Kim</v>
      </c>
      <c r="C821" s="17" t="str">
        <f>IFERROR(__xludf.DUMMYFUNCTION("""COMPUTED_VALUE"""),"Managing Director &amp; CEO")</f>
        <v>Managing Director &amp; CEO</v>
      </c>
      <c r="D821" s="17"/>
      <c r="E821" s="17"/>
      <c r="F821" s="17"/>
      <c r="G821" s="17"/>
      <c r="H821" s="17"/>
    </row>
    <row r="822">
      <c r="A822" s="17" t="str">
        <f>IFERROR(__xludf.DUMMYFUNCTION("""COMPUTED_VALUE"""),"Hyundai Motor India Ltd")</f>
        <v>Hyundai Motor India Ltd</v>
      </c>
      <c r="B822" s="17" t="str">
        <f>IFERROR(__xludf.DUMMYFUNCTION("""COMPUTED_VALUE"""),"Goe Hyeon Woo")</f>
        <v>Goe Hyeon Woo</v>
      </c>
      <c r="C822" s="17" t="str">
        <f>IFERROR(__xludf.DUMMYFUNCTION("""COMPUTED_VALUE"""),"Executive Director")</f>
        <v>Executive Director</v>
      </c>
      <c r="D822" s="17"/>
      <c r="E822" s="17"/>
      <c r="F822" s="17"/>
      <c r="G822" s="17"/>
      <c r="H822" s="17"/>
    </row>
    <row r="823">
      <c r="A823" s="17" t="str">
        <f>IFERROR(__xludf.DUMMYFUNCTION("""COMPUTED_VALUE"""),"Apollo Tyres Ltd")</f>
        <v>Apollo Tyres Ltd</v>
      </c>
      <c r="B823" s="17" t="str">
        <f>IFERROR(__xludf.DUMMYFUNCTION("""COMPUTED_VALUE"""),"Onkar Kanwar")</f>
        <v>Onkar Kanwar</v>
      </c>
      <c r="C823" s="17" t="str">
        <f>IFERROR(__xludf.DUMMYFUNCTION("""COMPUTED_VALUE"""),"Chairman")</f>
        <v>Chairman</v>
      </c>
      <c r="D823" s="27" t="str">
        <f>IFERROR(__xludf.DUMMYFUNCTION("""COMPUTED_VALUE"""),"https://www.linkedin.com/in/onkar-kanwar-a162a5286/")</f>
        <v>https://www.linkedin.com/in/onkar-kanwar-a162a5286/</v>
      </c>
      <c r="E823" s="17"/>
      <c r="F823" s="17" t="str">
        <f>IFERROR(__xludf.DUMMYFUNCTION("""COMPUTED_VALUE"""),"onkar.kanwar@apollotyres.com")</f>
        <v>onkar.kanwar@apollotyres.com</v>
      </c>
      <c r="G823" s="17"/>
      <c r="H823" s="17"/>
    </row>
    <row r="824">
      <c r="A824" s="17" t="str">
        <f>IFERROR(__xludf.DUMMYFUNCTION("""COMPUTED_VALUE"""),"Apollo Tyres Ltd")</f>
        <v>Apollo Tyres Ltd</v>
      </c>
      <c r="B824" s="17" t="str">
        <f>IFERROR(__xludf.DUMMYFUNCTION("""COMPUTED_VALUE"""),"Neeraj Kanwar")</f>
        <v>Neeraj Kanwar</v>
      </c>
      <c r="C824" s="17" t="str">
        <f>IFERROR(__xludf.DUMMYFUNCTION("""COMPUTED_VALUE"""),"Vice-Chairman and Managing Director")</f>
        <v>Vice-Chairman and Managing Director</v>
      </c>
      <c r="D824" s="27" t="str">
        <f>IFERROR(__xludf.DUMMYFUNCTION("""COMPUTED_VALUE"""),"https://www.linkedin.com/in/neeraj-kanwar-apollo/")</f>
        <v>https://www.linkedin.com/in/neeraj-kanwar-apollo/</v>
      </c>
      <c r="E824" s="17"/>
      <c r="F824" s="17" t="str">
        <f>IFERROR(__xludf.DUMMYFUNCTION("""COMPUTED_VALUE"""),"neeraj.kanwar@apollotyres.com")</f>
        <v>neeraj.kanwar@apollotyres.com</v>
      </c>
      <c r="G824" s="17"/>
      <c r="H824" s="17"/>
    </row>
    <row r="825">
      <c r="A825" s="17" t="str">
        <f>IFERROR(__xludf.DUMMYFUNCTION("""COMPUTED_VALUE"""),"TVS Motor Company Ltd")</f>
        <v>TVS Motor Company Ltd</v>
      </c>
      <c r="B825" s="17" t="str">
        <f>IFERROR(__xludf.DUMMYFUNCTION("""COMPUTED_VALUE"""),"Venu Srinivasan")</f>
        <v>Venu Srinivasan</v>
      </c>
      <c r="C825" s="17" t="str">
        <f>IFERROR(__xludf.DUMMYFUNCTION("""COMPUTED_VALUE"""),"Chairman Emeritus")</f>
        <v>Chairman Emeritus</v>
      </c>
      <c r="D825" s="17"/>
      <c r="E825" s="17"/>
      <c r="F825" s="17"/>
      <c r="G825" s="17"/>
      <c r="H825" s="17"/>
    </row>
    <row r="826">
      <c r="A826" s="17" t="str">
        <f>IFERROR(__xludf.DUMMYFUNCTION("""COMPUTED_VALUE"""),"TVS Motor Company Ltd")</f>
        <v>TVS Motor Company Ltd</v>
      </c>
      <c r="B826" s="17" t="str">
        <f>IFERROR(__xludf.DUMMYFUNCTION("""COMPUTED_VALUE"""),"Sudarsan Venu")</f>
        <v>Sudarsan Venu</v>
      </c>
      <c r="C826" s="17" t="str">
        <f>IFERROR(__xludf.DUMMYFUNCTION("""COMPUTED_VALUE"""),"Managing Director")</f>
        <v>Managing Director</v>
      </c>
      <c r="D826" s="27" t="str">
        <f>IFERROR(__xludf.DUMMYFUNCTION("""COMPUTED_VALUE"""),"https://www.linkedin.com/in/sudarshan-venu-529434310/")</f>
        <v>https://www.linkedin.com/in/sudarshan-venu-529434310/</v>
      </c>
      <c r="E826" s="17"/>
      <c r="F826" s="17" t="str">
        <f>IFERROR(__xludf.DUMMYFUNCTION("""COMPUTED_VALUE"""),"sudarshan.venu@tvsmotor.com")</f>
        <v>sudarshan.venu@tvsmotor.com</v>
      </c>
      <c r="G826" s="17"/>
      <c r="H826" s="17"/>
    </row>
    <row r="827">
      <c r="A827" s="17" t="str">
        <f>IFERROR(__xludf.DUMMYFUNCTION("""COMPUTED_VALUE"""),"MRF Ltd")</f>
        <v>MRF Ltd</v>
      </c>
      <c r="B827" s="17" t="str">
        <f>IFERROR(__xludf.DUMMYFUNCTION("""COMPUTED_VALUE"""),"K. M. Mammen")</f>
        <v>K. M. Mammen</v>
      </c>
      <c r="C827" s="17" t="str">
        <f>IFERROR(__xludf.DUMMYFUNCTION("""COMPUTED_VALUE"""),"Chairman &amp; Managing Director")</f>
        <v>Chairman &amp; Managing Director</v>
      </c>
      <c r="D827" s="17"/>
      <c r="E827" s="17"/>
      <c r="F827" s="17"/>
      <c r="G827" s="17"/>
      <c r="H827" s="17"/>
    </row>
    <row r="828">
      <c r="A828" s="17" t="str">
        <f>IFERROR(__xludf.DUMMYFUNCTION("""COMPUTED_VALUE"""),"MRF Ltd")</f>
        <v>MRF Ltd</v>
      </c>
      <c r="B828" s="17" t="str">
        <f>IFERROR(__xludf.DUMMYFUNCTION("""COMPUTED_VALUE"""),"RAHUL MAMMEN MAPPILLAI")</f>
        <v>RAHUL MAMMEN MAPPILLAI</v>
      </c>
      <c r="C828" s="17" t="str">
        <f>IFERROR(__xludf.DUMMYFUNCTION("""COMPUTED_VALUE"""),"Managing Director")</f>
        <v>Managing Director</v>
      </c>
      <c r="D828" s="27" t="str">
        <f>IFERROR(__xludf.DUMMYFUNCTION("""COMPUTED_VALUE"""),"https://www.linkedin.com/in/rahul-mammen-49434bb8/")</f>
        <v>https://www.linkedin.com/in/rahul-mammen-49434bb8/</v>
      </c>
      <c r="E828" s="17"/>
      <c r="F828" s="17" t="str">
        <f>IFERROR(__xludf.DUMMYFUNCTION("""COMPUTED_VALUE"""),"mr@mrftyres.com")</f>
        <v>mr@mrftyres.com</v>
      </c>
      <c r="G828" s="17"/>
      <c r="H828" s="17"/>
    </row>
    <row r="829">
      <c r="A829" s="17" t="str">
        <f>IFERROR(__xludf.DUMMYFUNCTION("""COMPUTED_VALUE"""),"Tata Chemicals Ltd")</f>
        <v>Tata Chemicals Ltd</v>
      </c>
      <c r="B829" s="17" t="str">
        <f>IFERROR(__xludf.DUMMYFUNCTION("""COMPUTED_VALUE"""),"N. Chandrasekaran")</f>
        <v>N. Chandrasekaran</v>
      </c>
      <c r="C829" s="17" t="str">
        <f>IFERROR(__xludf.DUMMYFUNCTION("""COMPUTED_VALUE"""),"Chairman")</f>
        <v>Chairman</v>
      </c>
      <c r="D829" s="17"/>
      <c r="E829" s="17"/>
      <c r="F829" s="17"/>
      <c r="G829" s="17"/>
      <c r="H829" s="17"/>
    </row>
    <row r="830">
      <c r="A830" s="17" t="str">
        <f>IFERROR(__xludf.DUMMYFUNCTION("""COMPUTED_VALUE"""),"Tata Chemicals Ltd")</f>
        <v>Tata Chemicals Ltd</v>
      </c>
      <c r="B830" s="17" t="str">
        <f>IFERROR(__xludf.DUMMYFUNCTION("""COMPUTED_VALUE"""),"Mukundan Ramakrishnan")</f>
        <v>Mukundan Ramakrishnan</v>
      </c>
      <c r="C830" s="17" t="str">
        <f>IFERROR(__xludf.DUMMYFUNCTION("""COMPUTED_VALUE"""),"Managing Director")</f>
        <v>Managing Director</v>
      </c>
      <c r="D830" s="27" t="str">
        <f>IFERROR(__xludf.DUMMYFUNCTION("""COMPUTED_VALUE"""),"https://www.linkedin.com/in/mukundan-ramakrishnan-10a652/")</f>
        <v>https://www.linkedin.com/in/mukundan-ramakrishnan-10a652/</v>
      </c>
      <c r="E830" s="17"/>
      <c r="F830" s="17" t="str">
        <f>IFERROR(__xludf.DUMMYFUNCTION("""COMPUTED_VALUE"""),"rmukundan@tatachemicals.com")</f>
        <v>rmukundan@tatachemicals.com</v>
      </c>
      <c r="G830" s="17"/>
      <c r="H830" s="17"/>
    </row>
    <row r="831">
      <c r="A831" s="17" t="str">
        <f>IFERROR(__xludf.DUMMYFUNCTION("""COMPUTED_VALUE"""),"Asian Paints Ltd")</f>
        <v>Asian Paints Ltd</v>
      </c>
      <c r="B831" s="17" t="str">
        <f>IFERROR(__xludf.DUMMYFUNCTION("""COMPUTED_VALUE"""),"R Seshasayee")</f>
        <v>R Seshasayee</v>
      </c>
      <c r="C831" s="17" t="str">
        <f>IFERROR(__xludf.DUMMYFUNCTION("""COMPUTED_VALUE"""),"Chairman")</f>
        <v>Chairman</v>
      </c>
      <c r="D831" s="17"/>
      <c r="E831" s="17"/>
      <c r="F831" s="17"/>
      <c r="G831" s="17"/>
      <c r="H831" s="17"/>
    </row>
    <row r="832">
      <c r="A832" s="17" t="str">
        <f>IFERROR(__xludf.DUMMYFUNCTION("""COMPUTED_VALUE"""),"Asian Paints Ltd")</f>
        <v>Asian Paints Ltd</v>
      </c>
      <c r="B832" s="17" t="str">
        <f>IFERROR(__xludf.DUMMYFUNCTION("""COMPUTED_VALUE"""),"Amit Syngle")</f>
        <v>Amit Syngle</v>
      </c>
      <c r="C832" s="17" t="str">
        <f>IFERROR(__xludf.DUMMYFUNCTION("""COMPUTED_VALUE"""),"MD &amp; CEO")</f>
        <v>MD &amp; CEO</v>
      </c>
      <c r="D832" s="17"/>
      <c r="E832" s="17"/>
      <c r="F832" s="17"/>
      <c r="G832" s="17"/>
      <c r="H832" s="17"/>
    </row>
    <row r="833">
      <c r="A833" s="17" t="str">
        <f>IFERROR(__xludf.DUMMYFUNCTION("""COMPUTED_VALUE"""),"Dabur India Ltd")</f>
        <v>Dabur India Ltd</v>
      </c>
      <c r="B833" s="17" t="str">
        <f>IFERROR(__xludf.DUMMYFUNCTION("""COMPUTED_VALUE"""),"P. D. Narang")</f>
        <v>P. D. Narang</v>
      </c>
      <c r="C833" s="17" t="str">
        <f>IFERROR(__xludf.DUMMYFUNCTION("""COMPUTED_VALUE"""),"Group Director")</f>
        <v>Group Director</v>
      </c>
      <c r="D833" s="27" t="str">
        <f>IFERROR(__xludf.DUMMYFUNCTION("""COMPUTED_VALUE"""),"https://www.linkedin.com/in/p-d-narang-48739649/")</f>
        <v>https://www.linkedin.com/in/p-d-narang-48739649/</v>
      </c>
      <c r="E833" s="17"/>
      <c r="F833" s="17" t="str">
        <f>IFERROR(__xludf.DUMMYFUNCTION("""COMPUTED_VALUE"""),"pdnarang@gmail.com")</f>
        <v>pdnarang@gmail.com</v>
      </c>
      <c r="G833" s="17"/>
      <c r="H833" s="17"/>
    </row>
    <row r="834">
      <c r="A834" s="17" t="str">
        <f>IFERROR(__xludf.DUMMYFUNCTION("""COMPUTED_VALUE"""),"Dabur India Ltd")</f>
        <v>Dabur India Ltd</v>
      </c>
      <c r="B834" s="17" t="str">
        <f>IFERROR(__xludf.DUMMYFUNCTION("""COMPUTED_VALUE"""),"Mohit Malhotra")</f>
        <v>Mohit Malhotra</v>
      </c>
      <c r="C834" s="17" t="str">
        <f>IFERROR(__xludf.DUMMYFUNCTION("""COMPUTED_VALUE"""),"CEO")</f>
        <v>CEO</v>
      </c>
      <c r="D834" s="27" t="str">
        <f>IFERROR(__xludf.DUMMYFUNCTION("""COMPUTED_VALUE"""),"https://www.linkedin.com/in/mohit-malhotra-1a8776168/")</f>
        <v>https://www.linkedin.com/in/mohit-malhotra-1a8776168/</v>
      </c>
      <c r="E834" s="17"/>
      <c r="F834" s="17" t="str">
        <f>IFERROR(__xludf.DUMMYFUNCTION("""COMPUTED_VALUE"""),"mohit.malhotra@dabur.com")</f>
        <v>mohit.malhotra@dabur.com</v>
      </c>
      <c r="G834" s="17"/>
      <c r="H834" s="17"/>
    </row>
    <row r="835">
      <c r="A835" s="17" t="str">
        <f>IFERROR(__xludf.DUMMYFUNCTION("""COMPUTED_VALUE"""),"Nestlé India Ltd")</f>
        <v>Nestlé India Ltd</v>
      </c>
      <c r="B835" s="17" t="str">
        <f>IFERROR(__xludf.DUMMYFUNCTION("""COMPUTED_VALUE"""),"P R Ramesh")</f>
        <v>P R Ramesh</v>
      </c>
      <c r="C835" s="17" t="str">
        <f>IFERROR(__xludf.DUMMYFUNCTION("""COMPUTED_VALUE"""),"Chairman")</f>
        <v>Chairman</v>
      </c>
      <c r="D835" s="27" t="str">
        <f>IFERROR(__xludf.DUMMYFUNCTION("""COMPUTED_VALUE"""),"https://www.linkedin.com/in/pramesh1/")</f>
        <v>https://www.linkedin.com/in/pramesh1/</v>
      </c>
      <c r="E835" s="17"/>
      <c r="F835" s="17" t="str">
        <f>IFERROR(__xludf.DUMMYFUNCTION("""COMPUTED_VALUE"""),"pramesh@deloitte.com")</f>
        <v>pramesh@deloitte.com</v>
      </c>
      <c r="G835" s="17"/>
      <c r="H835" s="17"/>
    </row>
    <row r="836">
      <c r="A836" s="17" t="str">
        <f>IFERROR(__xludf.DUMMYFUNCTION("""COMPUTED_VALUE"""),"Nestlé India Ltd")</f>
        <v>Nestlé India Ltd</v>
      </c>
      <c r="B836" s="17" t="str">
        <f>IFERROR(__xludf.DUMMYFUNCTION("""COMPUTED_VALUE"""),"Manish Tiwary ")</f>
        <v>Manish Tiwary </v>
      </c>
      <c r="C836" s="17" t="str">
        <f>IFERROR(__xludf.DUMMYFUNCTION("""COMPUTED_VALUE"""),"Chairman &amp; Managing Director")</f>
        <v>Chairman &amp; Managing Director</v>
      </c>
      <c r="D836" s="27" t="str">
        <f>IFERROR(__xludf.DUMMYFUNCTION("""COMPUTED_VALUE"""),"https://www.linkedin.com/in/tiwarymanish/")</f>
        <v>https://www.linkedin.com/in/tiwarymanish/</v>
      </c>
      <c r="E836" s="17"/>
      <c r="F836" s="17" t="str">
        <f>IFERROR(__xludf.DUMMYFUNCTION("""COMPUTED_VALUE"""),"manish.tiwary@nestle.com")</f>
        <v>manish.tiwary@nestle.com</v>
      </c>
      <c r="G836" s="17"/>
      <c r="H836" s="17"/>
    </row>
    <row r="837">
      <c r="A837" s="17" t="str">
        <f>IFERROR(__xludf.DUMMYFUNCTION("""COMPUTED_VALUE"""),"Sun TV Network Ltd")</f>
        <v>Sun TV Network Ltd</v>
      </c>
      <c r="B837" s="17" t="str">
        <f>IFERROR(__xludf.DUMMYFUNCTION("""COMPUTED_VALUE"""),"Kalanithi Maran")</f>
        <v>Kalanithi Maran</v>
      </c>
      <c r="C837" s="17" t="str">
        <f>IFERROR(__xludf.DUMMYFUNCTION("""COMPUTED_VALUE"""),"Chairman")</f>
        <v>Chairman</v>
      </c>
      <c r="D837" s="17"/>
      <c r="E837" s="17"/>
      <c r="F837" s="17"/>
      <c r="G837" s="17"/>
      <c r="H837" s="17"/>
    </row>
    <row r="838">
      <c r="A838" s="17" t="str">
        <f>IFERROR(__xludf.DUMMYFUNCTION("""COMPUTED_VALUE"""),"Sun TV Network Ltd")</f>
        <v>Sun TV Network Ltd</v>
      </c>
      <c r="B838" s="17" t="str">
        <f>IFERROR(__xludf.DUMMYFUNCTION("""COMPUTED_VALUE"""),"Kavery Kalanithi")</f>
        <v>Kavery Kalanithi</v>
      </c>
      <c r="C838" s="17" t="str">
        <f>IFERROR(__xludf.DUMMYFUNCTION("""COMPUTED_VALUE"""),"Whole-Time Director")</f>
        <v>Whole-Time Director</v>
      </c>
      <c r="D838" s="17"/>
      <c r="E838" s="17"/>
      <c r="F838" s="17"/>
      <c r="G838" s="17"/>
      <c r="H838" s="17"/>
    </row>
    <row r="839">
      <c r="A839" s="17" t="str">
        <f>IFERROR(__xludf.DUMMYFUNCTION("""COMPUTED_VALUE"""),"Bharat Electronics Ltd")</f>
        <v>Bharat Electronics Ltd</v>
      </c>
      <c r="B839" s="17" t="str">
        <f>IFERROR(__xludf.DUMMYFUNCTION("""COMPUTED_VALUE"""),"Manoj Jain")</f>
        <v>Manoj Jain</v>
      </c>
      <c r="C839" s="17" t="str">
        <f>IFERROR(__xludf.DUMMYFUNCTION("""COMPUTED_VALUE"""),"Chairman &amp; Managing Director")</f>
        <v>Chairman &amp; Managing Director</v>
      </c>
      <c r="D839" s="17"/>
      <c r="E839" s="17"/>
      <c r="F839" s="17"/>
      <c r="G839" s="17"/>
      <c r="H839" s="17"/>
    </row>
    <row r="840">
      <c r="A840" s="17" t="str">
        <f>IFERROR(__xludf.DUMMYFUNCTION("""COMPUTED_VALUE"""),"Bharat Electronics Ltd")</f>
        <v>Bharat Electronics Ltd</v>
      </c>
      <c r="B840" s="17" t="str">
        <f>IFERROR(__xludf.DUMMYFUNCTION("""COMPUTED_VALUE"""),"Damodar Bhattad S")</f>
        <v>Damodar Bhattad S</v>
      </c>
      <c r="C840" s="17" t="str">
        <f>IFERROR(__xludf.DUMMYFUNCTION("""COMPUTED_VALUE"""),"Director (Finance) &amp; CFO")</f>
        <v>Director (Finance) &amp; CFO</v>
      </c>
      <c r="D840" s="17"/>
      <c r="E840" s="17"/>
      <c r="F840" s="17"/>
      <c r="G840" s="17"/>
      <c r="H840" s="17"/>
    </row>
    <row r="841">
      <c r="A841" s="17" t="str">
        <f>IFERROR(__xludf.DUMMYFUNCTION("""COMPUTED_VALUE"""),"Godrej &amp; Boyce Mfg. Co. Ltd")</f>
        <v>Godrej &amp; Boyce Mfg. Co. Ltd</v>
      </c>
      <c r="B841" s="17" t="str">
        <f>IFERROR(__xludf.DUMMYFUNCTION("""COMPUTED_VALUE"""),"Anil G. Verma")</f>
        <v>Anil G. Verma</v>
      </c>
      <c r="C841" s="17" t="str">
        <f>IFERROR(__xludf.DUMMYFUNCTION("""COMPUTED_VALUE"""),"Executive Director &amp; CEO")</f>
        <v>Executive Director &amp; CEO</v>
      </c>
      <c r="D841" s="27" t="str">
        <f>IFERROR(__xludf.DUMMYFUNCTION("""COMPUTED_VALUE"""),"https://www.linkedin.com/in/anil-g-verma-a3096220/")</f>
        <v>https://www.linkedin.com/in/anil-g-verma-a3096220/</v>
      </c>
      <c r="E841" s="17"/>
      <c r="F841" s="17" t="str">
        <f>IFERROR(__xludf.DUMMYFUNCTION("""COMPUTED_VALUE"""),"av@godrej.com")</f>
        <v>av@godrej.com</v>
      </c>
      <c r="G841" s="17"/>
      <c r="H841" s="17"/>
    </row>
    <row r="842">
      <c r="A842" s="17" t="str">
        <f>IFERROR(__xludf.DUMMYFUNCTION("""COMPUTED_VALUE"""),"Godrej Industries")</f>
        <v>Godrej Industries</v>
      </c>
      <c r="B842" s="17" t="str">
        <f>IFERROR(__xludf.DUMMYFUNCTION("""COMPUTED_VALUE"""),"Pirojsha Godrej")</f>
        <v>Pirojsha Godrej</v>
      </c>
      <c r="C842" s="17" t="str">
        <f>IFERROR(__xludf.DUMMYFUNCTION("""COMPUTED_VALUE"""),"Executive Chairperson")</f>
        <v>Executive Chairperson</v>
      </c>
      <c r="D842" s="27" t="str">
        <f>IFERROR(__xludf.DUMMYFUNCTION("""COMPUTED_VALUE"""),"https://www.linkedin.com/in/pirojsha-godrej/")</f>
        <v>https://www.linkedin.com/in/pirojsha-godrej/</v>
      </c>
      <c r="E842" s="17"/>
      <c r="F842" s="17" t="str">
        <f>IFERROR(__xludf.DUMMYFUNCTION("""COMPUTED_VALUE"""),"pgodrej@godrejproperties.com")</f>
        <v>pgodrej@godrejproperties.com</v>
      </c>
      <c r="G842" s="17"/>
      <c r="H842" s="17"/>
    </row>
    <row r="843">
      <c r="A843" s="17" t="str">
        <f>IFERROR(__xludf.DUMMYFUNCTION("""COMPUTED_VALUE"""),"Godrej Industries")</f>
        <v>Godrej Industries</v>
      </c>
      <c r="B843" s="17" t="str">
        <f>IFERROR(__xludf.DUMMYFUNCTION("""COMPUTED_VALUE"""),"Nadir Godrej")</f>
        <v>Nadir Godrej</v>
      </c>
      <c r="C843" s="17" t="str">
        <f>IFERROR(__xludf.DUMMYFUNCTION("""COMPUTED_VALUE"""),"Chairman &amp; MD, Godrej Industries")</f>
        <v>Chairman &amp; MD, Godrej Industries</v>
      </c>
      <c r="D843" s="27" t="str">
        <f>IFERROR(__xludf.DUMMYFUNCTION("""COMPUTED_VALUE"""),"https://www.linkedin.com/in/nadir-godrej-ba60663/")</f>
        <v>https://www.linkedin.com/in/nadir-godrej-ba60663/</v>
      </c>
      <c r="E843" s="17"/>
      <c r="F843" s="17" t="str">
        <f>IFERROR(__xludf.DUMMYFUNCTION("""COMPUTED_VALUE"""),"nb.godrej@godrejinds.com")</f>
        <v>nb.godrej@godrejinds.com</v>
      </c>
      <c r="G843" s="17"/>
      <c r="H843" s="17"/>
    </row>
    <row r="844">
      <c r="A844" s="17" t="str">
        <f>IFERROR(__xludf.DUMMYFUNCTION("""COMPUTED_VALUE"""),"Adani Green Energy Ltd")</f>
        <v>Adani Green Energy Ltd</v>
      </c>
      <c r="B844" s="17" t="str">
        <f>IFERROR(__xludf.DUMMYFUNCTION("""COMPUTED_VALUE"""),"Vneet S. Jaain")</f>
        <v>Vneet S. Jaain</v>
      </c>
      <c r="C844" s="17" t="str">
        <f>IFERROR(__xludf.DUMMYFUNCTION("""COMPUTED_VALUE"""),"Managing Director &amp; CEO")</f>
        <v>Managing Director &amp; CEO</v>
      </c>
      <c r="D844" s="27" t="str">
        <f>IFERROR(__xludf.DUMMYFUNCTION("""COMPUTED_VALUE"""),"https://www.linkedin.com/in/vneet-s-jaain-24959015/")</f>
        <v>https://www.linkedin.com/in/vneet-s-jaain-24959015/</v>
      </c>
      <c r="E844" s="17"/>
      <c r="F844" s="17" t="str">
        <f>IFERROR(__xludf.DUMMYFUNCTION("""COMPUTED_VALUE"""),"vineet.jain@adanipower.com")</f>
        <v>vineet.jain@adanipower.com</v>
      </c>
      <c r="G844" s="17"/>
      <c r="H844" s="17"/>
    </row>
    <row r="845">
      <c r="A845" s="17" t="str">
        <f>IFERROR(__xludf.DUMMYFUNCTION("""COMPUTED_VALUE"""),"JSW Steel Ltd")</f>
        <v>JSW Steel Ltd</v>
      </c>
      <c r="B845" s="17" t="str">
        <f>IFERROR(__xludf.DUMMYFUNCTION("""COMPUTED_VALUE"""),"Sajjan Jindal")</f>
        <v>Sajjan Jindal</v>
      </c>
      <c r="C845" s="17" t="str">
        <f>IFERROR(__xludf.DUMMYFUNCTION("""COMPUTED_VALUE"""),"Chairman &amp; Managing Director")</f>
        <v>Chairman &amp; Managing Director</v>
      </c>
      <c r="D845" s="17"/>
      <c r="E845" s="17"/>
      <c r="F845" s="17"/>
      <c r="G845" s="17"/>
      <c r="H845" s="17"/>
    </row>
    <row r="846">
      <c r="A846" s="17" t="str">
        <f>IFERROR(__xludf.DUMMYFUNCTION("""COMPUTED_VALUE"""),"JSW Steel Ltd")</f>
        <v>JSW Steel Ltd</v>
      </c>
      <c r="B846" s="17" t="str">
        <f>IFERROR(__xludf.DUMMYFUNCTION("""COMPUTED_VALUE"""),"Jayant Acharya")</f>
        <v>Jayant Acharya</v>
      </c>
      <c r="C846" s="17" t="str">
        <f>IFERROR(__xludf.DUMMYFUNCTION("""COMPUTED_VALUE"""),"Jt. Managing Director &amp; CEO")</f>
        <v>Jt. Managing Director &amp; CEO</v>
      </c>
      <c r="D846" s="27" t="str">
        <f>IFERROR(__xludf.DUMMYFUNCTION("""COMPUTED_VALUE"""),"https://www.linkedin.com/in/jayant-acharya-32b415121/")</f>
        <v>https://www.linkedin.com/in/jayant-acharya-32b415121/</v>
      </c>
      <c r="E846" s="17"/>
      <c r="F846" s="17" t="str">
        <f>IFERROR(__xludf.DUMMYFUNCTION("""COMPUTED_VALUE"""),"jayant.acharya@jsw.in")</f>
        <v>jayant.acharya@jsw.in</v>
      </c>
      <c r="G846" s="17"/>
      <c r="H846" s="17"/>
    </row>
    <row r="847">
      <c r="A847" s="17" t="str">
        <f>IFERROR(__xludf.DUMMYFUNCTION("""COMPUTED_VALUE"""),"JSW Energy Ltd")</f>
        <v>JSW Energy Ltd</v>
      </c>
      <c r="B847" s="17" t="str">
        <f>IFERROR(__xludf.DUMMYFUNCTION("""COMPUTED_VALUE"""),"Sajjan Jindal")</f>
        <v>Sajjan Jindal</v>
      </c>
      <c r="C847" s="17" t="str">
        <f>IFERROR(__xludf.DUMMYFUNCTION("""COMPUTED_VALUE"""),"Chairman")</f>
        <v>Chairman</v>
      </c>
      <c r="D847" s="17"/>
      <c r="E847" s="17"/>
      <c r="F847" s="17"/>
      <c r="G847" s="17"/>
      <c r="H847" s="17"/>
    </row>
    <row r="848">
      <c r="A848" s="17" t="str">
        <f>IFERROR(__xludf.DUMMYFUNCTION("""COMPUTED_VALUE"""),"JSW Energy Ltd")</f>
        <v>JSW Energy Ltd</v>
      </c>
      <c r="B848" s="17" t="str">
        <f>IFERROR(__xludf.DUMMYFUNCTION("""COMPUTED_VALUE"""),"Sharad Mahendra")</f>
        <v>Sharad Mahendra</v>
      </c>
      <c r="C848" s="17" t="str">
        <f>IFERROR(__xludf.DUMMYFUNCTION("""COMPUTED_VALUE"""),"Jt. Managing Director &amp; CEO")</f>
        <v>Jt. Managing Director &amp; CEO</v>
      </c>
      <c r="D848" s="27" t="str">
        <f>IFERROR(__xludf.DUMMYFUNCTION("""COMPUTED_VALUE"""),"https://www.linkedin.com/in/sharad-mahendra-478436b6/")</f>
        <v>https://www.linkedin.com/in/sharad-mahendra-478436b6/</v>
      </c>
      <c r="E848" s="17"/>
      <c r="F848" s="17" t="str">
        <f>IFERROR(__xludf.DUMMYFUNCTION("""COMPUTED_VALUE"""),"sharad.mahendra@jsw.in")</f>
        <v>sharad.mahendra@jsw.in</v>
      </c>
      <c r="G848" s="17"/>
      <c r="H848" s="17"/>
    </row>
    <row r="849">
      <c r="A849" s="17" t="str">
        <f>IFERROR(__xludf.DUMMYFUNCTION("""COMPUTED_VALUE"""),"JSW Infrastructure Ltd")</f>
        <v>JSW Infrastructure Ltd</v>
      </c>
      <c r="B849" s="17" t="str">
        <f>IFERROR(__xludf.DUMMYFUNCTION("""COMPUTED_VALUE"""),"Sajjan Jindal")</f>
        <v>Sajjan Jindal</v>
      </c>
      <c r="C849" s="17" t="str">
        <f>IFERROR(__xludf.DUMMYFUNCTION("""COMPUTED_VALUE"""),"Chairman")</f>
        <v>Chairman</v>
      </c>
      <c r="D849" s="17"/>
      <c r="E849" s="17"/>
      <c r="F849" s="17"/>
      <c r="G849" s="17"/>
      <c r="H849" s="17"/>
    </row>
    <row r="850">
      <c r="A850" s="17" t="str">
        <f>IFERROR(__xludf.DUMMYFUNCTION("""COMPUTED_VALUE"""),"JSW Infrastructure Ltd")</f>
        <v>JSW Infrastructure Ltd</v>
      </c>
      <c r="B850" s="17" t="str">
        <f>IFERROR(__xludf.DUMMYFUNCTION("""COMPUTED_VALUE"""),"Rinkesh Roy")</f>
        <v>Rinkesh Roy</v>
      </c>
      <c r="C850" s="17" t="str">
        <f>IFERROR(__xludf.DUMMYFUNCTION("""COMPUTED_VALUE"""),"Joint Managing Director and CEO")</f>
        <v>Joint Managing Director and CEO</v>
      </c>
      <c r="D850" s="27" t="str">
        <f>IFERROR(__xludf.DUMMYFUNCTION("""COMPUTED_VALUE"""),"https://www.linkedin.com/in/rinkesh-roy-69191a68/")</f>
        <v>https://www.linkedin.com/in/rinkesh-roy-69191a68/</v>
      </c>
      <c r="E850" s="17"/>
      <c r="F850" s="17" t="str">
        <f>IFERROR(__xludf.DUMMYFUNCTION("""COMPUTED_VALUE"""),"rinkesh.roy@jsw.in")</f>
        <v>rinkesh.roy@jsw.in</v>
      </c>
      <c r="G850" s="17"/>
      <c r="H850" s="17"/>
    </row>
    <row r="851">
      <c r="A851" s="17" t="str">
        <f>IFERROR(__xludf.DUMMYFUNCTION("""COMPUTED_VALUE"""),"Bharti Enterprises Ltd")</f>
        <v>Bharti Enterprises Ltd</v>
      </c>
      <c r="B851" s="17" t="str">
        <f>IFERROR(__xludf.DUMMYFUNCTION("""COMPUTED_VALUE"""),"Sunil Mittal")</f>
        <v>Sunil Mittal</v>
      </c>
      <c r="C851" s="17" t="str">
        <f>IFERROR(__xludf.DUMMYFUNCTION("""COMPUTED_VALUE"""),"Founder &amp; Chairman")</f>
        <v>Founder &amp; Chairman</v>
      </c>
      <c r="D851" s="17"/>
      <c r="E851" s="17"/>
      <c r="F851" s="17"/>
      <c r="G851" s="17"/>
      <c r="H851" s="17"/>
    </row>
    <row r="852">
      <c r="A852" s="17" t="str">
        <f>IFERROR(__xludf.DUMMYFUNCTION("""COMPUTED_VALUE"""),"Bharti Enterprises Ltd")</f>
        <v>Bharti Enterprises Ltd</v>
      </c>
      <c r="B852" s="17" t="str">
        <f>IFERROR(__xludf.DUMMYFUNCTION("""COMPUTED_VALUE"""),"Gopal Vittal")</f>
        <v>Gopal Vittal</v>
      </c>
      <c r="C852" s="17" t="str">
        <f>IFERROR(__xludf.DUMMYFUNCTION("""COMPUTED_VALUE"""),"Director")</f>
        <v>Director</v>
      </c>
      <c r="D852" s="17"/>
      <c r="E852" s="17"/>
      <c r="F852" s="17"/>
      <c r="G852" s="17"/>
      <c r="H852" s="17"/>
    </row>
    <row r="853">
      <c r="A853" s="17" t="str">
        <f>IFERROR(__xludf.DUMMYFUNCTION("""COMPUTED_VALUE"""),"Oberoi Group (EIH Limited)")</f>
        <v>Oberoi Group (EIH Limited)</v>
      </c>
      <c r="B853" s="17" t="str">
        <f>IFERROR(__xludf.DUMMYFUNCTION("""COMPUTED_VALUE"""),"Arjun Singh Oberoi")</f>
        <v>Arjun Singh Oberoi</v>
      </c>
      <c r="C853" s="17" t="str">
        <f>IFERROR(__xludf.DUMMYFUNCTION("""COMPUTED_VALUE"""),"Executive Chairman")</f>
        <v>Executive Chairman</v>
      </c>
      <c r="D853" s="17"/>
      <c r="E853" s="17"/>
      <c r="F853" s="17"/>
      <c r="G853" s="17"/>
      <c r="H853" s="17"/>
    </row>
    <row r="854">
      <c r="A854" s="17" t="str">
        <f>IFERROR(__xludf.DUMMYFUNCTION("""COMPUTED_VALUE"""),"Oberoi Group (EIH Limited)")</f>
        <v>Oberoi Group (EIH Limited)</v>
      </c>
      <c r="B854" s="17" t="str">
        <f>IFERROR(__xludf.DUMMYFUNCTION("""COMPUTED_VALUE"""),"Vikramjit Singh Oberoi")</f>
        <v>Vikramjit Singh Oberoi</v>
      </c>
      <c r="C854" s="17" t="str">
        <f>IFERROR(__xludf.DUMMYFUNCTION("""COMPUTED_VALUE"""),"Managing Director &amp; CEO")</f>
        <v>Managing Director &amp; CEO</v>
      </c>
      <c r="D854" s="17"/>
      <c r="E854" s="17"/>
      <c r="F854" s="17"/>
      <c r="G854" s="17"/>
      <c r="H854" s="17"/>
    </row>
    <row r="855">
      <c r="A855" s="17" t="str">
        <f>IFERROR(__xludf.DUMMYFUNCTION("""COMPUTED_VALUE"""),"Tata Consumer Products Ltd")</f>
        <v>Tata Consumer Products Ltd</v>
      </c>
      <c r="B855" s="17" t="str">
        <f>IFERROR(__xludf.DUMMYFUNCTION("""COMPUTED_VALUE"""),"N. Chandrasekaran")</f>
        <v>N. Chandrasekaran</v>
      </c>
      <c r="C855" s="17" t="str">
        <f>IFERROR(__xludf.DUMMYFUNCTION("""COMPUTED_VALUE"""),"Chairman")</f>
        <v>Chairman</v>
      </c>
      <c r="D855" s="17"/>
      <c r="E855" s="17"/>
      <c r="F855" s="17"/>
      <c r="G855" s="17"/>
      <c r="H855" s="17"/>
    </row>
    <row r="856">
      <c r="A856" s="17" t="str">
        <f>IFERROR(__xludf.DUMMYFUNCTION("""COMPUTED_VALUE"""),"Tata Consumer Products Ltd")</f>
        <v>Tata Consumer Products Ltd</v>
      </c>
      <c r="B856" s="17" t="str">
        <f>IFERROR(__xludf.DUMMYFUNCTION("""COMPUTED_VALUE"""),"Sunil D'Souza")</f>
        <v>Sunil D'Souza</v>
      </c>
      <c r="C856" s="17" t="str">
        <f>IFERROR(__xludf.DUMMYFUNCTION("""COMPUTED_VALUE"""),"Managing Director &amp; CEO")</f>
        <v>Managing Director &amp; CEO</v>
      </c>
      <c r="D856" s="27" t="str">
        <f>IFERROR(__xludf.DUMMYFUNCTION("""COMPUTED_VALUE"""),"https://www.linkedin.com/in/sunil-d-souza-6622065/")</f>
        <v>https://www.linkedin.com/in/sunil-d-souza-6622065/</v>
      </c>
      <c r="E856" s="17"/>
      <c r="F856" s="17" t="str">
        <f>IFERROR(__xludf.DUMMYFUNCTION("""COMPUTED_VALUE"""),"sunil@tataconsumer.com")</f>
        <v>sunil@tataconsumer.com</v>
      </c>
      <c r="G856" s="17"/>
      <c r="H856" s="17"/>
    </row>
    <row r="857">
      <c r="A857" s="17" t="str">
        <f>IFERROR(__xludf.DUMMYFUNCTION("""COMPUTED_VALUE"""),"Bajaj Holdings &amp; Investment Ltd")</f>
        <v>Bajaj Holdings &amp; Investment Ltd</v>
      </c>
      <c r="B857" s="17" t="str">
        <f>IFERROR(__xludf.DUMMYFUNCTION("""COMPUTED_VALUE"""),"Shekhar Bajaj")</f>
        <v>Shekhar Bajaj</v>
      </c>
      <c r="C857" s="17" t="str">
        <f>IFERROR(__xludf.DUMMYFUNCTION("""COMPUTED_VALUE"""),"Chairman")</f>
        <v>Chairman</v>
      </c>
      <c r="D857" s="17"/>
      <c r="E857" s="17"/>
      <c r="F857" s="17"/>
      <c r="G857" s="17"/>
      <c r="H857" s="17"/>
    </row>
    <row r="858">
      <c r="A858" s="17" t="str">
        <f>IFERROR(__xludf.DUMMYFUNCTION("""COMPUTED_VALUE"""),"Bajaj Holdings &amp; Investment Ltd")</f>
        <v>Bajaj Holdings &amp; Investment Ltd</v>
      </c>
      <c r="B858" s="17" t="str">
        <f>IFERROR(__xludf.DUMMYFUNCTION("""COMPUTED_VALUE"""),"Sanjiv Bajaj")</f>
        <v>Sanjiv Bajaj</v>
      </c>
      <c r="C858" s="17" t="str">
        <f>IFERROR(__xludf.DUMMYFUNCTION("""COMPUTED_VALUE"""),"MD &amp; CEO")</f>
        <v>MD &amp; CEO</v>
      </c>
      <c r="D858" s="27" t="str">
        <f>IFERROR(__xludf.DUMMYFUNCTION("""COMPUTED_VALUE"""),"https://www.linkedin.com/in/sanjiv-r-bajaj/")</f>
        <v>https://www.linkedin.com/in/sanjiv-r-bajaj/</v>
      </c>
      <c r="E858" s="17"/>
      <c r="F858" s="17" t="str">
        <f>IFERROR(__xludf.DUMMYFUNCTION("""COMPUTED_VALUE"""),"sanjiv.bajaj@cii.in")</f>
        <v>sanjiv.bajaj@cii.in</v>
      </c>
      <c r="G858" s="17"/>
      <c r="H858" s="17"/>
    </row>
    <row r="859">
      <c r="A859" s="17" t="str">
        <f>IFERROR(__xludf.DUMMYFUNCTION("""COMPUTED_VALUE"""),"Biocon Ltd")</f>
        <v>Biocon Ltd</v>
      </c>
      <c r="B859" s="17" t="str">
        <f>IFERROR(__xludf.DUMMYFUNCTION("""COMPUTED_VALUE"""),"Kiran Mazumdar-Shaw")</f>
        <v>Kiran Mazumdar-Shaw</v>
      </c>
      <c r="C859" s="17" t="str">
        <f>IFERROR(__xludf.DUMMYFUNCTION("""COMPUTED_VALUE"""),"Executive Chairperson")</f>
        <v>Executive Chairperson</v>
      </c>
      <c r="D859" s="17"/>
      <c r="E859" s="17"/>
      <c r="F859" s="17" t="str">
        <f>IFERROR(__xludf.DUMMYFUNCTION("""COMPUTED_VALUE"""),"kiran.mazumdar@biocon.com")</f>
        <v>kiran.mazumdar@biocon.com</v>
      </c>
      <c r="G859" s="17"/>
      <c r="H859" s="17"/>
    </row>
    <row r="860">
      <c r="A860" s="17" t="str">
        <f>IFERROR(__xludf.DUMMYFUNCTION("""COMPUTED_VALUE"""),"Biocon Ltd")</f>
        <v>Biocon Ltd</v>
      </c>
      <c r="B860" s="17" t="str">
        <f>IFERROR(__xludf.DUMMYFUNCTION("""COMPUTED_VALUE"""),"Siddharth Mittal")</f>
        <v>Siddharth Mittal</v>
      </c>
      <c r="C860" s="17" t="str">
        <f>IFERROR(__xludf.DUMMYFUNCTION("""COMPUTED_VALUE"""),"CEO &amp; Joint Managing Director")</f>
        <v>CEO &amp; Joint Managing Director</v>
      </c>
      <c r="D860" s="17"/>
      <c r="E860" s="17"/>
      <c r="F860" s="17" t="str">
        <f>IFERROR(__xludf.DUMMYFUNCTION("""COMPUTED_VALUE"""),"siddharth.mittal@biocon.com")</f>
        <v>siddharth.mittal@biocon.com</v>
      </c>
      <c r="G860" s="17"/>
      <c r="H860" s="17"/>
    </row>
    <row r="861">
      <c r="A861" s="17" t="str">
        <f>IFERROR(__xludf.DUMMYFUNCTION("""COMPUTED_VALUE"""),"Petrochemicals Ltd (RIL)")</f>
        <v>Petrochemicals Ltd (RIL)</v>
      </c>
      <c r="B861" s="17" t="str">
        <f>IFERROR(__xludf.DUMMYFUNCTION("""COMPUTED_VALUE"""),"Mukesh D Ambani")</f>
        <v>Mukesh D Ambani</v>
      </c>
      <c r="C861" s="17" t="str">
        <f>IFERROR(__xludf.DUMMYFUNCTION("""COMPUTED_VALUE"""),"Chairman &amp; Managing Director")</f>
        <v>Chairman &amp; Managing Director</v>
      </c>
      <c r="D861" s="17"/>
      <c r="E861" s="17"/>
      <c r="F861" s="17"/>
      <c r="G861" s="17"/>
      <c r="H861" s="17"/>
    </row>
    <row r="862">
      <c r="A862" s="17" t="str">
        <f>IFERROR(__xludf.DUMMYFUNCTION("""COMPUTED_VALUE"""),"Petrochemicals Ltd (RIL)")</f>
        <v>Petrochemicals Ltd (RIL)</v>
      </c>
      <c r="B862" s="17" t="str">
        <f>IFERROR(__xludf.DUMMYFUNCTION("""COMPUTED_VALUE"""),"Nikhil R Meswani")</f>
        <v>Nikhil R Meswani</v>
      </c>
      <c r="C862" s="17" t="str">
        <f>IFERROR(__xludf.DUMMYFUNCTION("""COMPUTED_VALUE"""),"Executive Director")</f>
        <v>Executive Director</v>
      </c>
      <c r="D862" s="17"/>
      <c r="E862" s="17"/>
      <c r="F862" s="17"/>
      <c r="G862" s="17"/>
      <c r="H862" s="17"/>
    </row>
    <row r="863">
      <c r="A863" s="17" t="str">
        <f>IFERROR(__xludf.DUMMYFUNCTION("""COMPUTED_VALUE"""),"Oil India Ltd")</f>
        <v>Oil India Ltd</v>
      </c>
      <c r="B863" s="17" t="str">
        <f>IFERROR(__xludf.DUMMYFUNCTION("""COMPUTED_VALUE"""),"Ranjit Rath")</f>
        <v>Ranjit Rath</v>
      </c>
      <c r="C863" s="17" t="str">
        <f>IFERROR(__xludf.DUMMYFUNCTION("""COMPUTED_VALUE"""),"Chairman &amp; Managing Director")</f>
        <v>Chairman &amp; Managing Director</v>
      </c>
      <c r="D863" s="27" t="str">
        <f>IFERROR(__xludf.DUMMYFUNCTION("""COMPUTED_VALUE"""),"https://www.linkedin.com/in/dr-ranjit-rath-4a577814/")</f>
        <v>https://www.linkedin.com/in/dr-ranjit-rath-4a577814/</v>
      </c>
      <c r="E863" s="17"/>
      <c r="F863" s="17" t="str">
        <f>IFERROR(__xludf.DUMMYFUNCTION("""COMPUTED_VALUE"""),"r.rath@eil.co.in")</f>
        <v>r.rath@eil.co.in</v>
      </c>
      <c r="G863" s="17"/>
      <c r="H863" s="17"/>
    </row>
    <row r="864">
      <c r="A864" s="17" t="str">
        <f>IFERROR(__xludf.DUMMYFUNCTION("""COMPUTED_VALUE"""),"Oil India Ltd")</f>
        <v>Oil India Ltd</v>
      </c>
      <c r="B864" s="17" t="str">
        <f>IFERROR(__xludf.DUMMYFUNCTION("""COMPUTED_VALUE"""),"Harmait Singh")</f>
        <v>Harmait Singh</v>
      </c>
      <c r="C864" s="17" t="str">
        <f>IFERROR(__xludf.DUMMYFUNCTION("""COMPUTED_VALUE"""),"Director (Finance)")</f>
        <v>Director (Finance)</v>
      </c>
      <c r="D864" s="17"/>
      <c r="E864" s="17"/>
      <c r="F864" s="17"/>
      <c r="G864" s="17"/>
      <c r="H864" s="17"/>
    </row>
    <row r="865">
      <c r="A865" s="17" t="str">
        <f>IFERROR(__xludf.DUMMYFUNCTION("""COMPUTED_VALUE"""),"Vedanta Resources Ltd")</f>
        <v>Vedanta Resources Ltd</v>
      </c>
      <c r="B865" s="17" t="str">
        <f>IFERROR(__xludf.DUMMYFUNCTION("""COMPUTED_VALUE"""),"Anil Agarwal")</f>
        <v>Anil Agarwal</v>
      </c>
      <c r="C865" s="17" t="str">
        <f>IFERROR(__xludf.DUMMYFUNCTION("""COMPUTED_VALUE"""),"Chairman")</f>
        <v>Chairman</v>
      </c>
      <c r="D865" s="27" t="str">
        <f>IFERROR(__xludf.DUMMYFUNCTION("""COMPUTED_VALUE"""),"https://www.linkedin.com/in/anilagarwal-ved/")</f>
        <v>https://www.linkedin.com/in/anilagarwal-ved/</v>
      </c>
      <c r="E865" s="17"/>
      <c r="F865" s="17" t="str">
        <f>IFERROR(__xludf.DUMMYFUNCTION("""COMPUTED_VALUE"""),"anil@vedantafoundation.org")</f>
        <v>anil@vedantafoundation.org</v>
      </c>
      <c r="G865" s="17"/>
      <c r="H865" s="17"/>
    </row>
    <row r="866">
      <c r="A866" s="17" t="str">
        <f>IFERROR(__xludf.DUMMYFUNCTION("""COMPUTED_VALUE"""),"Vedanta Resources Ltd")</f>
        <v>Vedanta Resources Ltd</v>
      </c>
      <c r="B866" s="17" t="str">
        <f>IFERROR(__xludf.DUMMYFUNCTION("""COMPUTED_VALUE"""),"Sonia G. Singh")</f>
        <v>Sonia G. Singh</v>
      </c>
      <c r="C866" s="17" t="str">
        <f>IFERROR(__xludf.DUMMYFUNCTION("""COMPUTED_VALUE"""),"Director")</f>
        <v>Director</v>
      </c>
      <c r="D866" s="17"/>
      <c r="E866" s="17"/>
      <c r="F866" s="17"/>
      <c r="G866" s="17"/>
      <c r="H866" s="17"/>
    </row>
    <row r="867">
      <c r="A867" s="17" t="str">
        <f>IFERROR(__xludf.DUMMYFUNCTION("""COMPUTED_VALUE"""),"Mahindra &amp; Mahindra Financial Services Ltd")</f>
        <v>Mahindra &amp; Mahindra Financial Services Ltd</v>
      </c>
      <c r="B867" s="17" t="str">
        <f>IFERROR(__xludf.DUMMYFUNCTION("""COMPUTED_VALUE"""),"Anish Shah")</f>
        <v>Anish Shah</v>
      </c>
      <c r="C867" s="17" t="str">
        <f>IFERROR(__xludf.DUMMYFUNCTION("""COMPUTED_VALUE"""),"Chairman")</f>
        <v>Chairman</v>
      </c>
      <c r="D867" s="27" t="str">
        <f>IFERROR(__xludf.DUMMYFUNCTION("""COMPUTED_VALUE"""),"https://www.linkedin.com/in/anishdshah/")</f>
        <v>https://www.linkedin.com/in/anishdshah/</v>
      </c>
      <c r="E867" s="17"/>
      <c r="F867" s="17" t="str">
        <f>IFERROR(__xludf.DUMMYFUNCTION("""COMPUTED_VALUE"""),"shah.anish@mahindra.com")</f>
        <v>shah.anish@mahindra.com</v>
      </c>
      <c r="G867" s="17"/>
      <c r="H867" s="17"/>
    </row>
    <row r="868">
      <c r="A868" s="17" t="str">
        <f>IFERROR(__xludf.DUMMYFUNCTION("""COMPUTED_VALUE"""),"Mahindra &amp; Mahindra Financial Services Ltd")</f>
        <v>Mahindra &amp; Mahindra Financial Services Ltd</v>
      </c>
      <c r="B868" s="17" t="str">
        <f>IFERROR(__xludf.DUMMYFUNCTION("""COMPUTED_VALUE"""),"Raul B. Rai")</f>
        <v>Raul B. Rai</v>
      </c>
      <c r="C868" s="17" t="str">
        <f>IFERROR(__xludf.DUMMYFUNCTION("""COMPUTED_VALUE"""),"Vice Chairman")</f>
        <v>Vice Chairman</v>
      </c>
      <c r="D868" s="17"/>
      <c r="E868" s="17"/>
      <c r="F868" s="17"/>
      <c r="G868" s="17"/>
      <c r="H868" s="17"/>
    </row>
    <row r="869">
      <c r="A869" s="17" t="str">
        <f>IFERROR(__xludf.DUMMYFUNCTION("""COMPUTED_VALUE"""),"Tata Elxsi Ltd")</f>
        <v>Tata Elxsi Ltd</v>
      </c>
      <c r="B869" s="17" t="str">
        <f>IFERROR(__xludf.DUMMYFUNCTION("""COMPUTED_VALUE"""),"Sudarsan Venu")</f>
        <v>Sudarsan Venu</v>
      </c>
      <c r="C869" s="17" t="str">
        <f>IFERROR(__xludf.DUMMYFUNCTION("""COMPUTED_VALUE"""),"Chairman")</f>
        <v>Chairman</v>
      </c>
      <c r="D869" s="17"/>
      <c r="E869" s="17"/>
      <c r="F869" s="17"/>
      <c r="G869" s="17"/>
      <c r="H869" s="17"/>
    </row>
    <row r="870">
      <c r="A870" s="17" t="str">
        <f>IFERROR(__xludf.DUMMYFUNCTION("""COMPUTED_VALUE"""),"Tata Elxsi Ltd")</f>
        <v>Tata Elxsi Ltd</v>
      </c>
      <c r="B870" s="17" t="str">
        <f>IFERROR(__xludf.DUMMYFUNCTION("""COMPUTED_VALUE"""),"Manoj Raghavan")</f>
        <v>Manoj Raghavan</v>
      </c>
      <c r="C870" s="17" t="str">
        <f>IFERROR(__xludf.DUMMYFUNCTION("""COMPUTED_VALUE"""),"CEO &amp; Managing Director")</f>
        <v>CEO &amp; Managing Director</v>
      </c>
      <c r="D870" s="27" t="str">
        <f>IFERROR(__xludf.DUMMYFUNCTION("""COMPUTED_VALUE"""),"https://www.linkedin.com/in/manoj-raghavan-a200a05/")</f>
        <v>https://www.linkedin.com/in/manoj-raghavan-a200a05/</v>
      </c>
      <c r="E870" s="17"/>
      <c r="F870" s="17" t="str">
        <f>IFERROR(__xludf.DUMMYFUNCTION("""COMPUTED_VALUE"""),"manoj.raghavan@gmail.com")</f>
        <v>manoj.raghavan@gmail.com</v>
      </c>
      <c r="G870" s="17"/>
      <c r="H870" s="17"/>
    </row>
    <row r="871">
      <c r="A871" s="17" t="str">
        <f>IFERROR(__xludf.DUMMYFUNCTION("""COMPUTED_VALUE"""),"Bajaj Electricals Ltd")</f>
        <v>Bajaj Electricals Ltd</v>
      </c>
      <c r="B871" s="17" t="str">
        <f>IFERROR(__xludf.DUMMYFUNCTION("""COMPUTED_VALUE"""),"Shekhar Bajaj")</f>
        <v>Shekhar Bajaj</v>
      </c>
      <c r="C871" s="17" t="str">
        <f>IFERROR(__xludf.DUMMYFUNCTION("""COMPUTED_VALUE"""),"Chairman &amp; Managing Director")</f>
        <v>Chairman &amp; Managing Director</v>
      </c>
      <c r="D871" s="17"/>
      <c r="E871" s="17"/>
      <c r="F871" s="17"/>
      <c r="G871" s="17"/>
      <c r="H871" s="17"/>
    </row>
    <row r="872">
      <c r="A872" s="17" t="str">
        <f>IFERROR(__xludf.DUMMYFUNCTION("""COMPUTED_VALUE"""),"Bajaj Electricals Ltd")</f>
        <v>Bajaj Electricals Ltd</v>
      </c>
      <c r="B872" s="17" t="str">
        <f>IFERROR(__xludf.DUMMYFUNCTION("""COMPUTED_VALUE"""),"Anuj Poddar")</f>
        <v>Anuj Poddar</v>
      </c>
      <c r="C872" s="17" t="str">
        <f>IFERROR(__xludf.DUMMYFUNCTION("""COMPUTED_VALUE"""),"MD and Chief Executive Officer")</f>
        <v>MD and Chief Executive Officer</v>
      </c>
      <c r="D872" s="27" t="str">
        <f>IFERROR(__xludf.DUMMYFUNCTION("""COMPUTED_VALUE"""),"https://www.linkedin.com/in/anuj-poddar-1244412b/")</f>
        <v>https://www.linkedin.com/in/anuj-poddar-1244412b/</v>
      </c>
      <c r="E872" s="17"/>
      <c r="F872" s="17" t="str">
        <f>IFERROR(__xludf.DUMMYFUNCTION("""COMPUTED_VALUE"""),"anujpoddar@gmail.com")</f>
        <v>anujpoddar@gmail.com</v>
      </c>
      <c r="G872" s="17"/>
      <c r="H872" s="17"/>
    </row>
    <row r="873">
      <c r="A873" s="17" t="str">
        <f>IFERROR(__xludf.DUMMYFUNCTION("""COMPUTED_VALUE"""),"Crompton Greaves Consumer Electricals Ltd")</f>
        <v>Crompton Greaves Consumer Electricals Ltd</v>
      </c>
      <c r="B873" s="17" t="str">
        <f>IFERROR(__xludf.DUMMYFUNCTION("""COMPUTED_VALUE"""),"Shantanu Khosla")</f>
        <v>Shantanu Khosla</v>
      </c>
      <c r="C873" s="17" t="str">
        <f>IFERROR(__xludf.DUMMYFUNCTION("""COMPUTED_VALUE"""),"Executive Vice Chairman")</f>
        <v>Executive Vice Chairman</v>
      </c>
      <c r="D873" s="17"/>
      <c r="E873" s="17"/>
      <c r="F873" s="17"/>
      <c r="G873" s="17"/>
      <c r="H873" s="17"/>
    </row>
    <row r="874">
      <c r="A874" s="17" t="str">
        <f>IFERROR(__xludf.DUMMYFUNCTION("""COMPUTED_VALUE"""),"Crompton Greaves Consumer Electricals Ltd")</f>
        <v>Crompton Greaves Consumer Electricals Ltd</v>
      </c>
      <c r="B874" s="17" t="str">
        <f>IFERROR(__xludf.DUMMYFUNCTION("""COMPUTED_VALUE"""),"Subodh Bhargava")</f>
        <v>Subodh Bhargava</v>
      </c>
      <c r="C874" s="17" t="str">
        <f>IFERROR(__xludf.DUMMYFUNCTION("""COMPUTED_VALUE"""),"Non-Executive Director")</f>
        <v>Non-Executive Director</v>
      </c>
      <c r="D874" s="27" t="str">
        <f>IFERROR(__xludf.DUMMYFUNCTION("""COMPUTED_VALUE"""),"https://www.linkedin.com/in/subodh-bhargava-404ab95/")</f>
        <v>https://www.linkedin.com/in/subodh-bhargava-404ab95/</v>
      </c>
      <c r="E874" s="17"/>
      <c r="F874" s="17" t="str">
        <f>IFERROR(__xludf.DUMMYFUNCTION("""COMPUTED_VALUE"""),"subodh.bhargava@wartsila.com")</f>
        <v>subodh.bhargava@wartsila.com</v>
      </c>
      <c r="G874" s="17"/>
      <c r="H874" s="17"/>
    </row>
    <row r="875">
      <c r="A875" s="17" t="str">
        <f>IFERROR(__xludf.DUMMYFUNCTION("""COMPUTED_VALUE"""),"Voltas Ltd")</f>
        <v>Voltas Ltd</v>
      </c>
      <c r="B875" s="17" t="str">
        <f>IFERROR(__xludf.DUMMYFUNCTION("""COMPUTED_VALUE"""),"Noel N. Tata")</f>
        <v>Noel N. Tata</v>
      </c>
      <c r="C875" s="17" t="str">
        <f>IFERROR(__xludf.DUMMYFUNCTION("""COMPUTED_VALUE"""),"Chairman")</f>
        <v>Chairman</v>
      </c>
      <c r="D875" s="17"/>
      <c r="E875" s="17"/>
      <c r="F875" s="17"/>
      <c r="G875" s="17"/>
      <c r="H875" s="17"/>
    </row>
    <row r="876">
      <c r="A876" s="17" t="str">
        <f>IFERROR(__xludf.DUMMYFUNCTION("""COMPUTED_VALUE"""),"Voltas Ltd")</f>
        <v>Voltas Ltd</v>
      </c>
      <c r="B876" s="17" t="str">
        <f>IFERROR(__xludf.DUMMYFUNCTION("""COMPUTED_VALUE"""),"Mukundan Menon")</f>
        <v>Mukundan Menon</v>
      </c>
      <c r="C876" s="17" t="str">
        <f>IFERROR(__xludf.DUMMYFUNCTION("""COMPUTED_VALUE"""),"Managing Director ")</f>
        <v>Managing Director </v>
      </c>
      <c r="D876" s="27" t="str">
        <f>IFERROR(__xludf.DUMMYFUNCTION("""COMPUTED_VALUE"""),"https://www.linkedin.com/in/mukundan-menon-82b8447/")</f>
        <v>https://www.linkedin.com/in/mukundan-menon-82b8447/</v>
      </c>
      <c r="E876" s="17"/>
      <c r="F876" s="17" t="str">
        <f>IFERROR(__xludf.DUMMYFUNCTION("""COMPUTED_VALUE"""),"mm@voltas.com")</f>
        <v>mm@voltas.com</v>
      </c>
      <c r="G876" s="17"/>
      <c r="H876" s="17"/>
    </row>
    <row r="877">
      <c r="A877" s="17" t="str">
        <f>IFERROR(__xludf.DUMMYFUNCTION("""COMPUTED_VALUE"""),"Lupin Ltd")</f>
        <v>Lupin Ltd</v>
      </c>
      <c r="B877" s="17" t="str">
        <f>IFERROR(__xludf.DUMMYFUNCTION("""COMPUTED_VALUE"""),"Desh Bandhu Gupta")</f>
        <v>Desh Bandhu Gupta</v>
      </c>
      <c r="C877" s="17" t="str">
        <f>IFERROR(__xludf.DUMMYFUNCTION("""COMPUTED_VALUE"""),"Chairman Emeritus")</f>
        <v>Chairman Emeritus</v>
      </c>
      <c r="D877" s="17"/>
      <c r="E877" s="17"/>
      <c r="F877" s="17"/>
      <c r="G877" s="17"/>
      <c r="H877" s="17"/>
    </row>
    <row r="878">
      <c r="A878" s="17" t="str">
        <f>IFERROR(__xludf.DUMMYFUNCTION("""COMPUTED_VALUE"""),"Lupin Ltd")</f>
        <v>Lupin Ltd</v>
      </c>
      <c r="B878" s="17" t="str">
        <f>IFERROR(__xludf.DUMMYFUNCTION("""COMPUTED_VALUE"""),"Vinita Gupta")</f>
        <v>Vinita Gupta</v>
      </c>
      <c r="C878" s="17" t="str">
        <f>IFERROR(__xludf.DUMMYFUNCTION("""COMPUTED_VALUE"""),"CEO")</f>
        <v>CEO</v>
      </c>
      <c r="D878" s="27" t="str">
        <f>IFERROR(__xludf.DUMMYFUNCTION("""COMPUTED_VALUE"""),"https://www.linkedin.com/in/vinita-gupta-547409239/")</f>
        <v>https://www.linkedin.com/in/vinita-gupta-547409239/</v>
      </c>
      <c r="E878" s="17"/>
      <c r="F878" s="17" t="str">
        <f>IFERROR(__xludf.DUMMYFUNCTION("""COMPUTED_VALUE"""),"vgupta@lupin.com")</f>
        <v>vgupta@lupin.com</v>
      </c>
      <c r="G878" s="17"/>
      <c r="H878" s="17"/>
    </row>
    <row r="879">
      <c r="A879" s="17" t="str">
        <f>IFERROR(__xludf.DUMMYFUNCTION("""COMPUTED_VALUE"""),"NTPC ")</f>
        <v>NTPC </v>
      </c>
      <c r="B879" s="17" t="str">
        <f>IFERROR(__xludf.DUMMYFUNCTION("""COMPUTED_VALUE"""),"Jaiveer Singh")</f>
        <v>Jaiveer Singh</v>
      </c>
      <c r="C879" s="17" t="str">
        <f>IFERROR(__xludf.DUMMYFUNCTION("""COMPUTED_VALUE"""),"Chief Executive Officer")</f>
        <v>Chief Executive Officer</v>
      </c>
      <c r="D879" s="17"/>
      <c r="E879" s="17"/>
      <c r="F879" s="17"/>
      <c r="G879" s="17"/>
      <c r="H879" s="17"/>
    </row>
    <row r="880">
      <c r="A880" s="17" t="str">
        <f>IFERROR(__xludf.DUMMYFUNCTION("""COMPUTED_VALUE"""),"NTPC Vidyut Vyapar Nigam Ltd")</f>
        <v>NTPC Vidyut Vyapar Nigam Ltd</v>
      </c>
      <c r="B880" s="17" t="str">
        <f>IFERROR(__xludf.DUMMYFUNCTION("""COMPUTED_VALUE"""),"Sudip Kumar Mukherjee")</f>
        <v>Sudip Kumar Mukherjee</v>
      </c>
      <c r="C880" s="17" t="str">
        <f>IFERROR(__xludf.DUMMYFUNCTION("""COMPUTED_VALUE"""),"CFO")</f>
        <v>CFO</v>
      </c>
      <c r="D880" s="17"/>
      <c r="E880" s="17"/>
      <c r="F880" s="17"/>
      <c r="G880" s="17"/>
      <c r="H880" s="17"/>
    </row>
    <row r="881">
      <c r="A881" s="17" t="str">
        <f>IFERROR(__xludf.DUMMYFUNCTION("""COMPUTED_VALUE"""),"Steel &amp; Industrial Corp Ltd (SAIL)")</f>
        <v>Steel &amp; Industrial Corp Ltd (SAIL)</v>
      </c>
      <c r="B881" s="17" t="str">
        <f>IFERROR(__xludf.DUMMYFUNCTION("""COMPUTED_VALUE"""),"Amarendu Prakash")</f>
        <v>Amarendu Prakash</v>
      </c>
      <c r="C881" s="17" t="str">
        <f>IFERROR(__xludf.DUMMYFUNCTION("""COMPUTED_VALUE"""),"Chairman &amp; Managing Director")</f>
        <v>Chairman &amp; Managing Director</v>
      </c>
      <c r="D881" s="27" t="str">
        <f>IFERROR(__xludf.DUMMYFUNCTION("""COMPUTED_VALUE"""),"https://www.linkedin.com/in/amarendu-prakash-470a0/")</f>
        <v>https://www.linkedin.com/in/amarendu-prakash-470a0/</v>
      </c>
      <c r="E881" s="17"/>
      <c r="F881" s="17" t="str">
        <f>IFERROR(__xludf.DUMMYFUNCTION("""COMPUTED_VALUE"""),"amarendu@gmail.com")</f>
        <v>amarendu@gmail.com</v>
      </c>
      <c r="G881" s="17"/>
      <c r="H881" s="17"/>
    </row>
    <row r="882">
      <c r="A882" s="17" t="str">
        <f>IFERROR(__xludf.DUMMYFUNCTION("""COMPUTED_VALUE"""),"Steel &amp; Industrial Corp Ltd (SAIL)")</f>
        <v>Steel &amp; Industrial Corp Ltd (SAIL)</v>
      </c>
      <c r="B882" s="17" t="str">
        <f>IFERROR(__xludf.DUMMYFUNCTION("""COMPUTED_VALUE"""),"Arvind Kumar Singh")</f>
        <v>Arvind Kumar Singh</v>
      </c>
      <c r="C882" s="17" t="str">
        <f>IFERROR(__xludf.DUMMYFUNCTION("""COMPUTED_VALUE"""),"Director (Technical)")</f>
        <v>Director (Technical)</v>
      </c>
      <c r="D882" s="17"/>
      <c r="E882" s="17"/>
      <c r="F882" s="17"/>
      <c r="G882" s="17"/>
      <c r="H882" s="17"/>
    </row>
    <row r="883">
      <c r="A883" s="17" t="str">
        <f>IFERROR(__xludf.DUMMYFUNCTION("""COMPUTED_VALUE"""),"Punjab National Bank")</f>
        <v>Punjab National Bank</v>
      </c>
      <c r="B883" s="17" t="str">
        <f>IFERROR(__xludf.DUMMYFUNCTION("""COMPUTED_VALUE"""),"Ashok Chandra")</f>
        <v>Ashok Chandra</v>
      </c>
      <c r="C883" s="17" t="str">
        <f>IFERROR(__xludf.DUMMYFUNCTION("""COMPUTED_VALUE"""),"Managing Director &amp; CEO")</f>
        <v>Managing Director &amp; CEO</v>
      </c>
      <c r="D883" s="27" t="str">
        <f>IFERROR(__xludf.DUMMYFUNCTION("""COMPUTED_VALUE"""),"https://www.linkedin.com/in/ashok-chandra-5261955b/")</f>
        <v>https://www.linkedin.com/in/ashok-chandra-5261955b/</v>
      </c>
      <c r="E883" s="17"/>
      <c r="F883" s="17" t="str">
        <f>IFERROR(__xludf.DUMMYFUNCTION("""COMPUTED_VALUE"""),"chandra@canarabank.com")</f>
        <v>chandra@canarabank.com</v>
      </c>
      <c r="G883" s="17"/>
      <c r="H883" s="17"/>
    </row>
    <row r="884">
      <c r="A884" s="17" t="str">
        <f>IFERROR(__xludf.DUMMYFUNCTION("""COMPUTED_VALUE"""),"Punjab National Bank")</f>
        <v>Punjab National Bank</v>
      </c>
      <c r="B884" s="17" t="str">
        <f>IFERROR(__xludf.DUMMYFUNCTION("""COMPUTED_VALUE"""),"Kalyan Kumar")</f>
        <v>Kalyan Kumar</v>
      </c>
      <c r="C884" s="17" t="str">
        <f>IFERROR(__xludf.DUMMYFUNCTION("""COMPUTED_VALUE"""),"Executive Director")</f>
        <v>Executive Director</v>
      </c>
      <c r="D884" s="17"/>
      <c r="E884" s="17"/>
      <c r="F884" s="17"/>
      <c r="G884" s="17"/>
      <c r="H884" s="17"/>
    </row>
    <row r="885">
      <c r="A885" s="17" t="str">
        <f>IFERROR(__xludf.DUMMYFUNCTION("""COMPUTED_VALUE"""),"Union Bank of India")</f>
        <v>Union Bank of India</v>
      </c>
      <c r="B885" s="17" t="str">
        <f>IFERROR(__xludf.DUMMYFUNCTION("""COMPUTED_VALUE"""),"A. Manimekhalai")</f>
        <v>A. Manimekhalai</v>
      </c>
      <c r="C885" s="17" t="str">
        <f>IFERROR(__xludf.DUMMYFUNCTION("""COMPUTED_VALUE"""),"Managing Director &amp; CEO")</f>
        <v>Managing Director &amp; CEO</v>
      </c>
      <c r="D885" s="17"/>
      <c r="E885" s="17"/>
      <c r="F885" s="17"/>
      <c r="G885" s="17"/>
      <c r="H885" s="17"/>
    </row>
    <row r="886">
      <c r="A886" s="17" t="str">
        <f>IFERROR(__xludf.DUMMYFUNCTION("""COMPUTED_VALUE"""),"Union Bank of India")</f>
        <v>Union Bank of India</v>
      </c>
      <c r="B886" s="17" t="str">
        <f>IFERROR(__xludf.DUMMYFUNCTION("""COMPUTED_VALUE"""),"Nitesh Ranjan")</f>
        <v>Nitesh Ranjan</v>
      </c>
      <c r="C886" s="17" t="str">
        <f>IFERROR(__xludf.DUMMYFUNCTION("""COMPUTED_VALUE"""),"Executive Director")</f>
        <v>Executive Director</v>
      </c>
      <c r="D886" s="17"/>
      <c r="E886" s="17"/>
      <c r="F886" s="17"/>
      <c r="G886" s="17"/>
      <c r="H886" s="17"/>
    </row>
    <row r="887">
      <c r="A887" s="17" t="str">
        <f>IFERROR(__xludf.DUMMYFUNCTION("""COMPUTED_VALUE"""),"Bank of India")</f>
        <v>Bank of India</v>
      </c>
      <c r="B887" s="17" t="str">
        <f>IFERROR(__xludf.DUMMYFUNCTION("""COMPUTED_VALUE"""),"Rajneesh Karnatak")</f>
        <v>Rajneesh Karnatak</v>
      </c>
      <c r="C887" s="17" t="str">
        <f>IFERROR(__xludf.DUMMYFUNCTION("""COMPUTED_VALUE"""),"MD &amp; CEO")</f>
        <v>MD &amp; CEO</v>
      </c>
      <c r="D887" s="27" t="str">
        <f>IFERROR(__xludf.DUMMYFUNCTION("""COMPUTED_VALUE"""),"https://www.linkedin.com/in/rajneeshkarnatak/")</f>
        <v>https://www.linkedin.com/in/rajneeshkarnatak/</v>
      </c>
      <c r="E887" s="17"/>
      <c r="F887" s="17" t="str">
        <f>IFERROR(__xludf.DUMMYFUNCTION("""COMPUTED_VALUE"""),"rajneeshkarnatak@rediffmail.com")</f>
        <v>rajneeshkarnatak@rediffmail.com</v>
      </c>
      <c r="G887" s="17"/>
      <c r="H887" s="17"/>
    </row>
    <row r="888">
      <c r="A888" s="17" t="str">
        <f>IFERROR(__xludf.DUMMYFUNCTION("""COMPUTED_VALUE"""),"Bank of India")</f>
        <v>Bank of India</v>
      </c>
      <c r="B888" s="17" t="str">
        <f>IFERROR(__xludf.DUMMYFUNCTION("""COMPUTED_VALUE"""),"P R Rajagopal")</f>
        <v>P R Rajagopal</v>
      </c>
      <c r="C888" s="17" t="str">
        <f>IFERROR(__xludf.DUMMYFUNCTION("""COMPUTED_VALUE"""),"Executive Director")</f>
        <v>Executive Director</v>
      </c>
      <c r="D888" s="27" t="str">
        <f>IFERROR(__xludf.DUMMYFUNCTION("""COMPUTED_VALUE"""),"https://www.linkedin.com/in/p-r-rajagopal-5981223a/")</f>
        <v>https://www.linkedin.com/in/p-r-rajagopal-5981223a/</v>
      </c>
      <c r="E888" s="17"/>
      <c r="F888" s="17" t="str">
        <f>IFERROR(__xludf.DUMMYFUNCTION("""COMPUTED_VALUE"""),"rajagopal14feb@hotmail.com")</f>
        <v>rajagopal14feb@hotmail.com</v>
      </c>
      <c r="G888" s="17"/>
      <c r="H888" s="17"/>
    </row>
    <row r="889">
      <c r="A889" s="17" t="str">
        <f>IFERROR(__xludf.DUMMYFUNCTION("""COMPUTED_VALUE"""),"Indian Bank")</f>
        <v>Indian Bank</v>
      </c>
      <c r="B889" s="17" t="str">
        <f>IFERROR(__xludf.DUMMYFUNCTION("""COMPUTED_VALUE"""),"Shanti Lal Jain")</f>
        <v>Shanti Lal Jain</v>
      </c>
      <c r="C889" s="17" t="str">
        <f>IFERROR(__xludf.DUMMYFUNCTION("""COMPUTED_VALUE"""),"Managing Director &amp; CEO")</f>
        <v>Managing Director &amp; CEO</v>
      </c>
      <c r="D889" s="17"/>
      <c r="E889" s="17"/>
      <c r="F889" s="17"/>
      <c r="G889" s="17"/>
      <c r="H889" s="17"/>
    </row>
    <row r="890">
      <c r="A890" s="17" t="str">
        <f>IFERROR(__xludf.DUMMYFUNCTION("""COMPUTED_VALUE"""),"Indian Bank")</f>
        <v>Indian Bank</v>
      </c>
      <c r="B890" s="17" t="str">
        <f>IFERROR(__xludf.DUMMYFUNCTION("""COMPUTED_VALUE"""),"SHIV SINGH")</f>
        <v>SHIV SINGH</v>
      </c>
      <c r="C890" s="17" t="str">
        <f>IFERROR(__xludf.DUMMYFUNCTION("""COMPUTED_VALUE"""),"Executive Director")</f>
        <v>Executive Director</v>
      </c>
      <c r="D890" s="27" t="str">
        <f>IFERROR(__xludf.DUMMYFUNCTION("""COMPUTED_VALUE"""),"https://www.linkedin.com/in/shivbsingh/")</f>
        <v>https://www.linkedin.com/in/shivbsingh/</v>
      </c>
      <c r="E890" s="17"/>
      <c r="F890" s="17" t="str">
        <f>IFERROR(__xludf.DUMMYFUNCTION("""COMPUTED_VALUE"""),"shiv@indianbank.bank.in")</f>
        <v>shiv@indianbank.bank.in</v>
      </c>
      <c r="G890" s="17"/>
      <c r="H890" s="17"/>
    </row>
    <row r="891">
      <c r="A891" s="17" t="str">
        <f>IFERROR(__xludf.DUMMYFUNCTION("""COMPUTED_VALUE"""),"Indiabulls Group")</f>
        <v>Indiabulls Group</v>
      </c>
      <c r="B891" s="17" t="str">
        <f>IFERROR(__xludf.DUMMYFUNCTION("""COMPUTED_VALUE"""),"Sameer Gehlaut")</f>
        <v>Sameer Gehlaut</v>
      </c>
      <c r="C891" s="17" t="str">
        <f>IFERROR(__xludf.DUMMYFUNCTION("""COMPUTED_VALUE"""),"Founder &amp; Chairman")</f>
        <v>Founder &amp; Chairman</v>
      </c>
      <c r="D891" s="17"/>
      <c r="E891" s="17"/>
      <c r="F891" s="17"/>
      <c r="G891" s="17"/>
      <c r="H891" s="17"/>
    </row>
    <row r="892">
      <c r="A892" s="17" t="str">
        <f>IFERROR(__xludf.DUMMYFUNCTION("""COMPUTED_VALUE"""),"Indiabulls Group")</f>
        <v>Indiabulls Group</v>
      </c>
      <c r="B892" s="17" t="str">
        <f>IFERROR(__xludf.DUMMYFUNCTION("""COMPUTED_VALUE"""),"Divyesh Shah")</f>
        <v>Divyesh Shah</v>
      </c>
      <c r="C892" s="17" t="str">
        <f>IFERROR(__xludf.DUMMYFUNCTION("""COMPUTED_VALUE"""),"CEO")</f>
        <v>CEO</v>
      </c>
      <c r="D892" s="17"/>
      <c r="E892" s="17"/>
      <c r="F892" s="17" t="str">
        <f>IFERROR(__xludf.DUMMYFUNCTION("""COMPUTED_VALUE"""),"dshah@indiabulls.com")</f>
        <v>dshah@indiabulls.com</v>
      </c>
      <c r="G892" s="17"/>
      <c r="H892" s="17"/>
    </row>
    <row r="893">
      <c r="A893" s="17" t="str">
        <f>IFERROR(__xludf.DUMMYFUNCTION("""COMPUTED_VALUE"""),"Dalmia Bharat Ltd")</f>
        <v>Dalmia Bharat Ltd</v>
      </c>
      <c r="B893" s="17" t="str">
        <f>IFERROR(__xludf.DUMMYFUNCTION("""COMPUTED_VALUE"""),"Sanjay Dalmia")</f>
        <v>Sanjay Dalmia</v>
      </c>
      <c r="C893" s="17" t="str">
        <f>IFERROR(__xludf.DUMMYFUNCTION("""COMPUTED_VALUE"""),"Chairman")</f>
        <v>Chairman</v>
      </c>
      <c r="D893" s="17"/>
      <c r="E893" s="17"/>
      <c r="F893" s="17"/>
      <c r="G893" s="17"/>
      <c r="H893" s="17"/>
    </row>
    <row r="894">
      <c r="A894" s="17" t="str">
        <f>IFERROR(__xludf.DUMMYFUNCTION("""COMPUTED_VALUE"""),"Dalmia Bharat Ltd")</f>
        <v>Dalmia Bharat Ltd</v>
      </c>
      <c r="B894" s="17" t="str">
        <f>IFERROR(__xludf.DUMMYFUNCTION("""COMPUTED_VALUE"""),"Puneet Dalmia")</f>
        <v>Puneet Dalmia</v>
      </c>
      <c r="C894" s="17" t="str">
        <f>IFERROR(__xludf.DUMMYFUNCTION("""COMPUTED_VALUE"""),"Managing Director")</f>
        <v>Managing Director</v>
      </c>
      <c r="D894" s="17"/>
      <c r="E894" s="17"/>
      <c r="F894" s="17" t="str">
        <f>IFERROR(__xludf.DUMMYFUNCTION("""COMPUTED_VALUE"""),"dalmia.puneet@dalmiabharat.com")</f>
        <v>dalmia.puneet@dalmiabharat.com</v>
      </c>
      <c r="G894" s="17"/>
      <c r="H894" s="17"/>
    </row>
    <row r="895">
      <c r="A895" s="17" t="str">
        <f>IFERROR(__xludf.DUMMYFUNCTION("""COMPUTED_VALUE"""),"SRF Ltd")</f>
        <v>SRF Ltd</v>
      </c>
      <c r="B895" s="17" t="str">
        <f>IFERROR(__xludf.DUMMYFUNCTION("""COMPUTED_VALUE"""),"Ashish Bharat Ram")</f>
        <v>Ashish Bharat Ram</v>
      </c>
      <c r="C895" s="17" t="str">
        <f>IFERROR(__xludf.DUMMYFUNCTION("""COMPUTED_VALUE"""),"Chairman &amp; Managing Director")</f>
        <v>Chairman &amp; Managing Director</v>
      </c>
      <c r="D895" s="17"/>
      <c r="E895" s="17"/>
      <c r="F895" s="17"/>
      <c r="G895" s="17"/>
      <c r="H895" s="17"/>
    </row>
    <row r="896">
      <c r="A896" s="17" t="str">
        <f>IFERROR(__xludf.DUMMYFUNCTION("""COMPUTED_VALUE"""),"SRF Ltd")</f>
        <v>SRF Ltd</v>
      </c>
      <c r="B896" s="17" t="str">
        <f>IFERROR(__xludf.DUMMYFUNCTION("""COMPUTED_VALUE"""),"Arun Bharat Ram")</f>
        <v>Arun Bharat Ram</v>
      </c>
      <c r="C896" s="17" t="str">
        <f>IFERROR(__xludf.DUMMYFUNCTION("""COMPUTED_VALUE"""),"Non-Executive Chairman")</f>
        <v>Non-Executive Chairman</v>
      </c>
      <c r="D896" s="17"/>
      <c r="E896" s="17"/>
      <c r="F896" s="17"/>
      <c r="G896" s="17"/>
      <c r="H896" s="17"/>
    </row>
    <row r="897">
      <c r="A897" s="17" t="str">
        <f>IFERROR(__xludf.DUMMYFUNCTION("""COMPUTED_VALUE"""),"Zee Entertainment Enterprises Ltd")</f>
        <v>Zee Entertainment Enterprises Ltd</v>
      </c>
      <c r="B897" s="17" t="str">
        <f>IFERROR(__xludf.DUMMYFUNCTION("""COMPUTED_VALUE"""),"Punit Goenka")</f>
        <v>Punit Goenka</v>
      </c>
      <c r="C897" s="17" t="str">
        <f>IFERROR(__xludf.DUMMYFUNCTION("""COMPUTED_VALUE"""),"MD &amp; CEO")</f>
        <v>MD &amp; CEO</v>
      </c>
      <c r="D897" s="17"/>
      <c r="E897" s="17"/>
      <c r="F897" s="17"/>
      <c r="G897" s="17"/>
      <c r="H897" s="17"/>
    </row>
    <row r="898">
      <c r="A898" s="17" t="str">
        <f>IFERROR(__xludf.DUMMYFUNCTION("""COMPUTED_VALUE"""),"Zee Entertainment Enterprises Ltd")</f>
        <v>Zee Entertainment Enterprises Ltd</v>
      </c>
      <c r="B898" s="17" t="str">
        <f>IFERROR(__xludf.DUMMYFUNCTION("""COMPUTED_VALUE"""),"R. Gopalan")</f>
        <v>R. Gopalan</v>
      </c>
      <c r="C898" s="17" t="str">
        <f>IFERROR(__xludf.DUMMYFUNCTION("""COMPUTED_VALUE"""),"Non-Executive Chairman")</f>
        <v>Non-Executive Chairman</v>
      </c>
      <c r="D898" s="17"/>
      <c r="E898" s="17"/>
      <c r="F898" s="17"/>
      <c r="G898" s="17"/>
      <c r="H898" s="17"/>
    </row>
    <row r="899">
      <c r="A899" s="17" t="str">
        <f>IFERROR(__xludf.DUMMYFUNCTION("""COMPUTED_VALUE"""),"Sun Pharmaceutical Industries Ltd")</f>
        <v>Sun Pharmaceutical Industries Ltd</v>
      </c>
      <c r="B899" s="17" t="str">
        <f>IFERROR(__xludf.DUMMYFUNCTION("""COMPUTED_VALUE"""),"Dilip Shanghvi")</f>
        <v>Dilip Shanghvi</v>
      </c>
      <c r="C899" s="17" t="str">
        <f>IFERROR(__xludf.DUMMYFUNCTION("""COMPUTED_VALUE"""),"Managing Director")</f>
        <v>Managing Director</v>
      </c>
      <c r="D899" s="17"/>
      <c r="E899" s="17"/>
      <c r="F899" s="17"/>
      <c r="G899" s="17"/>
      <c r="H899" s="17"/>
    </row>
    <row r="900">
      <c r="A900" s="17" t="str">
        <f>IFERROR(__xludf.DUMMYFUNCTION("""COMPUTED_VALUE"""),"Sun Pharmaceutical Industries Ltd")</f>
        <v>Sun Pharmaceutical Industries Ltd</v>
      </c>
      <c r="B900" s="17" t="str">
        <f>IFERROR(__xludf.DUMMYFUNCTION("""COMPUTED_VALUE"""),"Israel Makov")</f>
        <v>Israel Makov</v>
      </c>
      <c r="C900" s="17" t="str">
        <f>IFERROR(__xludf.DUMMYFUNCTION("""COMPUTED_VALUE"""),"Chairman")</f>
        <v>Chairman</v>
      </c>
      <c r="D900" s="17"/>
      <c r="E900" s="17"/>
      <c r="F900" s="17"/>
      <c r="G900" s="17"/>
      <c r="H900" s="17"/>
    </row>
    <row r="901">
      <c r="A901" s="17" t="str">
        <f>IFERROR(__xludf.DUMMYFUNCTION("""COMPUTED_VALUE"""),"Biocon Ltd")</f>
        <v>Biocon Ltd</v>
      </c>
      <c r="B901" s="17" t="str">
        <f>IFERROR(__xludf.DUMMYFUNCTION("""COMPUTED_VALUE"""),"Kiran Mazumdar-Shaw")</f>
        <v>Kiran Mazumdar-Shaw</v>
      </c>
      <c r="C901" s="17" t="str">
        <f>IFERROR(__xludf.DUMMYFUNCTION("""COMPUTED_VALUE"""),"Executive Chairperson")</f>
        <v>Executive Chairperson</v>
      </c>
      <c r="D901" s="17"/>
      <c r="E901" s="17"/>
      <c r="F901" s="17" t="str">
        <f>IFERROR(__xludf.DUMMYFUNCTION("""COMPUTED_VALUE"""),"kiran.mazumdar@biocon.com")</f>
        <v>kiran.mazumdar@biocon.com</v>
      </c>
      <c r="G901" s="17"/>
      <c r="H901" s="17"/>
    </row>
    <row r="902">
      <c r="A902" s="17" t="str">
        <f>IFERROR(__xludf.DUMMYFUNCTION("""COMPUTED_VALUE"""),"Biocon Ltd")</f>
        <v>Biocon Ltd</v>
      </c>
      <c r="B902" s="17" t="str">
        <f>IFERROR(__xludf.DUMMYFUNCTION("""COMPUTED_VALUE"""),"Siddharth Mittal")</f>
        <v>Siddharth Mittal</v>
      </c>
      <c r="C902" s="17" t="str">
        <f>IFERROR(__xludf.DUMMYFUNCTION("""COMPUTED_VALUE"""),"CEO &amp; Joint Managing Director")</f>
        <v>CEO &amp; Joint Managing Director</v>
      </c>
      <c r="D902" s="17"/>
      <c r="E902" s="17"/>
      <c r="F902" s="17" t="str">
        <f>IFERROR(__xludf.DUMMYFUNCTION("""COMPUTED_VALUE"""),"siddharth.mittal@biocon.com")</f>
        <v>siddharth.mittal@biocon.com</v>
      </c>
      <c r="G902" s="17"/>
      <c r="H902" s="17"/>
    </row>
    <row r="903">
      <c r="A903" s="17" t="str">
        <f>IFERROR(__xludf.DUMMYFUNCTION("""COMPUTED_VALUE"""),"Torrent Pharmaceuticals Ltd")</f>
        <v>Torrent Pharmaceuticals Ltd</v>
      </c>
      <c r="B903" s="17" t="str">
        <f>IFERROR(__xludf.DUMMYFUNCTION("""COMPUTED_VALUE"""),"Samir Mehta")</f>
        <v>Samir Mehta</v>
      </c>
      <c r="C903" s="17" t="str">
        <f>IFERROR(__xludf.DUMMYFUNCTION("""COMPUTED_VALUE"""),"Chairman")</f>
        <v>Chairman</v>
      </c>
      <c r="D903" s="17"/>
      <c r="E903" s="17"/>
      <c r="F903" s="17"/>
      <c r="G903" s="17"/>
      <c r="H903" s="17"/>
    </row>
    <row r="904">
      <c r="A904" s="17" t="str">
        <f>IFERROR(__xludf.DUMMYFUNCTION("""COMPUTED_VALUE"""),"Torrent Pharmaceuticals Ltd")</f>
        <v>Torrent Pharmaceuticals Ltd</v>
      </c>
      <c r="B904" s="17" t="str">
        <f>IFERROR(__xludf.DUMMYFUNCTION("""COMPUTED_VALUE"""),"Aman Mehta")</f>
        <v>Aman Mehta</v>
      </c>
      <c r="C904" s="17" t="str">
        <f>IFERROR(__xludf.DUMMYFUNCTION("""COMPUTED_VALUE"""),"Managing Director")</f>
        <v>Managing Director</v>
      </c>
      <c r="D904" s="17"/>
      <c r="E904" s="17"/>
      <c r="F904" s="17" t="str">
        <f>IFERROR(__xludf.DUMMYFUNCTION("""COMPUTED_VALUE"""),"amanmehta@torrentpharma.com")</f>
        <v>amanmehta@torrentpharma.com</v>
      </c>
      <c r="G904" s="17"/>
      <c r="H904" s="17"/>
    </row>
    <row r="905">
      <c r="A905" s="17" t="str">
        <f>IFERROR(__xludf.DUMMYFUNCTION("""COMPUTED_VALUE"""),"Adani Ports &amp; SEZ Ltd")</f>
        <v>Adani Ports &amp; SEZ Ltd</v>
      </c>
      <c r="B905" s="17" t="str">
        <f>IFERROR(__xludf.DUMMYFUNCTION("""COMPUTED_VALUE"""),"Karan Adani")</f>
        <v>Karan Adani</v>
      </c>
      <c r="C905" s="17" t="str">
        <f>IFERROR(__xludf.DUMMYFUNCTION("""COMPUTED_VALUE"""),"CEO &amp; Whole-time Director")</f>
        <v>CEO &amp; Whole-time Director</v>
      </c>
      <c r="D905" s="17"/>
      <c r="E905" s="17"/>
      <c r="F905" s="17" t="str">
        <f>IFERROR(__xludf.DUMMYFUNCTION("""COMPUTED_VALUE"""),"karan.adani@adaniairports.com")</f>
        <v>karan.adani@adaniairports.com</v>
      </c>
      <c r="G905" s="17"/>
      <c r="H905" s="17"/>
    </row>
    <row r="906">
      <c r="A906" s="17" t="str">
        <f>IFERROR(__xludf.DUMMYFUNCTION("""COMPUTED_VALUE"""),"ONGC Videsh Ltd (Subsidary of ONGC)")</f>
        <v>ONGC Videsh Ltd (Subsidary of ONGC)</v>
      </c>
      <c r="B906" s="17" t="str">
        <f>IFERROR(__xludf.DUMMYFUNCTION("""COMPUTED_VALUE"""),"Arun Kumar Singh")</f>
        <v>Arun Kumar Singh</v>
      </c>
      <c r="C906" s="17" t="str">
        <f>IFERROR(__xludf.DUMMYFUNCTION("""COMPUTED_VALUE"""),"Chairman of the Board and CEO (ONGC)")</f>
        <v>Chairman of the Board and CEO (ONGC)</v>
      </c>
      <c r="D906" s="17"/>
      <c r="E906" s="17"/>
      <c r="F906" s="17"/>
      <c r="G906" s="17"/>
      <c r="H906" s="17"/>
    </row>
    <row r="907">
      <c r="A907" s="17" t="str">
        <f>IFERROR(__xludf.DUMMYFUNCTION("""COMPUTED_VALUE"""),"Gaming companies ")</f>
        <v>Gaming companies </v>
      </c>
      <c r="B907" s="17"/>
      <c r="C907" s="17"/>
      <c r="D907" s="17"/>
      <c r="E907" s="17"/>
      <c r="F907" s="17"/>
      <c r="G907" s="17"/>
      <c r="H907" s="17"/>
    </row>
    <row r="908">
      <c r="A908" s="17" t="str">
        <f>IFERROR(__xludf.DUMMYFUNCTION("""COMPUTED_VALUE"""),"Nazara Technologies")</f>
        <v>Nazara Technologies</v>
      </c>
      <c r="B908" s="17" t="str">
        <f>IFERROR(__xludf.DUMMYFUNCTION("""COMPUTED_VALUE"""),"Sudhir Kamath")</f>
        <v>Sudhir Kamath</v>
      </c>
      <c r="C908" s="17"/>
      <c r="D908" s="27" t="str">
        <f>IFERROR(__xludf.DUMMYFUNCTION("""COMPUTED_VALUE"""),"https://www.linkedin.com/in/kamathsudhir/")</f>
        <v>https://www.linkedin.com/in/kamathsudhir/</v>
      </c>
      <c r="E908" s="17"/>
      <c r="F908" s="17" t="str">
        <f>IFERROR(__xludf.DUMMYFUNCTION("""COMPUTED_VALUE"""),"sudhir@nazara.com")</f>
        <v>sudhir@nazara.com</v>
      </c>
      <c r="G908" s="17" t="str">
        <f>IFERROR(__xludf.DUMMYFUNCTION("""COMPUTED_VALUE"""),"sk@9stacks.com")</f>
        <v>sk@9stacks.com</v>
      </c>
      <c r="H908" s="17" t="str">
        <f>IFERROR(__xludf.DUMMYFUNCTION("""COMPUTED_VALUE"""),"sudhir.kamath@gmail.com")</f>
        <v>sudhir.kamath@gmail.com</v>
      </c>
    </row>
    <row r="909">
      <c r="A909" s="17" t="str">
        <f>IFERROR(__xludf.DUMMYFUNCTION("""COMPUTED_VALUE"""),"Dream11 (Dream Sports)")</f>
        <v>Dream11 (Dream Sports)</v>
      </c>
      <c r="B909" s="17" t="str">
        <f>IFERROR(__xludf.DUMMYFUNCTION("""COMPUTED_VALUE"""),"Vikrant Mudaliar")</f>
        <v>Vikrant Mudaliar</v>
      </c>
      <c r="C909" s="17" t="str">
        <f>IFERROR(__xludf.DUMMYFUNCTION("""COMPUTED_VALUE"""),"Chief Marketing Officer @ Dream Sports | Driving Growth,Revenue &amp; Marketing Strategy.")</f>
        <v>Chief Marketing Officer @ Dream Sports | Driving Growth,Revenue &amp; Marketing Strategy.</v>
      </c>
      <c r="D909" s="27" t="str">
        <f>IFERROR(__xludf.DUMMYFUNCTION("""COMPUTED_VALUE"""),"https://www.linkedin.com/in/vikrantmudaliar/")</f>
        <v>https://www.linkedin.com/in/vikrantmudaliar/</v>
      </c>
      <c r="E909" s="17"/>
      <c r="F909" s="17" t="str">
        <f>IFERROR(__xludf.DUMMYFUNCTION("""COMPUTED_VALUE"""),"vikrant.mudaliar@gmail.com")</f>
        <v>vikrant.mudaliar@gmail.com</v>
      </c>
      <c r="G909" s="17" t="str">
        <f>IFERROR(__xludf.DUMMYFUNCTION("""COMPUTED_VALUE"""),"vikrant@dreamsports.group")</f>
        <v>vikrant@dreamsports.group</v>
      </c>
      <c r="H909" s="17"/>
    </row>
    <row r="910">
      <c r="A910" s="17" t="str">
        <f>IFERROR(__xludf.DUMMYFUNCTION("""COMPUTED_VALUE"""),"Mobile Premier League (MPL)")</f>
        <v>Mobile Premier League (MPL)</v>
      </c>
      <c r="B910" s="17" t="str">
        <f>IFERROR(__xludf.DUMMYFUNCTION("""COMPUTED_VALUE"""),"Manish Shrivastava")</f>
        <v>Manish Shrivastava</v>
      </c>
      <c r="C910" s="17"/>
      <c r="D910" s="27" t="str">
        <f>IFERROR(__xludf.DUMMYFUNCTION("""COMPUTED_VALUE"""),"https://www.linkedin.com/in/internetecommerce/")</f>
        <v>https://www.linkedin.com/in/internetecommerce/</v>
      </c>
      <c r="E910" s="17"/>
      <c r="F910" s="17" t="str">
        <f>IFERROR(__xludf.DUMMYFUNCTION("""COMPUTED_VALUE"""),"manmancino@gmail.com")</f>
        <v>manmancino@gmail.com</v>
      </c>
      <c r="G910" s="17"/>
      <c r="H910" s="17"/>
    </row>
    <row r="911">
      <c r="A911" s="17" t="str">
        <f>IFERROR(__xludf.DUMMYFUNCTION("""COMPUTED_VALUE"""),"Games24x7")</f>
        <v>Games24x7</v>
      </c>
      <c r="B911" s="17" t="str">
        <f>IFERROR(__xludf.DUMMYFUNCTION("""COMPUTED_VALUE"""),"Bhavin Pandya")</f>
        <v>Bhavin Pandya</v>
      </c>
      <c r="C911" s="17" t="str">
        <f>IFERROR(__xludf.DUMMYFUNCTION("""COMPUTED_VALUE"""),"Co-Founder and CEO - Games24x7")</f>
        <v>Co-Founder and CEO - Games24x7</v>
      </c>
      <c r="D911" s="27" t="str">
        <f>IFERROR(__xludf.DUMMYFUNCTION("""COMPUTED_VALUE"""),"https://www.linkedin.com/in/bkpandya/")</f>
        <v>https://www.linkedin.com/in/bkpandya/</v>
      </c>
      <c r="E911" s="17"/>
      <c r="F911" s="17" t="str">
        <f>IFERROR(__xludf.DUMMYFUNCTION("""COMPUTED_VALUE"""),"bhavin.pandya@games24x7.com")</f>
        <v>bhavin.pandya@games24x7.com</v>
      </c>
      <c r="G911" s="17" t="str">
        <f>IFERROR(__xludf.DUMMYFUNCTION("""COMPUTED_VALUE"""),"consultvin@gmail.com")</f>
        <v>consultvin@gmail.com</v>
      </c>
      <c r="H911" s="17"/>
    </row>
    <row r="912">
      <c r="A912" s="17" t="str">
        <f>IFERROR(__xludf.DUMMYFUNCTION("""COMPUTED_VALUE"""),"nCore Games")</f>
        <v>nCore Games</v>
      </c>
      <c r="B912" s="17" t="str">
        <f>IFERROR(__xludf.DUMMYFUNCTION("""COMPUTED_VALUE"""),"Ganesh Hande")</f>
        <v>Ganesh Hande</v>
      </c>
      <c r="C912" s="17"/>
      <c r="D912" s="27" t="str">
        <f>IFERROR(__xludf.DUMMYFUNCTION("""COMPUTED_VALUE"""),"https://www.linkedin.com/in/ganesh-hande-77a08821/")</f>
        <v>https://www.linkedin.com/in/ganesh-hande-77a08821/</v>
      </c>
      <c r="E912" s="17"/>
      <c r="F912" s="17" t="str">
        <f>IFERROR(__xludf.DUMMYFUNCTION("""COMPUTED_VALUE"""),"ganeshhande@gmail.com")</f>
        <v>ganeshhande@gmail.com</v>
      </c>
      <c r="G912" s="17"/>
      <c r="H912" s="17"/>
    </row>
    <row r="913">
      <c r="A913" s="17" t="str">
        <f>IFERROR(__xludf.DUMMYFUNCTION("""COMPUTED_VALUE"""),"WinZO")</f>
        <v>WinZO</v>
      </c>
      <c r="B913" s="17" t="str">
        <f>IFERROR(__xludf.DUMMYFUNCTION("""COMPUTED_VALUE"""),"Kaushik Thacker")</f>
        <v>Kaushik Thacker</v>
      </c>
      <c r="C913" s="17"/>
      <c r="D913" s="27" t="str">
        <f>IFERROR(__xludf.DUMMYFUNCTION("""COMPUTED_VALUE"""),"https://www.linkedin.com/in/kaushikthacker/")</f>
        <v>https://www.linkedin.com/in/kaushikthacker/</v>
      </c>
      <c r="E913" s="17"/>
      <c r="F913" s="17" t="str">
        <f>IFERROR(__xludf.DUMMYFUNCTION("""COMPUTED_VALUE"""),"kaushikthacker.kt@gmail.com")</f>
        <v>kaushikthacker.kt@gmail.com</v>
      </c>
      <c r="G913" s="17"/>
      <c r="H913" s="17"/>
    </row>
    <row r="914">
      <c r="A914" s="17" t="str">
        <f>IFERROR(__xludf.DUMMYFUNCTION("""COMPUTED_VALUE"""),"Bring the Donuts")</f>
        <v>Bring the Donuts</v>
      </c>
      <c r="B914" s="17" t="str">
        <f>IFERROR(__xludf.DUMMYFUNCTION("""COMPUTED_VALUE"""),"Ken Norton")</f>
        <v>Ken Norton</v>
      </c>
      <c r="C914" s="17" t="str">
        <f>IFERROR(__xludf.DUMMYFUNCTION("""COMPUTED_VALUE"""),"Executive Coach to Product Leaders")</f>
        <v>Executive Coach to Product Leaders</v>
      </c>
      <c r="D914" s="27" t="str">
        <f>IFERROR(__xludf.DUMMYFUNCTION("""COMPUTED_VALUE"""),"https://www.linkedin.com/in/kennethnorton")</f>
        <v>https://www.linkedin.com/in/kennethnorton</v>
      </c>
      <c r="E914" s="17"/>
      <c r="F914" s="17" t="str">
        <f>IFERROR(__xludf.DUMMYFUNCTION("""COMPUTED_VALUE"""),"ken@bringthedonuts.com")</f>
        <v>ken@bringthedonuts.com</v>
      </c>
      <c r="G914" s="17"/>
      <c r="H914" s="17"/>
    </row>
    <row r="915">
      <c r="A915" s="17" t="str">
        <f>IFERROR(__xludf.DUMMYFUNCTION("""COMPUTED_VALUE"""),"Netflix/Chegg")</f>
        <v>Netflix/Chegg</v>
      </c>
      <c r="B915" s="17" t="str">
        <f>IFERROR(__xludf.DUMMYFUNCTION("""COMPUTED_VALUE"""),"Gibson Biddle")</f>
        <v>Gibson Biddle</v>
      </c>
      <c r="C915" s="17" t="str">
        <f>IFERROR(__xludf.DUMMYFUNCTION("""COMPUTED_VALUE"""),"Ex-Netflix VP of Product")</f>
        <v>Ex-Netflix VP of Product</v>
      </c>
      <c r="D915" s="27" t="str">
        <f>IFERROR(__xludf.DUMMYFUNCTION("""COMPUTED_VALUE"""),"https://www.linkedin.com/in/gibsonbiddle")</f>
        <v>https://www.linkedin.com/in/gibsonbiddle</v>
      </c>
      <c r="E915" s="17"/>
      <c r="F915" s="17" t="str">
        <f>IFERROR(__xludf.DUMMYFUNCTION("""COMPUTED_VALUE"""),"gibson@gibsonbiddle.com")</f>
        <v>gibson@gibsonbiddle.com</v>
      </c>
      <c r="G915" s="17"/>
      <c r="H915" s="17"/>
    </row>
    <row r="916">
      <c r="A916" s="17" t="str">
        <f>IFERROR(__xludf.DUMMYFUNCTION("""COMPUTED_VALUE"""),"Stripe / Google / Twitter (ex)")</f>
        <v>Stripe / Google / Twitter (ex)</v>
      </c>
      <c r="B916" s="17" t="str">
        <f>IFERROR(__xludf.DUMMYFUNCTION("""COMPUTED_VALUE"""),"Shreyas Doshi")</f>
        <v>Shreyas Doshi</v>
      </c>
      <c r="C916" s="17" t="str">
        <f>IFERROR(__xludf.DUMMYFUNCTION("""COMPUTED_VALUE"""),"Product Leader, Angel Investor")</f>
        <v>Product Leader, Angel Investor</v>
      </c>
      <c r="D916" s="27" t="str">
        <f>IFERROR(__xludf.DUMMYFUNCTION("""COMPUTED_VALUE"""),"https://www.linkedin.com/in/shreyasdoshi/?utm_source=chatgpt.com")</f>
        <v>https://www.linkedin.com/in/shreyasdoshi/?utm_source=chatgpt.com</v>
      </c>
      <c r="E916" s="17"/>
      <c r="F916" s="17" t="str">
        <f>IFERROR(__xludf.DUMMYFUNCTION("""COMPUTED_VALUE"""),"shreyas@shreyasdoshi.com")</f>
        <v>shreyas@shreyasdoshi.com</v>
      </c>
      <c r="G916" s="17"/>
      <c r="H916" s="17"/>
    </row>
    <row r="917">
      <c r="A917" s="17" t="str">
        <f>IFERROR(__xludf.DUMMYFUNCTION("""COMPUTED_VALUE"""),"Berkeley Haas / Ex-PM")</f>
        <v>Berkeley Haas / Ex-PM</v>
      </c>
      <c r="B917" s="17" t="str">
        <f>IFERROR(__xludf.DUMMYFUNCTION("""COMPUTED_VALUE"""),"Ken Sandy")</f>
        <v>Ken Sandy</v>
      </c>
      <c r="C917" s="17" t="str">
        <f>IFERROR(__xludf.DUMMYFUNCTION("""COMPUTED_VALUE"""),"Product Management Lecturer &amp; Author")</f>
        <v>Product Management Lecturer &amp; Author</v>
      </c>
      <c r="D917" s="27" t="str">
        <f>IFERROR(__xludf.DUMMYFUNCTION("""COMPUTED_VALUE"""),"https://www.linkedin.com/in/kensandy/?utm_source=chatgpt.com")</f>
        <v>https://www.linkedin.com/in/kensandy/?utm_source=chatgpt.com</v>
      </c>
      <c r="E917" s="17"/>
      <c r="F917" s="17" t="str">
        <f>IFERROR(__xludf.DUMMYFUNCTION("""COMPUTED_VALUE"""),"ksandy@crosscountry-consulting.com")</f>
        <v>ksandy@crosscountry-consulting.com</v>
      </c>
      <c r="G917" s="17"/>
      <c r="H917" s="17"/>
    </row>
    <row r="918">
      <c r="A918" s="17" t="str">
        <f>IFERROR(__xludf.DUMMYFUNCTION("""COMPUTED_VALUE"""),"Zee5")</f>
        <v>Zee5</v>
      </c>
      <c r="B918" s="17" t="str">
        <f>IFERROR(__xludf.DUMMYFUNCTION("""COMPUTED_VALUE"""),"Jayesh Nema")</f>
        <v>Jayesh Nema</v>
      </c>
      <c r="C918" s="17" t="str">
        <f>IFERROR(__xludf.DUMMYFUNCTION("""COMPUTED_VALUE"""),"SVP Product Management")</f>
        <v>SVP Product Management</v>
      </c>
      <c r="D918" s="27" t="str">
        <f>IFERROR(__xludf.DUMMYFUNCTION("""COMPUTED_VALUE"""),"https://www.linkedin.com/in/jayeshnema/?originalSubdomain=in")</f>
        <v>https://www.linkedin.com/in/jayeshnema/?originalSubdomain=in</v>
      </c>
      <c r="E918" s="17"/>
      <c r="F918" s="17" t="str">
        <f>IFERROR(__xludf.DUMMYFUNCTION("""COMPUTED_VALUE"""),"jayesh.nema@zee.com")</f>
        <v>jayesh.nema@zee.com</v>
      </c>
      <c r="G918" s="17"/>
      <c r="H918" s="17"/>
    </row>
    <row r="919">
      <c r="A919" s="17" t="str">
        <f>IFERROR(__xludf.DUMMYFUNCTION("""COMPUTED_VALUE"""),"Affirm, Inc")</f>
        <v>Affirm, Inc</v>
      </c>
      <c r="B919" s="17" t="str">
        <f>IFERROR(__xludf.DUMMYFUNCTION("""COMPUTED_VALUE"""),"Max Levchin")</f>
        <v>Max Levchin</v>
      </c>
      <c r="C919" s="17" t="str">
        <f>IFERROR(__xludf.DUMMYFUNCTION("""COMPUTED_VALUE"""),"Co-Founder &amp; CEO")</f>
        <v>Co-Founder &amp; CEO</v>
      </c>
      <c r="D919" s="27" t="str">
        <f>IFERROR(__xludf.DUMMYFUNCTION("""COMPUTED_VALUE"""),"https://www.linkedin.com/in/maxlevchin")</f>
        <v>https://www.linkedin.com/in/maxlevchin</v>
      </c>
      <c r="E919" s="17"/>
      <c r="F919" s="17" t="str">
        <f>IFERROR(__xludf.DUMMYFUNCTION("""COMPUTED_VALUE"""),"max.levchin@affirm.com")</f>
        <v>max.levchin@affirm.com</v>
      </c>
      <c r="G919" s="17"/>
      <c r="H919" s="17"/>
    </row>
    <row r="920">
      <c r="A920" s="17" t="str">
        <f>IFERROR(__xludf.DUMMYFUNCTION("""COMPUTED_VALUE"""),"HealthifyMe")</f>
        <v>HealthifyMe</v>
      </c>
      <c r="B920" s="17" t="str">
        <f>IFERROR(__xludf.DUMMYFUNCTION("""COMPUTED_VALUE"""),"Abhijit Khasnis")</f>
        <v>Abhijit Khasnis</v>
      </c>
      <c r="C920" s="17" t="str">
        <f>IFERROR(__xludf.DUMMYFUNCTION("""COMPUTED_VALUE"""),"Chief Technology Officer")</f>
        <v>Chief Technology Officer</v>
      </c>
      <c r="D920" s="27" t="str">
        <f>IFERROR(__xludf.DUMMYFUNCTION("""COMPUTED_VALUE"""),"https://www.linkedin.com/in/khasnis/?originalSubdomain=in")</f>
        <v>https://www.linkedin.com/in/khasnis/?originalSubdomain=in</v>
      </c>
      <c r="E920" s="17"/>
      <c r="F920" s="17" t="str">
        <f>IFERROR(__xludf.DUMMYFUNCTION("""COMPUTED_VALUE"""),"abhijit.khasnis@healthifyme.com")</f>
        <v>abhijit.khasnis@healthifyme.com</v>
      </c>
      <c r="G920" s="17"/>
      <c r="H920" s="17"/>
    </row>
    <row r="921">
      <c r="A921" s="17" t="str">
        <f>IFERROR(__xludf.DUMMYFUNCTION("""COMPUTED_VALUE"""),"Zepto")</f>
        <v>Zepto</v>
      </c>
      <c r="B921" s="17" t="str">
        <f>IFERROR(__xludf.DUMMYFUNCTION("""COMPUTED_VALUE"""),"Aadit Palicha")</f>
        <v>Aadit Palicha</v>
      </c>
      <c r="C921" s="17" t="str">
        <f>IFERROR(__xludf.DUMMYFUNCTION("""COMPUTED_VALUE"""),"CEO")</f>
        <v>CEO</v>
      </c>
      <c r="D921" s="27" t="str">
        <f>IFERROR(__xludf.DUMMYFUNCTION("""COMPUTED_VALUE"""),"https://www.linkedin.com/in/aadit-palicha/?originalSubdomain=in")</f>
        <v>https://www.linkedin.com/in/aadit-palicha/?originalSubdomain=in</v>
      </c>
      <c r="E921" s="17"/>
      <c r="F921" s="17" t="str">
        <f>IFERROR(__xludf.DUMMYFUNCTION("""COMPUTED_VALUE"""),"aadit@zeptonow.com")</f>
        <v>aadit@zeptonow.com</v>
      </c>
      <c r="G921" s="17"/>
      <c r="H921" s="17"/>
    </row>
    <row r="922">
      <c r="A922" s="17" t="str">
        <f>IFERROR(__xludf.DUMMYFUNCTION("""COMPUTED_VALUE"""),"DropBox")</f>
        <v>DropBox</v>
      </c>
      <c r="B922" s="17" t="str">
        <f>IFERROR(__xludf.DUMMYFUNCTION("""COMPUTED_VALUE"""),"Drew Houston")</f>
        <v>Drew Houston</v>
      </c>
      <c r="C922" s="17" t="str">
        <f>IFERROR(__xludf.DUMMYFUNCTION("""COMPUTED_VALUE"""),"Founder &amp; CEO")</f>
        <v>Founder &amp; CEO</v>
      </c>
      <c r="D922" s="27" t="str">
        <f>IFERROR(__xludf.DUMMYFUNCTION("""COMPUTED_VALUE"""),"https://www.linkedin.com/in/drewhouston")</f>
        <v>https://www.linkedin.com/in/drewhouston</v>
      </c>
      <c r="E922" s="17"/>
      <c r="F922" s="17" t="str">
        <f>IFERROR(__xludf.DUMMYFUNCTION("""COMPUTED_VALUE"""),"drew@dropbox.com")</f>
        <v>drew@dropbox.com</v>
      </c>
      <c r="G922" s="17"/>
      <c r="H922" s="17"/>
    </row>
    <row r="923">
      <c r="A923" s="17" t="str">
        <f>IFERROR(__xludf.DUMMYFUNCTION("""COMPUTED_VALUE"""),"Linkedin")</f>
        <v>Linkedin</v>
      </c>
      <c r="B923" s="17" t="str">
        <f>IFERROR(__xludf.DUMMYFUNCTION("""COMPUTED_VALUE"""),"Reid Hoffman")</f>
        <v>Reid Hoffman</v>
      </c>
      <c r="C923" s="17" t="str">
        <f>IFERROR(__xludf.DUMMYFUNCTION("""COMPUTED_VALUE"""),"Co-Founder &amp; Chairboard")</f>
        <v>Co-Founder &amp; Chairboard</v>
      </c>
      <c r="D923" s="27" t="str">
        <f>IFERROR(__xludf.DUMMYFUNCTION("""COMPUTED_VALUE"""),"https://www.linkedin.com/in/reidhoffman")</f>
        <v>https://www.linkedin.com/in/reidhoffman</v>
      </c>
      <c r="E923" s="17"/>
      <c r="F923" s="17" t="str">
        <f>IFERROR(__xludf.DUMMYFUNCTION("""COMPUTED_VALUE"""),"reid@manasai.co")</f>
        <v>reid@manasai.co</v>
      </c>
      <c r="G923" s="17"/>
      <c r="H923" s="17"/>
    </row>
    <row r="924">
      <c r="A924" s="17" t="str">
        <f>IFERROR(__xludf.DUMMYFUNCTION("""COMPUTED_VALUE"""),"Spanx")</f>
        <v>Spanx</v>
      </c>
      <c r="B924" s="17" t="str">
        <f>IFERROR(__xludf.DUMMYFUNCTION("""COMPUTED_VALUE"""),"Sara Blakely")</f>
        <v>Sara Blakely</v>
      </c>
      <c r="C924" s="17" t="str">
        <f>IFERROR(__xludf.DUMMYFUNCTION("""COMPUTED_VALUE"""),"Founder")</f>
        <v>Founder</v>
      </c>
      <c r="D924" s="27" t="str">
        <f>IFERROR(__xludf.DUMMYFUNCTION("""COMPUTED_VALUE"""),"https://www.linkedin.com/in/sarablakely27")</f>
        <v>https://www.linkedin.com/in/sarablakely27</v>
      </c>
      <c r="E924" s="17"/>
      <c r="F924" s="17" t="str">
        <f>IFERROR(__xludf.DUMMYFUNCTION("""COMPUTED_VALUE"""),"sara@sneex.com")</f>
        <v>sara@sneex.com</v>
      </c>
      <c r="G924" s="17"/>
      <c r="H924" s="17"/>
    </row>
    <row r="925">
      <c r="A925" s="17" t="str">
        <f>IFERROR(__xludf.DUMMYFUNCTION("""COMPUTED_VALUE"""),"Pinterest")</f>
        <v>Pinterest</v>
      </c>
      <c r="B925" s="17" t="str">
        <f>IFERROR(__xludf.DUMMYFUNCTION("""COMPUTED_VALUE"""),"Ben Silbermann")</f>
        <v>Ben Silbermann</v>
      </c>
      <c r="C925" s="17" t="str">
        <f>IFERROR(__xludf.DUMMYFUNCTION("""COMPUTED_VALUE"""),"Founder")</f>
        <v>Founder</v>
      </c>
      <c r="D925" s="27" t="str">
        <f>IFERROR(__xludf.DUMMYFUNCTION("""COMPUTED_VALUE"""),"https://www.linkedin.com/in/silbermann")</f>
        <v>https://www.linkedin.com/in/silbermann</v>
      </c>
      <c r="E925" s="17"/>
      <c r="F925" s="17" t="str">
        <f>IFERROR(__xludf.DUMMYFUNCTION("""COMPUTED_VALUE"""),"ben@pinterest.com")</f>
        <v>ben@pinterest.com</v>
      </c>
      <c r="G925" s="17"/>
      <c r="H925" s="17"/>
    </row>
    <row r="926">
      <c r="A926" s="17" t="str">
        <f>IFERROR(__xludf.DUMMYFUNCTION("""COMPUTED_VALUE"""),"23andMe")</f>
        <v>23andMe</v>
      </c>
      <c r="B926" s="17" t="str">
        <f>IFERROR(__xludf.DUMMYFUNCTION("""COMPUTED_VALUE"""),"Anne Wojcicki")</f>
        <v>Anne Wojcicki</v>
      </c>
      <c r="C926" s="17" t="str">
        <f>IFERROR(__xludf.DUMMYFUNCTION("""COMPUTED_VALUE"""),"Co-Founder and CEO")</f>
        <v>Co-Founder and CEO</v>
      </c>
      <c r="D926" s="27" t="str">
        <f>IFERROR(__xludf.DUMMYFUNCTION("""COMPUTED_VALUE"""),"https://www.linkedin.com/in/annewojcicki")</f>
        <v>https://www.linkedin.com/in/annewojcicki</v>
      </c>
      <c r="E926" s="17"/>
      <c r="F926" s="17" t="str">
        <f>IFERROR(__xludf.DUMMYFUNCTION("""COMPUTED_VALUE"""),"awojcicki@23andme.com")</f>
        <v>awojcicki@23andme.com</v>
      </c>
      <c r="G926" s="17"/>
      <c r="H926" s="17"/>
    </row>
    <row r="927">
      <c r="A927" s="17" t="str">
        <f>IFERROR(__xludf.DUMMYFUNCTION("""COMPUTED_VALUE"""),"Lenskart")</f>
        <v>Lenskart</v>
      </c>
      <c r="B927" s="17" t="str">
        <f>IFERROR(__xludf.DUMMYFUNCTION("""COMPUTED_VALUE"""),"Neha Bansal")</f>
        <v>Neha Bansal</v>
      </c>
      <c r="C927" s="17" t="str">
        <f>IFERROR(__xludf.DUMMYFUNCTION("""COMPUTED_VALUE"""),"Co Founder")</f>
        <v>Co Founder</v>
      </c>
      <c r="D927" s="17"/>
      <c r="E927" s="17"/>
      <c r="F927" s="17" t="str">
        <f>IFERROR(__xludf.DUMMYFUNCTION("""COMPUTED_VALUE"""),"neha@lenskart.com")</f>
        <v>neha@lenskart.com</v>
      </c>
      <c r="G927" s="17"/>
      <c r="H927" s="17"/>
    </row>
    <row r="928">
      <c r="A928" s="17" t="str">
        <f>IFERROR(__xludf.DUMMYFUNCTION("""COMPUTED_VALUE"""),"PhonePe")</f>
        <v>PhonePe</v>
      </c>
      <c r="B928" s="17" t="str">
        <f>IFERROR(__xludf.DUMMYFUNCTION("""COMPUTED_VALUE"""),"Sameer Nigam")</f>
        <v>Sameer Nigam</v>
      </c>
      <c r="C928" s="17" t="str">
        <f>IFERROR(__xludf.DUMMYFUNCTION("""COMPUTED_VALUE"""),"Founder &amp; CEO")</f>
        <v>Founder &amp; CEO</v>
      </c>
      <c r="D928" s="17"/>
      <c r="E928" s="17"/>
      <c r="F928" s="17" t="str">
        <f>IFERROR(__xludf.DUMMYFUNCTION("""COMPUTED_VALUE"""),"sameer@phonepe.com")</f>
        <v>sameer@phonepe.com</v>
      </c>
      <c r="G928" s="17"/>
      <c r="H928" s="17"/>
    </row>
    <row r="929">
      <c r="A929" s="27" t="str">
        <f>IFERROR(__xludf.DUMMYFUNCTION("""COMPUTED_VALUE"""),"Bookmyshow.com")</f>
        <v>Bookmyshow.com</v>
      </c>
      <c r="B929" s="17" t="str">
        <f>IFERROR(__xludf.DUMMYFUNCTION("""COMPUTED_VALUE"""),"Rajesh Balpande")</f>
        <v>Rajesh Balpande</v>
      </c>
      <c r="C929" s="17" t="str">
        <f>IFERROR(__xludf.DUMMYFUNCTION("""COMPUTED_VALUE"""),"Co-Founder")</f>
        <v>Co-Founder</v>
      </c>
      <c r="D929" s="17"/>
      <c r="E929" s="17"/>
      <c r="F929" s="17" t="str">
        <f>IFERROR(__xludf.DUMMYFUNCTION("""COMPUTED_VALUE"""),"rajesh.balpande@icloud.com")</f>
        <v>rajesh.balpande@icloud.com</v>
      </c>
      <c r="G929" s="17"/>
      <c r="H929" s="17"/>
    </row>
    <row r="930">
      <c r="A930" s="17" t="str">
        <f>IFERROR(__xludf.DUMMYFUNCTION("""COMPUTED_VALUE"""),"Birla Group")</f>
        <v>Birla Group</v>
      </c>
      <c r="B930" s="17" t="str">
        <f>IFERROR(__xludf.DUMMYFUNCTION("""COMPUTED_VALUE"""),"Nikhil Kamath")</f>
        <v>Nikhil Kamath</v>
      </c>
      <c r="C930" s="17" t="str">
        <f>IFERROR(__xludf.DUMMYFUNCTION("""COMPUTED_VALUE"""),"Investor &amp; Entrepreneur")</f>
        <v>Investor &amp; Entrepreneur</v>
      </c>
      <c r="D930" s="17"/>
      <c r="E930" s="17"/>
      <c r="F930" s="17" t="str">
        <f>IFERROR(__xludf.DUMMYFUNCTION("""COMPUTED_VALUE"""),"nikhil.kamath@zerodha.com")</f>
        <v>nikhil.kamath@zerodha.com</v>
      </c>
      <c r="G930" s="17"/>
      <c r="H930" s="17"/>
    </row>
    <row r="931">
      <c r="A931" s="17" t="str">
        <f>IFERROR(__xludf.DUMMYFUNCTION("""COMPUTED_VALUE"""),"Flipkart")</f>
        <v>Flipkart</v>
      </c>
      <c r="B931" s="17" t="str">
        <f>IFERROR(__xludf.DUMMYFUNCTION("""COMPUTED_VALUE"""),"Smrithi Ravichandran")</f>
        <v>Smrithi Ravichandran</v>
      </c>
      <c r="C931" s="17" t="str">
        <f>IFERROR(__xludf.DUMMYFUNCTION("""COMPUTED_VALUE"""),"Vice President - Head of Mobiles &amp; Travel")</f>
        <v>Vice President - Head of Mobiles &amp; Travel</v>
      </c>
      <c r="D931" s="17"/>
      <c r="E931" s="17"/>
      <c r="F931" s="17" t="str">
        <f>IFERROR(__xludf.DUMMYFUNCTION("""COMPUTED_VALUE"""),"smrithismrithi@gmail.com")</f>
        <v>smrithismrithi@gmail.com</v>
      </c>
      <c r="G931" s="17"/>
      <c r="H931" s="17"/>
    </row>
    <row r="932">
      <c r="A932" s="17" t="str">
        <f>IFERROR(__xludf.DUMMYFUNCTION("""COMPUTED_VALUE"""),"Flipkart")</f>
        <v>Flipkart</v>
      </c>
      <c r="B932" s="17" t="str">
        <f>IFERROR(__xludf.DUMMYFUNCTION("""COMPUTED_VALUE"""),"Kalyan Krishnamurthy")</f>
        <v>Kalyan Krishnamurthy</v>
      </c>
      <c r="C932" s="17" t="str">
        <f>IFERROR(__xludf.DUMMYFUNCTION("""COMPUTED_VALUE"""),"CEO")</f>
        <v>CEO</v>
      </c>
      <c r="D932" s="17"/>
      <c r="E932" s="17"/>
      <c r="F932" s="17" t="str">
        <f>IFERROR(__xludf.DUMMYFUNCTION("""COMPUTED_VALUE"""),"kalyan.krishnamurthy@flipkart.com")</f>
        <v>kalyan.krishnamurthy@flipkart.com</v>
      </c>
      <c r="G932" s="17"/>
      <c r="H932" s="17"/>
    </row>
    <row r="933">
      <c r="A933" s="17" t="str">
        <f>IFERROR(__xludf.DUMMYFUNCTION("""COMPUTED_VALUE"""),"BharatPe")</f>
        <v>BharatPe</v>
      </c>
      <c r="B933" s="17" t="str">
        <f>IFERROR(__xludf.DUMMYFUNCTION("""COMPUTED_VALUE"""),"Shashvat Nakrani")</f>
        <v>Shashvat Nakrani</v>
      </c>
      <c r="C933" s="17" t="str">
        <f>IFERROR(__xludf.DUMMYFUNCTION("""COMPUTED_VALUE"""),"Founder")</f>
        <v>Founder</v>
      </c>
      <c r="D933" s="17"/>
      <c r="E933" s="17"/>
      <c r="F933" s="17" t="str">
        <f>IFERROR(__xludf.DUMMYFUNCTION("""COMPUTED_VALUE"""),"shashvat@bharatpe.com")</f>
        <v>shashvat@bharatpe.com</v>
      </c>
      <c r="G933" s="17"/>
      <c r="H933" s="17"/>
    </row>
    <row r="934">
      <c r="A934" s="17" t="str">
        <f>IFERROR(__xludf.DUMMYFUNCTION("""COMPUTED_VALUE"""),"Third Unicorn")</f>
        <v>Third Unicorn</v>
      </c>
      <c r="B934" s="17" t="str">
        <f>IFERROR(__xludf.DUMMYFUNCTION("""COMPUTED_VALUE"""),"Madhuri Jain Grover")</f>
        <v>Madhuri Jain Grover</v>
      </c>
      <c r="C934" s="17" t="str">
        <f>IFERROR(__xludf.DUMMYFUNCTION("""COMPUTED_VALUE"""),"Co- Founder")</f>
        <v>Co- Founder</v>
      </c>
      <c r="D934" s="17"/>
      <c r="E934" s="17"/>
      <c r="F934" s="17" t="str">
        <f>IFERROR(__xludf.DUMMYFUNCTION("""COMPUTED_VALUE"""),"madhuri@third-unicorn.com")</f>
        <v>madhuri@third-unicorn.com</v>
      </c>
      <c r="G934" s="17"/>
      <c r="H934" s="17"/>
    </row>
    <row r="935">
      <c r="A935" s="17" t="str">
        <f>IFERROR(__xludf.DUMMYFUNCTION("""COMPUTED_VALUE"""),"Emcure Pharmaceuticals Limited")</f>
        <v>Emcure Pharmaceuticals Limited</v>
      </c>
      <c r="B935" s="17" t="str">
        <f>IFERROR(__xludf.DUMMYFUNCTION("""COMPUTED_VALUE"""),"Namita Thapar")</f>
        <v>Namita Thapar</v>
      </c>
      <c r="C935" s="17" t="str">
        <f>IFERROR(__xludf.DUMMYFUNCTION("""COMPUTED_VALUE"""),"Executive Director")</f>
        <v>Executive Director</v>
      </c>
      <c r="D935" s="17"/>
      <c r="E935" s="17"/>
      <c r="F935" s="17" t="str">
        <f>IFERROR(__xludf.DUMMYFUNCTION("""COMPUTED_VALUE"""),"namita.thapar@emcure.co.in")</f>
        <v>namita.thapar@emcure.co.in</v>
      </c>
      <c r="G935" s="17"/>
      <c r="H935" s="17"/>
    </row>
    <row r="936">
      <c r="A936" s="17" t="str">
        <f>IFERROR(__xludf.DUMMYFUNCTION("""COMPUTED_VALUE"""),"Apna College")</f>
        <v>Apna College</v>
      </c>
      <c r="B936" s="17" t="str">
        <f>IFERROR(__xludf.DUMMYFUNCTION("""COMPUTED_VALUE"""),"Shradha Khapra")</f>
        <v>Shradha Khapra</v>
      </c>
      <c r="C936" s="17" t="str">
        <f>IFERROR(__xludf.DUMMYFUNCTION("""COMPUTED_VALUE"""),"Co-Founder")</f>
        <v>Co-Founder</v>
      </c>
      <c r="D936" s="17"/>
      <c r="E936" s="17"/>
      <c r="F936" s="17" t="str">
        <f>IFERROR(__xludf.DUMMYFUNCTION("""COMPUTED_VALUE"""),"shradha@digiwagon.com")</f>
        <v>shradha@digiwagon.com</v>
      </c>
      <c r="G936" s="17"/>
      <c r="H936" s="17"/>
    </row>
    <row r="937">
      <c r="A937" s="17" t="str">
        <f>IFERROR(__xludf.DUMMYFUNCTION("""COMPUTED_VALUE"""),"Unacademy")</f>
        <v>Unacademy</v>
      </c>
      <c r="B937" s="17" t="str">
        <f>IFERROR(__xludf.DUMMYFUNCTION("""COMPUTED_VALUE"""),"Sarmad Mehraj")</f>
        <v>Sarmad Mehraj</v>
      </c>
      <c r="C937" s="17" t="str">
        <f>IFERROR(__xludf.DUMMYFUNCTION("""COMPUTED_VALUE"""),"Senior Vice President")</f>
        <v>Senior Vice President</v>
      </c>
      <c r="D937" s="17"/>
      <c r="E937" s="17"/>
      <c r="F937" s="17" t="str">
        <f>IFERROR(__xludf.DUMMYFUNCTION("""COMPUTED_VALUE"""),"sarmad@unacademy.com")</f>
        <v>sarmad@unacademy.com</v>
      </c>
      <c r="G937" s="17"/>
      <c r="H937" s="17"/>
    </row>
    <row r="938">
      <c r="A938" s="17" t="str">
        <f>IFERROR(__xludf.DUMMYFUNCTION("""COMPUTED_VALUE"""),"Goldman Sachs")</f>
        <v>Goldman Sachs</v>
      </c>
      <c r="B938" s="17" t="str">
        <f>IFERROR(__xludf.DUMMYFUNCTION("""COMPUTED_VALUE"""),"Sonjoy Chatterjee")</f>
        <v>Sonjoy Chatterjee</v>
      </c>
      <c r="C938" s="17" t="str">
        <f>IFERROR(__xludf.DUMMYFUNCTION("""COMPUTED_VALUE"""),"Chairman and CEO")</f>
        <v>Chairman and CEO</v>
      </c>
      <c r="D938" s="17"/>
      <c r="E938" s="17"/>
      <c r="F938" s="17" t="str">
        <f>IFERROR(__xludf.DUMMYFUNCTION("""COMPUTED_VALUE"""),"sonjoy.chatterjee@goldmansachs.com")</f>
        <v>sonjoy.chatterjee@goldmansachs.com</v>
      </c>
      <c r="G938" s="17"/>
      <c r="H938" s="17"/>
    </row>
    <row r="939">
      <c r="A939" s="17" t="str">
        <f>IFERROR(__xludf.DUMMYFUNCTION("""COMPUTED_VALUE"""),"Goldman Sachs")</f>
        <v>Goldman Sachs</v>
      </c>
      <c r="B939" s="17" t="str">
        <f>IFERROR(__xludf.DUMMYFUNCTION("""COMPUTED_VALUE"""),"Ankit Chowdhari")</f>
        <v>Ankit Chowdhari</v>
      </c>
      <c r="C939" s="17" t="str">
        <f>IFERROR(__xludf.DUMMYFUNCTION("""COMPUTED_VALUE"""),"Managing Director")</f>
        <v>Managing Director</v>
      </c>
      <c r="D939" s="17"/>
      <c r="E939" s="17"/>
      <c r="F939" s="17" t="str">
        <f>IFERROR(__xludf.DUMMYFUNCTION("""COMPUTED_VALUE"""),"ankit.chowdhari@gs.com")</f>
        <v>ankit.chowdhari@gs.com</v>
      </c>
      <c r="G939" s="17"/>
      <c r="H939" s="17"/>
    </row>
    <row r="940">
      <c r="A940" s="17" t="str">
        <f>IFERROR(__xludf.DUMMYFUNCTION("""COMPUTED_VALUE"""),"Goldman Sachs")</f>
        <v>Goldman Sachs</v>
      </c>
      <c r="B940" s="17" t="str">
        <f>IFERROR(__xludf.DUMMYFUNCTION("""COMPUTED_VALUE"""),"Ramesh Kamath")</f>
        <v>Ramesh Kamath</v>
      </c>
      <c r="C940" s="17" t="str">
        <f>IFERROR(__xludf.DUMMYFUNCTION("""COMPUTED_VALUE"""),"Managing Director")</f>
        <v>Managing Director</v>
      </c>
      <c r="D940" s="17"/>
      <c r="E940" s="17"/>
      <c r="F940" s="17" t="str">
        <f>IFERROR(__xludf.DUMMYFUNCTION("""COMPUTED_VALUE"""),"rrmg7hbdbc@privaterelay.appleid.com")</f>
        <v>rrmg7hbdbc@privaterelay.appleid.com</v>
      </c>
      <c r="G940" s="17"/>
      <c r="H940" s="17"/>
    </row>
    <row r="941">
      <c r="A941" s="17" t="str">
        <f>IFERROR(__xludf.DUMMYFUNCTION("""COMPUTED_VALUE"""),"Goldman Sachs")</f>
        <v>Goldman Sachs</v>
      </c>
      <c r="B941" s="17" t="str">
        <f>IFERROR(__xludf.DUMMYFUNCTION("""COMPUTED_VALUE"""),"Gunjan Samtani")</f>
        <v>Gunjan Samtani</v>
      </c>
      <c r="C941" s="17" t="str">
        <f>IFERROR(__xludf.DUMMYFUNCTION("""COMPUTED_VALUE"""),"Co-Chairman")</f>
        <v>Co-Chairman</v>
      </c>
      <c r="D941" s="17"/>
      <c r="E941" s="17"/>
      <c r="F941" s="17" t="str">
        <f>IFERROR(__xludf.DUMMYFUNCTION("""COMPUTED_VALUE"""),"gunjan.samtani@gs.com")</f>
        <v>gunjan.samtani@gs.com</v>
      </c>
      <c r="G941" s="17"/>
      <c r="H941" s="17"/>
    </row>
    <row r="942">
      <c r="A942" s="17" t="str">
        <f>IFERROR(__xludf.DUMMYFUNCTION("""COMPUTED_VALUE"""),"Goldman Sachs")</f>
        <v>Goldman Sachs</v>
      </c>
      <c r="B942" s="17" t="str">
        <f>IFERROR(__xludf.DUMMYFUNCTION("""COMPUTED_VALUE"""),"Harneet Kaur")</f>
        <v>Harneet Kaur</v>
      </c>
      <c r="C942" s="17" t="str">
        <f>IFERROR(__xludf.DUMMYFUNCTION("""COMPUTED_VALUE"""),"Managing Director")</f>
        <v>Managing Director</v>
      </c>
      <c r="D942" s="17"/>
      <c r="E942" s="17"/>
      <c r="F942" s="17" t="str">
        <f>IFERROR(__xludf.DUMMYFUNCTION("""COMPUTED_VALUE"""),"harneet.kaur@gs.com")</f>
        <v>harneet.kaur@gs.com</v>
      </c>
      <c r="G942" s="17"/>
      <c r="H942" s="17"/>
    </row>
    <row r="943">
      <c r="A943" s="17" t="str">
        <f>IFERROR(__xludf.DUMMYFUNCTION("""COMPUTED_VALUE"""),"Goldman Sachs")</f>
        <v>Goldman Sachs</v>
      </c>
      <c r="B943" s="17" t="str">
        <f>IFERROR(__xludf.DUMMYFUNCTION("""COMPUTED_VALUE"""),"Devarajan Nambakam")</f>
        <v>Devarajan Nambakam</v>
      </c>
      <c r="C943" s="17" t="str">
        <f>IFERROR(__xludf.DUMMYFUNCTION("""COMPUTED_VALUE"""),"Co-Head")</f>
        <v>Co-Head</v>
      </c>
      <c r="D943" s="17"/>
      <c r="E943" s="17"/>
      <c r="F943" s="17" t="str">
        <f>IFERROR(__xludf.DUMMYFUNCTION("""COMPUTED_VALUE"""),"devarajan.nambakam@gs.com")</f>
        <v>devarajan.nambakam@gs.com</v>
      </c>
      <c r="G943" s="17"/>
      <c r="H943" s="17"/>
    </row>
    <row r="944">
      <c r="A944" s="17" t="str">
        <f>IFERROR(__xludf.DUMMYFUNCTION("""COMPUTED_VALUE"""),"Goldman Sachs")</f>
        <v>Goldman Sachs</v>
      </c>
      <c r="B944" s="17" t="str">
        <f>IFERROR(__xludf.DUMMYFUNCTION("""COMPUTED_VALUE"""),"Nikhilesh Kasi")</f>
        <v>Nikhilesh Kasi</v>
      </c>
      <c r="C944" s="17" t="str">
        <f>IFERROR(__xludf.DUMMYFUNCTION("""COMPUTED_VALUE"""),"Managing Director")</f>
        <v>Managing Director</v>
      </c>
      <c r="D944" s="17"/>
      <c r="E944" s="17"/>
      <c r="F944" s="17" t="str">
        <f>IFERROR(__xludf.DUMMYFUNCTION("""COMPUTED_VALUE"""),"nikhilesh.kasi@gs.com")</f>
        <v>nikhilesh.kasi@gs.com</v>
      </c>
      <c r="G944" s="17"/>
      <c r="H944" s="17"/>
    </row>
    <row r="945">
      <c r="A945" s="17" t="str">
        <f>IFERROR(__xludf.DUMMYFUNCTION("""COMPUTED_VALUE"""),"Google")</f>
        <v>Google</v>
      </c>
      <c r="B945" s="17" t="str">
        <f>IFERROR(__xludf.DUMMYFUNCTION("""COMPUTED_VALUE"""),"Preeti Lobana")</f>
        <v>Preeti Lobana</v>
      </c>
      <c r="C945" s="17" t="str">
        <f>IFERROR(__xludf.DUMMYFUNCTION("""COMPUTED_VALUE"""),"VP and Country Manager")</f>
        <v>VP and Country Manager</v>
      </c>
      <c r="D945" s="17"/>
      <c r="E945" s="17"/>
      <c r="F945" s="17" t="str">
        <f>IFERROR(__xludf.DUMMYFUNCTION("""COMPUTED_VALUE"""),"plobanain@yahoo.co.in")</f>
        <v>plobanain@yahoo.co.in</v>
      </c>
      <c r="G945" s="17"/>
      <c r="H945" s="17"/>
    </row>
    <row r="946">
      <c r="A946" s="17" t="str">
        <f>IFERROR(__xludf.DUMMYFUNCTION("""COMPUTED_VALUE"""),"Google")</f>
        <v>Google</v>
      </c>
      <c r="B946" s="17" t="str">
        <f>IFERROR(__xludf.DUMMYFUNCTION("""COMPUTED_VALUE"""),"Rahul Jindal")</f>
        <v>Rahul Jindal</v>
      </c>
      <c r="C946" s="17" t="str">
        <f>IFERROR(__xludf.DUMMYFUNCTION("""COMPUTED_VALUE"""),"Director")</f>
        <v>Director</v>
      </c>
      <c r="D946" s="17"/>
      <c r="E946" s="17"/>
      <c r="F946" s="17" t="str">
        <f>IFERROR(__xludf.DUMMYFUNCTION("""COMPUTED_VALUE"""),"rahuljindal@google.com")</f>
        <v>rahuljindal@google.com</v>
      </c>
      <c r="G946" s="17"/>
      <c r="H946" s="17"/>
    </row>
    <row r="947">
      <c r="A947" s="17" t="str">
        <f>IFERROR(__xludf.DUMMYFUNCTION("""COMPUTED_VALUE"""),"Google")</f>
        <v>Google</v>
      </c>
      <c r="B947" s="17" t="str">
        <f>IFERROR(__xludf.DUMMYFUNCTION("""COMPUTED_VALUE"""),"Subash Chandar Govindarajan")</f>
        <v>Subash Chandar Govindarajan</v>
      </c>
      <c r="C947" s="17" t="str">
        <f>IFERROR(__xludf.DUMMYFUNCTION("""COMPUTED_VALUE"""),"Senior Director")</f>
        <v>Senior Director</v>
      </c>
      <c r="D947" s="17"/>
      <c r="E947" s="17"/>
      <c r="F947" s="17" t="str">
        <f>IFERROR(__xludf.DUMMYFUNCTION("""COMPUTED_VALUE"""),"gsubash@hotmail.com")</f>
        <v>gsubash@hotmail.com</v>
      </c>
      <c r="G947" s="17"/>
      <c r="H947" s="17"/>
    </row>
    <row r="948">
      <c r="A948" s="17" t="str">
        <f>IFERROR(__xludf.DUMMYFUNCTION("""COMPUTED_VALUE"""),"Volvo Group")</f>
        <v>Volvo Group</v>
      </c>
      <c r="B948" s="17" t="str">
        <f>IFERROR(__xludf.DUMMYFUNCTION("""COMPUTED_VALUE"""),"Kamal Bali")</f>
        <v>Kamal Bali</v>
      </c>
      <c r="C948" s="17" t="str">
        <f>IFERROR(__xludf.DUMMYFUNCTION("""COMPUTED_VALUE"""),"President &amp; Managing Director")</f>
        <v>President &amp; Managing Director</v>
      </c>
      <c r="D948" s="17"/>
      <c r="E948" s="17"/>
      <c r="F948" s="17" t="str">
        <f>IFERROR(__xludf.DUMMYFUNCTION("""COMPUTED_VALUE"""),"balikamal@gmail.com")</f>
        <v>balikamal@gmail.com</v>
      </c>
      <c r="G948" s="17"/>
      <c r="H948" s="17"/>
    </row>
    <row r="949">
      <c r="A949" s="17" t="str">
        <f>IFERROR(__xludf.DUMMYFUNCTION("""COMPUTED_VALUE"""),"Ashok Leyland")</f>
        <v>Ashok Leyland</v>
      </c>
      <c r="B949" s="17" t="str">
        <f>IFERROR(__xludf.DUMMYFUNCTION("""COMPUTED_VALUE"""),"Shenu Agarwal")</f>
        <v>Shenu Agarwal</v>
      </c>
      <c r="C949" s="17" t="str">
        <f>IFERROR(__xludf.DUMMYFUNCTION("""COMPUTED_VALUE"""),"Managing Director and CEO")</f>
        <v>Managing Director and CEO</v>
      </c>
      <c r="D949" s="17"/>
      <c r="E949" s="17"/>
      <c r="F949" s="17" t="str">
        <f>IFERROR(__xludf.DUMMYFUNCTION("""COMPUTED_VALUE"""),"shenuagarwal@gmail.com")</f>
        <v>shenuagarwal@gmail.com</v>
      </c>
      <c r="G949" s="17"/>
      <c r="H949" s="17"/>
    </row>
    <row r="950">
      <c r="A950" s="17" t="str">
        <f>IFERROR(__xludf.DUMMYFUNCTION("""COMPUTED_VALUE"""),"Tata Consultancy Services")</f>
        <v>Tata Consultancy Services</v>
      </c>
      <c r="B950" s="17" t="str">
        <f>IFERROR(__xludf.DUMMYFUNCTION("""COMPUTED_VALUE"""),"Dr. Harrick Vin")</f>
        <v>Dr. Harrick Vin</v>
      </c>
      <c r="C950" s="17" t="str">
        <f>IFERROR(__xludf.DUMMYFUNCTION("""COMPUTED_VALUE"""),"Chief Technology Officer")</f>
        <v>Chief Technology Officer</v>
      </c>
      <c r="D950" s="17"/>
      <c r="E950" s="17"/>
      <c r="F950" s="17" t="str">
        <f>IFERROR(__xludf.DUMMYFUNCTION("""COMPUTED_VALUE"""),"harrick.vin@tcs.com")</f>
        <v>harrick.vin@tcs.com</v>
      </c>
      <c r="G950" s="17"/>
      <c r="H950" s="17"/>
    </row>
    <row r="951">
      <c r="A951" s="17" t="str">
        <f>IFERROR(__xludf.DUMMYFUNCTION("""COMPUTED_VALUE"""),"PiggyRide")</f>
        <v>PiggyRide</v>
      </c>
      <c r="B951" s="17" t="str">
        <f>IFERROR(__xludf.DUMMYFUNCTION("""COMPUTED_VALUE"""),"Manish Tewari")</f>
        <v>Manish Tewari</v>
      </c>
      <c r="C951" s="17" t="str">
        <f>IFERROR(__xludf.DUMMYFUNCTION("""COMPUTED_VALUE"""),"Co-founder")</f>
        <v>Co-founder</v>
      </c>
      <c r="D951" s="17"/>
      <c r="E951" s="17"/>
      <c r="F951" s="17" t="str">
        <f>IFERROR(__xludf.DUMMYFUNCTION("""COMPUTED_VALUE"""),"support@piggyride.com")</f>
        <v>support@piggyride.com</v>
      </c>
      <c r="G951" s="17"/>
      <c r="H951" s="17"/>
    </row>
    <row r="952">
      <c r="A952" s="17" t="str">
        <f>IFERROR(__xludf.DUMMYFUNCTION("""COMPUTED_VALUE"""),"PiggyRide")</f>
        <v>PiggyRide</v>
      </c>
      <c r="B952" s="17" t="str">
        <f>IFERROR(__xludf.DUMMYFUNCTION("""COMPUTED_VALUE"""),"Rohan Kaushal")</f>
        <v>Rohan Kaushal</v>
      </c>
      <c r="C952" s="17" t="str">
        <f>IFERROR(__xludf.DUMMYFUNCTION("""COMPUTED_VALUE"""),"Co-founder")</f>
        <v>Co-founder</v>
      </c>
      <c r="D952" s="17"/>
      <c r="E952" s="17"/>
      <c r="F952" s="17" t="str">
        <f>IFERROR(__xludf.DUMMYFUNCTION("""COMPUTED_VALUE"""),"support@piggyride.com")</f>
        <v>support@piggyride.com</v>
      </c>
      <c r="G952" s="17"/>
      <c r="H952" s="17"/>
    </row>
    <row r="953">
      <c r="A953" s="17" t="str">
        <f>IFERROR(__xludf.DUMMYFUNCTION("""COMPUTED_VALUE"""),"InMobi")</f>
        <v>InMobi</v>
      </c>
      <c r="B953" s="17" t="str">
        <f>IFERROR(__xludf.DUMMYFUNCTION("""COMPUTED_VALUE"""),"Mohit Saxena")</f>
        <v>Mohit Saxena</v>
      </c>
      <c r="C953" s="17" t="str">
        <f>IFERROR(__xludf.DUMMYFUNCTION("""COMPUTED_VALUE"""),"Co-founder")</f>
        <v>Co-founder</v>
      </c>
      <c r="D953" s="17"/>
      <c r="E953" s="17"/>
      <c r="F953" s="17" t="str">
        <f>IFERROR(__xludf.DUMMYFUNCTION("""COMPUTED_VALUE"""),"pr@inmobi.com")</f>
        <v>pr@inmobi.com</v>
      </c>
      <c r="G953" s="17"/>
      <c r="H953" s="17"/>
    </row>
    <row r="954">
      <c r="A954" s="17" t="str">
        <f>IFERROR(__xludf.DUMMYFUNCTION("""COMPUTED_VALUE"""),"InMobi")</f>
        <v>InMobi</v>
      </c>
      <c r="B954" s="17" t="str">
        <f>IFERROR(__xludf.DUMMYFUNCTION("""COMPUTED_VALUE"""),"Piyush Shah")</f>
        <v>Piyush Shah</v>
      </c>
      <c r="C954" s="17" t="str">
        <f>IFERROR(__xludf.DUMMYFUNCTION("""COMPUTED_VALUE"""),"Co-founder")</f>
        <v>Co-founder</v>
      </c>
      <c r="D954" s="17"/>
      <c r="E954" s="17"/>
      <c r="F954" s="17" t="str">
        <f>IFERROR(__xludf.DUMMYFUNCTION("""COMPUTED_VALUE"""),"pr@inmobi.com")</f>
        <v>pr@inmobi.com</v>
      </c>
      <c r="G954" s="17"/>
      <c r="H954" s="17"/>
    </row>
    <row r="955">
      <c r="A955" s="17" t="str">
        <f>IFERROR(__xludf.DUMMYFUNCTION("""COMPUTED_VALUE"""),"InMobi")</f>
        <v>InMobi</v>
      </c>
      <c r="B955" s="17" t="str">
        <f>IFERROR(__xludf.DUMMYFUNCTION("""COMPUTED_VALUE"""),"Abhay Singhal")</f>
        <v>Abhay Singhal</v>
      </c>
      <c r="C955" s="17" t="str">
        <f>IFERROR(__xludf.DUMMYFUNCTION("""COMPUTED_VALUE"""),"Co-founder/CEO")</f>
        <v>Co-founder/CEO</v>
      </c>
      <c r="D955" s="17"/>
      <c r="E955" s="17"/>
      <c r="F955" s="17" t="str">
        <f>IFERROR(__xludf.DUMMYFUNCTION("""COMPUTED_VALUE"""),"pr@inmobi.com")</f>
        <v>pr@inmobi.com</v>
      </c>
      <c r="G955" s="17"/>
      <c r="H955" s="17"/>
    </row>
    <row r="956">
      <c r="A956" s="17" t="str">
        <f>IFERROR(__xludf.DUMMYFUNCTION("""COMPUTED_VALUE"""),"Livspace")</f>
        <v>Livspace</v>
      </c>
      <c r="B956" s="17" t="str">
        <f>IFERROR(__xludf.DUMMYFUNCTION("""COMPUTED_VALUE"""),"Ramakant Sharma")</f>
        <v>Ramakant Sharma</v>
      </c>
      <c r="C956" s="17" t="str">
        <f>IFERROR(__xludf.DUMMYFUNCTION("""COMPUTED_VALUE"""),"Co-founder")</f>
        <v>Co-founder</v>
      </c>
      <c r="D956" s="17"/>
      <c r="E956" s="17"/>
      <c r="F956" s="17" t="str">
        <f>IFERROR(__xludf.DUMMYFUNCTION("""COMPUTED_VALUE"""),"contact@livspace.com")</f>
        <v>contact@livspace.com</v>
      </c>
      <c r="G956" s="17"/>
      <c r="H956" s="17"/>
    </row>
    <row r="957">
      <c r="A957" s="17" t="str">
        <f>IFERROR(__xludf.DUMMYFUNCTION("""COMPUTED_VALUE"""),"Tracxn")</f>
        <v>Tracxn</v>
      </c>
      <c r="B957" s="17" t="str">
        <f>IFERROR(__xludf.DUMMYFUNCTION("""COMPUTED_VALUE"""),"Abhishek Goyal")</f>
        <v>Abhishek Goyal</v>
      </c>
      <c r="C957" s="17" t="str">
        <f>IFERROR(__xludf.DUMMYFUNCTION("""COMPUTED_VALUE"""),"Co-founder")</f>
        <v>Co-founder</v>
      </c>
      <c r="D957" s="17"/>
      <c r="E957" s="17"/>
      <c r="F957" s="17" t="str">
        <f>IFERROR(__xludf.DUMMYFUNCTION("""COMPUTED_VALUE"""),"abhishek.goyal@gmail.com ")</f>
        <v>abhishek.goyal@gmail.com </v>
      </c>
      <c r="G957" s="17"/>
      <c r="H957" s="17"/>
    </row>
    <row r="958">
      <c r="A958" s="17" t="str">
        <f>IFERROR(__xludf.DUMMYFUNCTION("""COMPUTED_VALUE"""),"Vedantu")</f>
        <v>Vedantu</v>
      </c>
      <c r="B958" s="17" t="str">
        <f>IFERROR(__xludf.DUMMYFUNCTION("""COMPUTED_VALUE"""),"Vamsi Krishna")</f>
        <v>Vamsi Krishna</v>
      </c>
      <c r="C958" s="17" t="str">
        <f>IFERROR(__xludf.DUMMYFUNCTION("""COMPUTED_VALUE"""),"Co-founder/CEO")</f>
        <v>Co-founder/CEO</v>
      </c>
      <c r="D958" s="17"/>
      <c r="E958" s="17"/>
      <c r="F958" s="17" t="str">
        <f>IFERROR(__xludf.DUMMYFUNCTION("""COMPUTED_VALUE"""),"wamsi9634@gmail.com")</f>
        <v>wamsi9634@gmail.com</v>
      </c>
      <c r="G958" s="17"/>
      <c r="H958" s="17"/>
    </row>
    <row r="959">
      <c r="A959" s="17" t="str">
        <f>IFERROR(__xludf.DUMMYFUNCTION("""COMPUTED_VALUE"""),"Zerodha")</f>
        <v>Zerodha</v>
      </c>
      <c r="B959" s="17" t="str">
        <f>IFERROR(__xludf.DUMMYFUNCTION("""COMPUTED_VALUE"""),"Nithin Kamath")</f>
        <v>Nithin Kamath</v>
      </c>
      <c r="C959" s="17" t="str">
        <f>IFERROR(__xludf.DUMMYFUNCTION("""COMPUTED_VALUE"""),"Co-founder/CEO")</f>
        <v>Co-founder/CEO</v>
      </c>
      <c r="D959" s="17"/>
      <c r="E959" s="17"/>
      <c r="F959" s="17" t="str">
        <f>IFERROR(__xludf.DUMMYFUNCTION("""COMPUTED_VALUE"""),"nithinkamath@yahoo.com")</f>
        <v>nithinkamath@yahoo.com</v>
      </c>
      <c r="G959" s="17"/>
      <c r="H959" s="17"/>
    </row>
    <row r="960">
      <c r="A960" s="17" t="str">
        <f>IFERROR(__xludf.DUMMYFUNCTION("""COMPUTED_VALUE"""),"Zerodha, True Beacon")</f>
        <v>Zerodha, True Beacon</v>
      </c>
      <c r="B960" s="17" t="str">
        <f>IFERROR(__xludf.DUMMYFUNCTION("""COMPUTED_VALUE"""),"Nikhil Kamath")</f>
        <v>Nikhil Kamath</v>
      </c>
      <c r="C960" s="17" t="str">
        <f>IFERROR(__xludf.DUMMYFUNCTION("""COMPUTED_VALUE"""),"Co-founder")</f>
        <v>Co-founder</v>
      </c>
      <c r="D960" s="17"/>
      <c r="E960" s="17"/>
      <c r="F960" s="17" t="str">
        <f>IFERROR(__xludf.DUMMYFUNCTION("""COMPUTED_VALUE"""),"nikhil.kamath@zerodha.com")</f>
        <v>nikhil.kamath@zerodha.com</v>
      </c>
      <c r="G960" s="17"/>
      <c r="H960" s="17"/>
    </row>
    <row r="961">
      <c r="A961" s="17" t="str">
        <f>IFERROR(__xludf.DUMMYFUNCTION("""COMPUTED_VALUE"""),"Unacademy")</f>
        <v>Unacademy</v>
      </c>
      <c r="B961" s="17" t="str">
        <f>IFERROR(__xludf.DUMMYFUNCTION("""COMPUTED_VALUE"""),"Gaurav Munjal")</f>
        <v>Gaurav Munjal</v>
      </c>
      <c r="C961" s="17" t="str">
        <f>IFERROR(__xludf.DUMMYFUNCTION("""COMPUTED_VALUE"""),"Co-founder/CEO")</f>
        <v>Co-founder/CEO</v>
      </c>
      <c r="D961" s="17"/>
      <c r="E961" s="17"/>
      <c r="F961" s="17" t="str">
        <f>IFERROR(__xludf.DUMMYFUNCTION("""COMPUTED_VALUE"""),"Gauravmunjal@unacademy.com")</f>
        <v>Gauravmunjal@unacademy.com</v>
      </c>
      <c r="G961" s="17"/>
      <c r="H961" s="17"/>
    </row>
    <row r="962">
      <c r="A962" s="17" t="str">
        <f>IFERROR(__xludf.DUMMYFUNCTION("""COMPUTED_VALUE"""),"Unacademy")</f>
        <v>Unacademy</v>
      </c>
      <c r="B962" s="17" t="str">
        <f>IFERROR(__xludf.DUMMYFUNCTION("""COMPUTED_VALUE"""),"Hemesh Singh")</f>
        <v>Hemesh Singh</v>
      </c>
      <c r="C962" s="17" t="str">
        <f>IFERROR(__xludf.DUMMYFUNCTION("""COMPUTED_VALUE"""),"Co-founder/CTO")</f>
        <v>Co-founder/CTO</v>
      </c>
      <c r="D962" s="17"/>
      <c r="E962" s="17"/>
      <c r="F962" s="17" t="str">
        <f>IFERROR(__xludf.DUMMYFUNCTION("""COMPUTED_VALUE"""),"Hemeshsingh@unacademy.com")</f>
        <v>Hemeshsingh@unacademy.com</v>
      </c>
      <c r="G962" s="17"/>
      <c r="H962" s="17"/>
    </row>
    <row r="963">
      <c r="A963" s="17" t="str">
        <f>IFERROR(__xludf.DUMMYFUNCTION("""COMPUTED_VALUE"""),"Unacademy")</f>
        <v>Unacademy</v>
      </c>
      <c r="B963" s="17" t="str">
        <f>IFERROR(__xludf.DUMMYFUNCTION("""COMPUTED_VALUE"""),"Roman Saini")</f>
        <v>Roman Saini</v>
      </c>
      <c r="C963" s="17" t="str">
        <f>IFERROR(__xludf.DUMMYFUNCTION("""COMPUTED_VALUE"""),"Co-founder")</f>
        <v>Co-founder</v>
      </c>
      <c r="D963" s="17"/>
      <c r="E963" s="17"/>
      <c r="F963" s="17" t="str">
        <f>IFERROR(__xludf.DUMMYFUNCTION("""COMPUTED_VALUE"""),"romansaini@unacademy.com")</f>
        <v>romansaini@unacademy.com</v>
      </c>
      <c r="G963" s="17"/>
      <c r="H963" s="17"/>
    </row>
    <row r="964">
      <c r="A964" s="17" t="str">
        <f>IFERROR(__xludf.DUMMYFUNCTION("""COMPUTED_VALUE"""),"DeHaat")</f>
        <v>DeHaat</v>
      </c>
      <c r="B964" s="17" t="str">
        <f>IFERROR(__xludf.DUMMYFUNCTION("""COMPUTED_VALUE"""),"Adarsh Srivastava")</f>
        <v>Adarsh Srivastava</v>
      </c>
      <c r="C964" s="17" t="str">
        <f>IFERROR(__xludf.DUMMYFUNCTION("""COMPUTED_VALUE"""),"Co-founder")</f>
        <v>Co-founder</v>
      </c>
      <c r="D964" s="27" t="str">
        <f>IFERROR(__xludf.DUMMYFUNCTION("""COMPUTED_VALUE"""),"https://www.linkedin.com/in/adarsh-srivastava-902008b1/?originalSubdomain=in")</f>
        <v>https://www.linkedin.com/in/adarsh-srivastava-902008b1/?originalSubdomain=in</v>
      </c>
      <c r="E964" s="17"/>
      <c r="F964" s="17" t="str">
        <f>IFERROR(__xludf.DUMMYFUNCTION("""COMPUTED_VALUE"""),"adarsh@agrevolution.in")</f>
        <v>adarsh@agrevolution.in</v>
      </c>
      <c r="G964" s="17"/>
      <c r="H964" s="17"/>
    </row>
    <row r="965">
      <c r="A965" s="17" t="str">
        <f>IFERROR(__xludf.DUMMYFUNCTION("""COMPUTED_VALUE"""),"Cashfree")</f>
        <v>Cashfree</v>
      </c>
      <c r="B965" s="17" t="str">
        <f>IFERROR(__xludf.DUMMYFUNCTION("""COMPUTED_VALUE"""),"Aditi Olemann")</f>
        <v>Aditi Olemann</v>
      </c>
      <c r="C965" s="17" t="str">
        <f>IFERROR(__xludf.DUMMYFUNCTION("""COMPUTED_VALUE"""),"Co-founder")</f>
        <v>Co-founder</v>
      </c>
      <c r="D965" s="27" t="str">
        <f>IFERROR(__xludf.DUMMYFUNCTION("""COMPUTED_VALUE"""),"https://www.linkedin.com/in/olemann/?originalSubdomain=in")</f>
        <v>https://www.linkedin.com/in/olemann/?originalSubdomain=in</v>
      </c>
      <c r="E965" s="17"/>
      <c r="F965" s="17" t="str">
        <f>IFERROR(__xludf.DUMMYFUNCTION("""COMPUTED_VALUE"""),"aditi.olemann@cashfree.com")</f>
        <v>aditi.olemann@cashfree.com</v>
      </c>
      <c r="G965" s="17"/>
      <c r="H965" s="17"/>
    </row>
    <row r="966">
      <c r="A966" s="17" t="str">
        <f>IFERROR(__xludf.DUMMYFUNCTION("""COMPUTED_VALUE"""),"Netradyne")</f>
        <v>Netradyne</v>
      </c>
      <c r="B966" s="17" t="str">
        <f>IFERROR(__xludf.DUMMYFUNCTION("""COMPUTED_VALUE"""),"Amith Kumar")</f>
        <v>Amith Kumar</v>
      </c>
      <c r="C966" s="17" t="str">
        <f>IFERROR(__xludf.DUMMYFUNCTION("""COMPUTED_VALUE"""),"Co-founder")</f>
        <v>Co-founder</v>
      </c>
      <c r="D966" s="27" t="str">
        <f>IFERROR(__xludf.DUMMYFUNCTION("""COMPUTED_VALUE"""),"https://www.linkedin.com/in/amit-kumar-marketing/?original_referer=https%3A%2F%2Fwww%2Egoogle%2Ecom%2F&amp;originalSubdomain=in")</f>
        <v>https://www.linkedin.com/in/amit-kumar-marketing/?original_referer=https%3A%2F%2Fwww%2Egoogle%2Ecom%2F&amp;originalSubdomain=in</v>
      </c>
      <c r="E966" s="17" t="str">
        <f>IFERROR(__xludf.DUMMYFUNCTION("""COMPUTED_VALUE"""),"919530284335")</f>
        <v>919530284335</v>
      </c>
      <c r="F966" s="17" t="str">
        <f>IFERROR(__xludf.DUMMYFUNCTION("""COMPUTED_VALUE"""),"amit8022@yahoo.co.in")</f>
        <v>amit8022@yahoo.co.in</v>
      </c>
      <c r="G966" s="17"/>
      <c r="H966" s="17"/>
    </row>
    <row r="967">
      <c r="A967" s="17" t="str">
        <f>IFERROR(__xludf.DUMMYFUNCTION("""COMPUTED_VALUE"""),"BankBazaar")</f>
        <v>BankBazaar</v>
      </c>
      <c r="B967" s="17" t="str">
        <f>IFERROR(__xludf.DUMMYFUNCTION("""COMPUTED_VALUE"""),"Aparna Mahesh")</f>
        <v>Aparna Mahesh</v>
      </c>
      <c r="C967" s="17" t="str">
        <f>IFERROR(__xludf.DUMMYFUNCTION("""COMPUTED_VALUE"""),"Co-founder")</f>
        <v>Co-founder</v>
      </c>
      <c r="D967" s="27" t="str">
        <f>IFERROR(__xludf.DUMMYFUNCTION("""COMPUTED_VALUE"""),"https://www.linkedin.com/in/aparnamahesh/?originalSubdomain=in")</f>
        <v>https://www.linkedin.com/in/aparnamahesh/?originalSubdomain=in</v>
      </c>
      <c r="E967" s="17"/>
      <c r="F967" s="17" t="str">
        <f>IFERROR(__xludf.DUMMYFUNCTION("""COMPUTED_VALUE"""),"aparnamahesh@gmail.com")</f>
        <v>aparnamahesh@gmail.com</v>
      </c>
      <c r="G967" s="17"/>
      <c r="H967" s="17"/>
    </row>
    <row r="968">
      <c r="A968" s="17" t="str">
        <f>IFERROR(__xludf.DUMMYFUNCTION("""COMPUTED_VALUE"""),"Jupiter")</f>
        <v>Jupiter</v>
      </c>
      <c r="B968" s="17" t="str">
        <f>IFERROR(__xludf.DUMMYFUNCTION("""COMPUTED_VALUE"""),"Apurv Narang")</f>
        <v>Apurv Narang</v>
      </c>
      <c r="C968" s="17" t="str">
        <f>IFERROR(__xludf.DUMMYFUNCTION("""COMPUTED_VALUE"""),"Co-founder")</f>
        <v>Co-founder</v>
      </c>
      <c r="D968" s="27" t="str">
        <f>IFERROR(__xludf.DUMMYFUNCTION("""COMPUTED_VALUE"""),"https://www.linkedin.com/in/apurv-narang-43585856/?originalSubdomain=in")</f>
        <v>https://www.linkedin.com/in/apurv-narang-43585856/?originalSubdomain=in</v>
      </c>
      <c r="E968" s="17"/>
      <c r="F968" s="17" t="str">
        <f>IFERROR(__xludf.DUMMYFUNCTION("""COMPUTED_VALUE"""),"apurv@scapia.cards")</f>
        <v>apurv@scapia.cards</v>
      </c>
      <c r="G968" s="17"/>
      <c r="H968" s="17"/>
    </row>
    <row r="969">
      <c r="A969" s="17" t="str">
        <f>IFERROR(__xludf.DUMMYFUNCTION("""COMPUTED_VALUE"""),"Zaggle")</f>
        <v>Zaggle</v>
      </c>
      <c r="B969" s="17" t="str">
        <f>IFERROR(__xludf.DUMMYFUNCTION("""COMPUTED_VALUE"""),"Arati Parashar")</f>
        <v>Arati Parashar</v>
      </c>
      <c r="C969" s="17" t="str">
        <f>IFERROR(__xludf.DUMMYFUNCTION("""COMPUTED_VALUE"""),"Co-founder")</f>
        <v>Co-founder</v>
      </c>
      <c r="D969" s="27" t="str">
        <f>IFERROR(__xludf.DUMMYFUNCTION("""COMPUTED_VALUE"""),"https://www.linkedin.com/in/arati-parashar/?originalSubdomain=in")</f>
        <v>https://www.linkedin.com/in/arati-parashar/?originalSubdomain=in</v>
      </c>
      <c r="E969" s="17"/>
      <c r="F969" s="17" t="str">
        <f>IFERROR(__xludf.DUMMYFUNCTION("""COMPUTED_VALUE"""),"arati.parashar@zaggle.in")</f>
        <v>arati.parashar@zaggle.in</v>
      </c>
      <c r="G969" s="17"/>
      <c r="H969" s="17"/>
    </row>
    <row r="970">
      <c r="A970" s="17" t="str">
        <f>IFERROR(__xludf.DUMMYFUNCTION("""COMPUTED_VALUE"""),"Balancehero India")</f>
        <v>Balancehero India</v>
      </c>
      <c r="B970" s="17" t="str">
        <f>IFERROR(__xludf.DUMMYFUNCTION("""COMPUTED_VALUE"""),"Ashish Aggarwal")</f>
        <v>Ashish Aggarwal</v>
      </c>
      <c r="C970" s="17" t="str">
        <f>IFERROR(__xludf.DUMMYFUNCTION("""COMPUTED_VALUE"""),"Co-founder")</f>
        <v>Co-founder</v>
      </c>
      <c r="D970" s="27" t="str">
        <f>IFERROR(__xludf.DUMMYFUNCTION("""COMPUTED_VALUE"""),"https://www.linkedin.com/in/ashishbits/?originalSubdomain=in")</f>
        <v>https://www.linkedin.com/in/ashishbits/?originalSubdomain=in</v>
      </c>
      <c r="E970" s="17"/>
      <c r="F970" s="17" t="str">
        <f>IFERROR(__xludf.DUMMYFUNCTION("""COMPUTED_VALUE"""),"ashishbitspilani@gmail.com")</f>
        <v>ashishbitspilani@gmail.com</v>
      </c>
      <c r="G970" s="17"/>
      <c r="H970" s="17"/>
    </row>
    <row r="971">
      <c r="A971" s="17" t="str">
        <f>IFERROR(__xludf.DUMMYFUNCTION("""COMPUTED_VALUE"""),"MoEngage")</f>
        <v>MoEngage</v>
      </c>
      <c r="B971" s="17" t="str">
        <f>IFERROR(__xludf.DUMMYFUNCTION("""COMPUTED_VALUE"""),"Ashwin Shimoga")</f>
        <v>Ashwin Shimoga</v>
      </c>
      <c r="C971" s="17" t="str">
        <f>IFERROR(__xludf.DUMMYFUNCTION("""COMPUTED_VALUE"""),"Co-founder")</f>
        <v>Co-founder</v>
      </c>
      <c r="D971" s="27" t="str">
        <f>IFERROR(__xludf.DUMMYFUNCTION("""COMPUTED_VALUE"""),"https://www.linkedin.com/in/ashwinsl/?originalSubdomain=in")</f>
        <v>https://www.linkedin.com/in/ashwinsl/?originalSubdomain=in</v>
      </c>
      <c r="E971" s="17"/>
      <c r="F971" s="17" t="str">
        <f>IFERROR(__xludf.DUMMYFUNCTION("""COMPUTED_VALUE"""),"ashwin.shimoga@innovapptive.com")</f>
        <v>ashwin.shimoga@innovapptive.com</v>
      </c>
      <c r="G971" s="17"/>
      <c r="H971" s="17"/>
    </row>
    <row r="972">
      <c r="A972" s="17" t="str">
        <f>IFERROR(__xludf.DUMMYFUNCTION("""COMPUTED_VALUE"""),"Mswipe")</f>
        <v>Mswipe</v>
      </c>
      <c r="B972" s="17" t="str">
        <f>IFERROR(__xludf.DUMMYFUNCTION("""COMPUTED_VALUE"""),"Harita Desai")</f>
        <v>Harita Desai</v>
      </c>
      <c r="C972" s="17" t="str">
        <f>IFERROR(__xludf.DUMMYFUNCTION("""COMPUTED_VALUE"""),"Co-founder")</f>
        <v>Co-founder</v>
      </c>
      <c r="D972" s="27" t="str">
        <f>IFERROR(__xludf.DUMMYFUNCTION("""COMPUTED_VALUE"""),"https://www.linkedin.com/in/harita-desai-jani-0272716/?originalSubdomain=in")</f>
        <v>https://www.linkedin.com/in/harita-desai-jani-0272716/?originalSubdomain=in</v>
      </c>
      <c r="E972" s="17"/>
      <c r="F972" s="17" t="str">
        <f>IFERROR(__xludf.DUMMYFUNCTION("""COMPUTED_VALUE"""),"harita.desai@360.one")</f>
        <v>harita.desai@360.one</v>
      </c>
      <c r="G972" s="17"/>
      <c r="H972" s="17"/>
    </row>
    <row r="973">
      <c r="A973" s="17" t="str">
        <f>IFERROR(__xludf.DUMMYFUNCTION("""COMPUTED_VALUE"""),"KreditBee")</f>
        <v>KreditBee</v>
      </c>
      <c r="B973" s="17" t="str">
        <f>IFERROR(__xludf.DUMMYFUNCTION("""COMPUTED_VALUE"""),"Ishan Bose")</f>
        <v>Ishan Bose</v>
      </c>
      <c r="C973" s="17" t="str">
        <f>IFERROR(__xludf.DUMMYFUNCTION("""COMPUTED_VALUE"""),"Co-founder")</f>
        <v>Co-founder</v>
      </c>
      <c r="D973" s="27" t="str">
        <f>IFERROR(__xludf.DUMMYFUNCTION("""COMPUTED_VALUE"""),"https://www.linkedin.com/in/ishanbose31/?originalSubdomain=in")</f>
        <v>https://www.linkedin.com/in/ishanbose31/?originalSubdomain=in</v>
      </c>
      <c r="E973" s="17"/>
      <c r="F973" s="17" t="str">
        <f>IFERROR(__xludf.DUMMYFUNCTION("""COMPUTED_VALUE"""),"ishan@kreditbee.in")</f>
        <v>ishan@kreditbee.in</v>
      </c>
      <c r="G973" s="17" t="str">
        <f>IFERROR(__xludf.DUMMYFUNCTION("""COMPUTED_VALUE"""),"ishanbose31@gmail.com")</f>
        <v>ishanbose31@gmail.com</v>
      </c>
      <c r="H973" s="17"/>
    </row>
    <row r="974">
      <c r="A974" s="17" t="str">
        <f>IFERROR(__xludf.DUMMYFUNCTION("""COMPUTED_VALUE"""),"Pratilipi")</f>
        <v>Pratilipi</v>
      </c>
      <c r="B974" s="17" t="str">
        <f>IFERROR(__xludf.DUMMYFUNCTION("""COMPUTED_VALUE"""),"Mayank Drolia")</f>
        <v>Mayank Drolia</v>
      </c>
      <c r="C974" s="17" t="str">
        <f>IFERROR(__xludf.DUMMYFUNCTION("""COMPUTED_VALUE"""),"Co-founder")</f>
        <v>Co-founder</v>
      </c>
      <c r="D974" s="27" t="str">
        <f>IFERROR(__xludf.DUMMYFUNCTION("""COMPUTED_VALUE"""),"https://www.linkedin.com/in/mayankdrolia/?originalSubdomain=in")</f>
        <v>https://www.linkedin.com/in/mayankdrolia/?originalSubdomain=in</v>
      </c>
      <c r="E974" s="17"/>
      <c r="F974" s="17" t="str">
        <f>IFERROR(__xludf.DUMMYFUNCTION("""COMPUTED_VALUE"""),"mayank@pratilipi.com")</f>
        <v>mayank@pratilipi.com</v>
      </c>
      <c r="G974" s="17"/>
      <c r="H974" s="17"/>
    </row>
    <row r="975">
      <c r="A975" s="17" t="str">
        <f>IFERROR(__xludf.DUMMYFUNCTION("""COMPUTED_VALUE"""),"Stashfin")</f>
        <v>Stashfin</v>
      </c>
      <c r="B975" s="17" t="str">
        <f>IFERROR(__xludf.DUMMYFUNCTION("""COMPUTED_VALUE"""),"Monika Mishra")</f>
        <v>Monika Mishra</v>
      </c>
      <c r="C975" s="17" t="str">
        <f>IFERROR(__xludf.DUMMYFUNCTION("""COMPUTED_VALUE"""),"Co-founder")</f>
        <v>Co-founder</v>
      </c>
      <c r="D975" s="27" t="str">
        <f>IFERROR(__xludf.DUMMYFUNCTION("""COMPUTED_VALUE"""),"https://www.linkedin.com/in/monikamishra/?originalSubdomain=in")</f>
        <v>https://www.linkedin.com/in/monikamishra/?originalSubdomain=in</v>
      </c>
      <c r="E975" s="17" t="str">
        <f>IFERROR(__xludf.DUMMYFUNCTION("""COMPUTED_VALUE"""),"19088480262")</f>
        <v>19088480262</v>
      </c>
      <c r="F975" s="17" t="str">
        <f>IFERROR(__xludf.DUMMYFUNCTION("""COMPUTED_VALUE"""),"mmishra0689@gmail.com")</f>
        <v>mmishra0689@gmail.com</v>
      </c>
      <c r="G975" s="17"/>
      <c r="H975" s="17"/>
    </row>
    <row r="976">
      <c r="A976" s="17" t="str">
        <f>IFERROR(__xludf.DUMMYFUNCTION("""COMPUTED_VALUE"""),"LambdaTest")</f>
        <v>LambdaTest</v>
      </c>
      <c r="B976" s="17" t="str">
        <f>IFERROR(__xludf.DUMMYFUNCTION("""COMPUTED_VALUE"""),"Mudit Singh")</f>
        <v>Mudit Singh</v>
      </c>
      <c r="C976" s="17" t="str">
        <f>IFERROR(__xludf.DUMMYFUNCTION("""COMPUTED_VALUE"""),"Co-founder")</f>
        <v>Co-founder</v>
      </c>
      <c r="D976" s="27" t="str">
        <f>IFERROR(__xludf.DUMMYFUNCTION("""COMPUTED_VALUE"""),"https://www.linkedin.com/in/muditsingh5000/?originalSubdomain=in")</f>
        <v>https://www.linkedin.com/in/muditsingh5000/?originalSubdomain=in</v>
      </c>
      <c r="E976" s="17"/>
      <c r="F976" s="17" t="str">
        <f>IFERROR(__xludf.DUMMYFUNCTION("""COMPUTED_VALUE"""),"mudits@lambdatest.com")</f>
        <v>mudits@lambdatest.com</v>
      </c>
      <c r="G976" s="17"/>
      <c r="H976" s="17"/>
    </row>
    <row r="977">
      <c r="A977" s="17" t="str">
        <f>IFERROR(__xludf.DUMMYFUNCTION("""COMPUTED_VALUE"""),"Yulu")</f>
        <v>Yulu</v>
      </c>
      <c r="B977" s="17" t="str">
        <f>IFERROR(__xludf.DUMMYFUNCTION("""COMPUTED_VALUE"""),"Neeraj Kumar")</f>
        <v>Neeraj Kumar</v>
      </c>
      <c r="C977" s="17" t="str">
        <f>IFERROR(__xludf.DUMMYFUNCTION("""COMPUTED_VALUE"""),"Co-founder/CTO")</f>
        <v>Co-founder/CTO</v>
      </c>
      <c r="D977" s="27" t="str">
        <f>IFERROR(__xludf.DUMMYFUNCTION("""COMPUTED_VALUE"""),"https://www.linkedin.com/in/neerajkumar10/?originalSubdomain=in")</f>
        <v>https://www.linkedin.com/in/neerajkumar10/?originalSubdomain=in</v>
      </c>
      <c r="E977" s="17"/>
      <c r="F977" s="17" t="str">
        <f>IFERROR(__xludf.DUMMYFUNCTION("""COMPUTED_VALUE"""),"neeraj.kumar@yulu.bike")</f>
        <v>neeraj.kumar@yulu.bike</v>
      </c>
      <c r="G977" s="17"/>
      <c r="H977" s="17"/>
    </row>
    <row r="978">
      <c r="A978" s="17" t="str">
        <f>IFERROR(__xludf.DUMMYFUNCTION("""COMPUTED_VALUE"""),"Medikabazaar")</f>
        <v>Medikabazaar</v>
      </c>
      <c r="B978" s="17" t="str">
        <f>IFERROR(__xludf.DUMMYFUNCTION("""COMPUTED_VALUE"""),"Nimisha Bhagwat")</f>
        <v>Nimisha Bhagwat</v>
      </c>
      <c r="C978" s="17" t="str">
        <f>IFERROR(__xludf.DUMMYFUNCTION("""COMPUTED_VALUE"""),"Co-founder/CTO")</f>
        <v>Co-founder/CTO</v>
      </c>
      <c r="D978" s="27" t="str">
        <f>IFERROR(__xludf.DUMMYFUNCTION("""COMPUTED_VALUE"""),"https://www.linkedin.com/in/nimisha-bhagwat-8465704/?originalSubdomain=in")</f>
        <v>https://www.linkedin.com/in/nimisha-bhagwat-8465704/?originalSubdomain=in</v>
      </c>
      <c r="E978" s="17"/>
      <c r="F978" s="17" t="str">
        <f>IFERROR(__xludf.DUMMYFUNCTION("""COMPUTED_VALUE"""),"nimisha.bhagwat@medikabazaar.com")</f>
        <v>nimisha.bhagwat@medikabazaar.com</v>
      </c>
      <c r="G978" s="17"/>
      <c r="H978" s="17"/>
    </row>
    <row r="979">
      <c r="A979" s="17" t="str">
        <f>IFERROR(__xludf.DUMMYFUNCTION("""COMPUTED_VALUE"""),"Finova Capital")</f>
        <v>Finova Capital</v>
      </c>
      <c r="B979" s="17" t="str">
        <f>IFERROR(__xludf.DUMMYFUNCTION("""COMPUTED_VALUE"""),"Praful Ranjan")</f>
        <v>Praful Ranjan</v>
      </c>
      <c r="C979" s="17" t="str">
        <f>IFERROR(__xludf.DUMMYFUNCTION("""COMPUTED_VALUE"""),"Co-founder/CTO")</f>
        <v>Co-founder/CTO</v>
      </c>
      <c r="D979" s="27" t="str">
        <f>IFERROR(__xludf.DUMMYFUNCTION("""COMPUTED_VALUE"""),"https://www.linkedin.com/in/praful-ranjan-83784313/?originalSubdomain=in")</f>
        <v>https://www.linkedin.com/in/praful-ranjan-83784313/?originalSubdomain=in</v>
      </c>
      <c r="E979" s="17"/>
      <c r="F979" s="17" t="str">
        <f>IFERROR(__xludf.DUMMYFUNCTION("""COMPUTED_VALUE"""),"pranjan@finova.in")</f>
        <v>pranjan@finova.in</v>
      </c>
      <c r="G979" s="17"/>
      <c r="H979" s="17"/>
    </row>
    <row r="980">
      <c r="A980" s="17" t="str">
        <f>IFERROR(__xludf.DUMMYFUNCTION("""COMPUTED_VALUE"""),"Stanza Living")</f>
        <v>Stanza Living</v>
      </c>
      <c r="B980" s="17" t="str">
        <f>IFERROR(__xludf.DUMMYFUNCTION("""COMPUTED_VALUE"""),"Prajeesh Vijayan")</f>
        <v>Prajeesh Vijayan</v>
      </c>
      <c r="C980" s="17" t="str">
        <f>IFERROR(__xludf.DUMMYFUNCTION("""COMPUTED_VALUE"""),"Co-founder/CTO")</f>
        <v>Co-founder/CTO</v>
      </c>
      <c r="D980" s="27" t="str">
        <f>IFERROR(__xludf.DUMMYFUNCTION("""COMPUTED_VALUE"""),"https://www.linkedin.com/in/prajeesh-vijayan-b68a5015/?originalSubdomain=in")</f>
        <v>https://www.linkedin.com/in/prajeesh-vijayan-b68a5015/?originalSubdomain=in</v>
      </c>
      <c r="E980" s="17"/>
      <c r="F980" s="17" t="str">
        <f>IFERROR(__xludf.DUMMYFUNCTION("""COMPUTED_VALUE"""),"prajime@gmail.com")</f>
        <v>prajime@gmail.com</v>
      </c>
      <c r="G980" s="17"/>
      <c r="H980" s="17"/>
    </row>
    <row r="981">
      <c r="A981" s="17" t="str">
        <f>IFERROR(__xludf.DUMMYFUNCTION("""COMPUTED_VALUE"""),"Zenwork")</f>
        <v>Zenwork</v>
      </c>
      <c r="B981" s="17" t="str">
        <f>IFERROR(__xludf.DUMMYFUNCTION("""COMPUTED_VALUE"""),"Pranav Kumar")</f>
        <v>Pranav Kumar</v>
      </c>
      <c r="C981" s="17" t="str">
        <f>IFERROR(__xludf.DUMMYFUNCTION("""COMPUTED_VALUE"""),"Co-founder/CTO")</f>
        <v>Co-founder/CTO</v>
      </c>
      <c r="D981" s="27" t="str">
        <f>IFERROR(__xludf.DUMMYFUNCTION("""COMPUTED_VALUE"""),"https://www.linkedin.com/in/pranavkumar88/?originalSubdomain=in")</f>
        <v>https://www.linkedin.com/in/pranavkumar88/?originalSubdomain=in</v>
      </c>
      <c r="E981" s="17"/>
      <c r="F981" s="17" t="str">
        <f>IFERROR(__xludf.DUMMYFUNCTION("""COMPUTED_VALUE"""),"pranav@zenwork.com")</f>
        <v>pranav@zenwork.com</v>
      </c>
      <c r="G981" s="17"/>
      <c r="H981" s="17"/>
    </row>
    <row r="982">
      <c r="A982" s="17" t="str">
        <f>IFERROR(__xludf.DUMMYFUNCTION("""COMPUTED_VALUE"""),"Money View")</f>
        <v>Money View</v>
      </c>
      <c r="B982" s="17" t="str">
        <f>IFERROR(__xludf.DUMMYFUNCTION("""COMPUTED_VALUE"""),"Prasanth Naidu")</f>
        <v>Prasanth Naidu</v>
      </c>
      <c r="C982" s="17" t="str">
        <f>IFERROR(__xludf.DUMMYFUNCTION("""COMPUTED_VALUE"""),"Co-founder/CTO")</f>
        <v>Co-founder/CTO</v>
      </c>
      <c r="D982" s="27" t="str">
        <f>IFERROR(__xludf.DUMMYFUNCTION("""COMPUTED_VALUE"""),"https://www.linkedin.com/in/prasanth-naidu-9b05a638/?originalSubdomain=in")</f>
        <v>https://www.linkedin.com/in/prasanth-naidu-9b05a638/?originalSubdomain=in</v>
      </c>
      <c r="E982" s="17"/>
      <c r="F982" s="17" t="str">
        <f>IFERROR(__xludf.DUMMYFUNCTION("""COMPUTED_VALUE"""),"prasanth.naidu@moneyview.in")</f>
        <v>prasanth.naidu@moneyview.in</v>
      </c>
      <c r="G982" s="17"/>
      <c r="H982" s="17"/>
    </row>
    <row r="983">
      <c r="A983" s="17" t="str">
        <f>IFERROR(__xludf.DUMMYFUNCTION("""COMPUTED_VALUE"""),"Lendingkart")</f>
        <v>Lendingkart</v>
      </c>
      <c r="B983" s="17" t="str">
        <f>IFERROR(__xludf.DUMMYFUNCTION("""COMPUTED_VALUE"""),"Ram Deshpande")</f>
        <v>Ram Deshpande</v>
      </c>
      <c r="C983" s="17" t="str">
        <f>IFERROR(__xludf.DUMMYFUNCTION("""COMPUTED_VALUE"""),"Co-founder/CTO")</f>
        <v>Co-founder/CTO</v>
      </c>
      <c r="D983" s="27" t="str">
        <f>IFERROR(__xludf.DUMMYFUNCTION("""COMPUTED_VALUE"""),"https://www.linkedin.com/in/ram-deshpande-ramd316/?originalSubdomain=in")</f>
        <v>https://www.linkedin.com/in/ram-deshpande-ramd316/?originalSubdomain=in</v>
      </c>
      <c r="E983" s="17" t="str">
        <f>IFERROR(__xludf.DUMMYFUNCTION("""COMPUTED_VALUE"""),"95608 96119")</f>
        <v>95608 96119</v>
      </c>
      <c r="F983" s="17" t="str">
        <f>IFERROR(__xludf.DUMMYFUNCTION("""COMPUTED_VALUE"""),"ram.deshpande@gmail.com")</f>
        <v>ram.deshpande@gmail.com</v>
      </c>
      <c r="G983" s="17" t="str">
        <f>IFERROR(__xludf.DUMMYFUNCTION("""COMPUTED_VALUE"""),"ramdeshpande@gmail.com")</f>
        <v>ramdeshpande@gmail.com</v>
      </c>
      <c r="H983" s="17"/>
    </row>
    <row r="984">
      <c r="A984" s="17" t="str">
        <f>IFERROR(__xludf.DUMMYFUNCTION("""COMPUTED_VALUE"""),"GIVA")</f>
        <v>GIVA</v>
      </c>
      <c r="B984" s="17" t="str">
        <f>IFERROR(__xludf.DUMMYFUNCTION("""COMPUTED_VALUE"""),"Resha jain")</f>
        <v>Resha jain</v>
      </c>
      <c r="C984" s="17" t="str">
        <f>IFERROR(__xludf.DUMMYFUNCTION("""COMPUTED_VALUE"""),"Co-founder/CTO")</f>
        <v>Co-founder/CTO</v>
      </c>
      <c r="D984" s="27" t="str">
        <f>IFERROR(__xludf.DUMMYFUNCTION("""COMPUTED_VALUE"""),"https://www.linkedin.com/in/resha-jain-4864007/?originalSubdomain=in")</f>
        <v>https://www.linkedin.com/in/resha-jain-4864007/?originalSubdomain=in</v>
      </c>
      <c r="E984" s="17" t="str">
        <f>IFERROR(__xludf.DUMMYFUNCTION("""COMPUTED_VALUE"""),"919845665413")</f>
        <v>919845665413</v>
      </c>
      <c r="F984" s="17" t="str">
        <f>IFERROR(__xludf.DUMMYFUNCTION("""COMPUTED_VALUE"""),"reshajain@gmail.com")</f>
        <v>reshajain@gmail.com</v>
      </c>
      <c r="G984" s="17"/>
      <c r="H984" s="17"/>
    </row>
    <row r="985">
      <c r="A985" s="17" t="str">
        <f>IFERROR(__xludf.DUMMYFUNCTION("""COMPUTED_VALUE"""),"PayMate")</f>
        <v>PayMate</v>
      </c>
      <c r="B985" s="17" t="str">
        <f>IFERROR(__xludf.DUMMYFUNCTION("""COMPUTED_VALUE"""),"Roopali Kagalwala")</f>
        <v>Roopali Kagalwala</v>
      </c>
      <c r="C985" s="17" t="str">
        <f>IFERROR(__xludf.DUMMYFUNCTION("""COMPUTED_VALUE"""),"Co-founder/CTO")</f>
        <v>Co-founder/CTO</v>
      </c>
      <c r="D985" s="27" t="str">
        <f>IFERROR(__xludf.DUMMYFUNCTION("""COMPUTED_VALUE"""),"https://www.linkedin.com/in/roopalikagalwala/?originalSubdomain=in")</f>
        <v>https://www.linkedin.com/in/roopalikagalwala/?originalSubdomain=in</v>
      </c>
      <c r="E985" s="17"/>
      <c r="F985" s="17" t="str">
        <f>IFERROR(__xludf.DUMMYFUNCTION("""COMPUTED_VALUE"""),"roops91277@yahoo.com")</f>
        <v>roops91277@yahoo.com</v>
      </c>
      <c r="G985" s="17"/>
      <c r="H985" s="17"/>
    </row>
    <row r="986">
      <c r="A986" s="17" t="str">
        <f>IFERROR(__xludf.DUMMYFUNCTION("""COMPUTED_VALUE"""),"Turtlemint")</f>
        <v>Turtlemint</v>
      </c>
      <c r="B986" s="17" t="str">
        <f>IFERROR(__xludf.DUMMYFUNCTION("""COMPUTED_VALUE"""),"Saunak Ghosh")</f>
        <v>Saunak Ghosh</v>
      </c>
      <c r="C986" s="17" t="str">
        <f>IFERROR(__xludf.DUMMYFUNCTION("""COMPUTED_VALUE"""),"Co-founder/CTO")</f>
        <v>Co-founder/CTO</v>
      </c>
      <c r="D986" s="27" t="str">
        <f>IFERROR(__xludf.DUMMYFUNCTION("""COMPUTED_VALUE"""),"https://www.linkedin.com/in/saunakghosh/?originalSubdomain=in")</f>
        <v>https://www.linkedin.com/in/saunakghosh/?originalSubdomain=in</v>
      </c>
      <c r="E986" s="17"/>
      <c r="F986" s="17" t="str">
        <f>IFERROR(__xludf.DUMMYFUNCTION("""COMPUTED_VALUE"""),"saunakghosh@gmail.com")</f>
        <v>saunakghosh@gmail.com</v>
      </c>
      <c r="G986" s="17"/>
      <c r="H986" s="17"/>
    </row>
    <row r="987">
      <c r="A987" s="17" t="str">
        <f>IFERROR(__xludf.DUMMYFUNCTION("""COMPUTED_VALUE"""),"Zolve")</f>
        <v>Zolve</v>
      </c>
      <c r="B987" s="17" t="str">
        <f>IFERROR(__xludf.DUMMYFUNCTION("""COMPUTED_VALUE"""),"Savijeet Singh")</f>
        <v>Savijeet Singh</v>
      </c>
      <c r="C987" s="17" t="str">
        <f>IFERROR(__xludf.DUMMYFUNCTION("""COMPUTED_VALUE"""),"Co-founder/CTO")</f>
        <v>Co-founder/CTO</v>
      </c>
      <c r="D987" s="27" t="str">
        <f>IFERROR(__xludf.DUMMYFUNCTION("""COMPUTED_VALUE"""),"https://www.linkedin.com/in/savijeetsingh/?originalSubdomain=in")</f>
        <v>https://www.linkedin.com/in/savijeetsingh/?originalSubdomain=in</v>
      </c>
      <c r="E987" s="17"/>
      <c r="F987" s="17" t="str">
        <f>IFERROR(__xludf.DUMMYFUNCTION("""COMPUTED_VALUE"""),"savijeet21@yahoo.in")</f>
        <v>savijeet21@yahoo.in</v>
      </c>
      <c r="G987" s="17"/>
      <c r="H987" s="17"/>
    </row>
    <row r="988">
      <c r="A988" s="17" t="str">
        <f>IFERROR(__xludf.DUMMYFUNCTION("""COMPUTED_VALUE"""),"Kissht")</f>
        <v>Kissht</v>
      </c>
      <c r="B988" s="17" t="str">
        <f>IFERROR(__xludf.DUMMYFUNCTION("""COMPUTED_VALUE"""),"Shwetha Iyer")</f>
        <v>Shwetha Iyer</v>
      </c>
      <c r="C988" s="17" t="str">
        <f>IFERROR(__xludf.DUMMYFUNCTION("""COMPUTED_VALUE"""),"Co-founder/CTO")</f>
        <v>Co-founder/CTO</v>
      </c>
      <c r="D988" s="27" t="str">
        <f>IFERROR(__xludf.DUMMYFUNCTION("""COMPUTED_VALUE"""),"https://www.linkedin.com/in/shwetha811/?originalSubdomain=in")</f>
        <v>https://www.linkedin.com/in/shwetha811/?originalSubdomain=in</v>
      </c>
      <c r="E988" s="17"/>
      <c r="F988" s="17" t="str">
        <f>IFERROR(__xludf.DUMMYFUNCTION("""COMPUTED_VALUE"""),"shwetha.iyer@kissht.com")</f>
        <v>shwetha.iyer@kissht.com</v>
      </c>
      <c r="G988" s="17"/>
      <c r="H988" s="17"/>
    </row>
    <row r="989">
      <c r="A989" s="17" t="str">
        <f>IFERROR(__xludf.DUMMYFUNCTION("""COMPUTED_VALUE"""),"Simple Energy")</f>
        <v>Simple Energy</v>
      </c>
      <c r="B989" s="17" t="str">
        <f>IFERROR(__xludf.DUMMYFUNCTION("""COMPUTED_VALUE"""),"Smitha Rao")</f>
        <v>Smitha Rao</v>
      </c>
      <c r="C989" s="17" t="str">
        <f>IFERROR(__xludf.DUMMYFUNCTION("""COMPUTED_VALUE"""),"Co-founder/CTO")</f>
        <v>Co-founder/CTO</v>
      </c>
      <c r="D989" s="27" t="str">
        <f>IFERROR(__xludf.DUMMYFUNCTION("""COMPUTED_VALUE"""),"https://www.linkedin.com/in/smitha-rao-461621138/?originalSubdomain=in")</f>
        <v>https://www.linkedin.com/in/smitha-rao-461621138/?originalSubdomain=in</v>
      </c>
      <c r="E989" s="17"/>
      <c r="F989" s="17" t="str">
        <f>IFERROR(__xludf.DUMMYFUNCTION("""COMPUTED_VALUE"""),"smitha.rao@simpleenergy.in")</f>
        <v>smitha.rao@simpleenergy.in</v>
      </c>
      <c r="G989" s="17"/>
      <c r="H989" s="17"/>
    </row>
    <row r="990">
      <c r="A990" s="17" t="str">
        <f>IFERROR(__xludf.DUMMYFUNCTION("""COMPUTED_VALUE"""),"Whatfix")</f>
        <v>Whatfix</v>
      </c>
      <c r="B990" s="17" t="str">
        <f>IFERROR(__xludf.DUMMYFUNCTION("""COMPUTED_VALUE"""),"Supriya Goswami")</f>
        <v>Supriya Goswami</v>
      </c>
      <c r="C990" s="17" t="str">
        <f>IFERROR(__xludf.DUMMYFUNCTION("""COMPUTED_VALUE"""),"Co-founder/CTO")</f>
        <v>Co-founder/CTO</v>
      </c>
      <c r="D990" s="27" t="str">
        <f>IFERROR(__xludf.DUMMYFUNCTION("""COMPUTED_VALUE"""),"https://www.linkedin.com/in/supriyagoswami/")</f>
        <v>https://www.linkedin.com/in/supriyagoswami/</v>
      </c>
      <c r="E990" s="17"/>
      <c r="F990" s="17" t="str">
        <f>IFERROR(__xludf.DUMMYFUNCTION("""COMPUTED_VALUE"""),"supriya.goswami@whatfix.com")</f>
        <v>supriya.goswami@whatfix.com</v>
      </c>
      <c r="G990" s="17" t="str">
        <f>IFERROR(__xludf.DUMMYFUNCTION("""COMPUTED_VALUE"""),"supriyagoswami@gmail.com")</f>
        <v>supriyagoswami@gmail.com</v>
      </c>
      <c r="H990" s="17"/>
    </row>
    <row r="991">
      <c r="A991" s="17" t="str">
        <f>IFERROR(__xludf.DUMMYFUNCTION("""COMPUTED_VALUE"""),"Exotel")</f>
        <v>Exotel</v>
      </c>
      <c r="B991" s="17" t="str">
        <f>IFERROR(__xludf.DUMMYFUNCTION("""COMPUTED_VALUE"""),"Udit Agarwal")</f>
        <v>Udit Agarwal</v>
      </c>
      <c r="C991" s="17" t="str">
        <f>IFERROR(__xludf.DUMMYFUNCTION("""COMPUTED_VALUE"""),"Co-founder/CTO")</f>
        <v>Co-founder/CTO</v>
      </c>
      <c r="D991" s="27" t="str">
        <f>IFERROR(__xludf.DUMMYFUNCTION("""COMPUTED_VALUE"""),"https://www.linkedin.com/in/uditagarwal/?originalSubdomain=in")</f>
        <v>https://www.linkedin.com/in/uditagarwal/?originalSubdomain=in</v>
      </c>
      <c r="E991" s="17"/>
      <c r="F991" s="17" t="str">
        <f>IFERROR(__xludf.DUMMYFUNCTION("""COMPUTED_VALUE"""),"udit.agarwal@exotel.com")</f>
        <v>udit.agarwal@exotel.com</v>
      </c>
      <c r="G991" s="17"/>
      <c r="H991" s="17"/>
    </row>
    <row r="992">
      <c r="A992" s="17" t="str">
        <f>IFERROR(__xludf.DUMMYFUNCTION("""COMPUTED_VALUE"""),"mCaffeine")</f>
        <v>mCaffeine</v>
      </c>
      <c r="B992" s="17" t="str">
        <f>IFERROR(__xludf.DUMMYFUNCTION("""COMPUTED_VALUE"""),"Vaishali Gupta")</f>
        <v>Vaishali Gupta</v>
      </c>
      <c r="C992" s="17" t="str">
        <f>IFERROR(__xludf.DUMMYFUNCTION("""COMPUTED_VALUE"""),"Co-founder/CTO")</f>
        <v>Co-founder/CTO</v>
      </c>
      <c r="D992" s="27" t="str">
        <f>IFERROR(__xludf.DUMMYFUNCTION("""COMPUTED_VALUE"""),"https://www.linkedin.com/in/ism555/?originalSubdomain=in")</f>
        <v>https://www.linkedin.com/in/ism555/?originalSubdomain=in</v>
      </c>
      <c r="E992" s="17"/>
      <c r="F992" s="17" t="str">
        <f>IFERROR(__xludf.DUMMYFUNCTION("""COMPUTED_VALUE"""),"vaishali@mcaffeine.com")</f>
        <v>vaishali@mcaffeine.com</v>
      </c>
      <c r="G992" s="17"/>
      <c r="H992" s="17"/>
    </row>
    <row r="993">
      <c r="A993" s="17" t="str">
        <f>IFERROR(__xludf.DUMMYFUNCTION("""COMPUTED_VALUE"""),"Square Yards")</f>
        <v>Square Yards</v>
      </c>
      <c r="B993" s="17" t="str">
        <f>IFERROR(__xludf.DUMMYFUNCTION("""COMPUTED_VALUE"""),"Yashdeep Singh")</f>
        <v>Yashdeep Singh</v>
      </c>
      <c r="C993" s="17" t="str">
        <f>IFERROR(__xludf.DUMMYFUNCTION("""COMPUTED_VALUE"""),"Co-founder/CTO")</f>
        <v>Co-founder/CTO</v>
      </c>
      <c r="D993" s="27" t="str">
        <f>IFERROR(__xludf.DUMMYFUNCTION("""COMPUTED_VALUE"""),"https://www.linkedin.com/in/-yashdeepsingh/?originalSubdomain=in")</f>
        <v>https://www.linkedin.com/in/-yashdeepsingh/?originalSubdomain=in</v>
      </c>
      <c r="E993" s="17"/>
      <c r="F993" s="17" t="str">
        <f>IFERROR(__xludf.DUMMYFUNCTION("""COMPUTED_VALUE"""),"yashdeep.singh@hotmail.com")</f>
        <v>yashdeep.singh@hotmail.com</v>
      </c>
      <c r="G993" s="17"/>
      <c r="H993" s="17"/>
    </row>
    <row r="994">
      <c r="A994" s="17" t="str">
        <f>IFERROR(__xludf.DUMMYFUNCTION("""COMPUTED_VALUE"""),"boAt")</f>
        <v>boAt</v>
      </c>
      <c r="B994" s="17" t="str">
        <f>IFERROR(__xludf.DUMMYFUNCTION("""COMPUTED_VALUE"""),"Aman Gupta")</f>
        <v>Aman Gupta</v>
      </c>
      <c r="C994" s="17" t="str">
        <f>IFERROR(__xludf.DUMMYFUNCTION("""COMPUTED_VALUE"""),"Co-founder")</f>
        <v>Co-founder</v>
      </c>
      <c r="D994" s="27" t="str">
        <f>IFERROR(__xludf.DUMMYFUNCTION("""COMPUTED_VALUE"""),"https://www.linkedin.com/in/aman-gupta-7217a515?utm_source=share&amp;utm_campaign=share_via&amp;utm_content=profile&amp;utm_medium=android_app")</f>
        <v>https://www.linkedin.com/in/aman-gupta-7217a515?utm_source=share&amp;utm_campaign=share_via&amp;utm_content=profile&amp;utm_medium=android_app</v>
      </c>
      <c r="E994" s="17"/>
      <c r="F994" s="17" t="str">
        <f>IFERROR(__xludf.DUMMYFUNCTION("""COMPUTED_VALUE"""),"aman.gupta@boat-lifestyle.com")</f>
        <v>aman.gupta@boat-lifestyle.com</v>
      </c>
      <c r="G994" s="17"/>
      <c r="H994" s="17"/>
    </row>
    <row r="995">
      <c r="A995" s="17" t="str">
        <f>IFERROR(__xludf.DUMMYFUNCTION("""COMPUTED_VALUE"""),"Sugar Cosmetics")</f>
        <v>Sugar Cosmetics</v>
      </c>
      <c r="B995" s="17" t="str">
        <f>IFERROR(__xludf.DUMMYFUNCTION("""COMPUTED_VALUE"""),"Vineeta Singh")</f>
        <v>Vineeta Singh</v>
      </c>
      <c r="C995" s="17" t="str">
        <f>IFERROR(__xludf.DUMMYFUNCTION("""COMPUTED_VALUE"""),"Co-founder")</f>
        <v>Co-founder</v>
      </c>
      <c r="D995" s="27" t="str">
        <f>IFERROR(__xludf.DUMMYFUNCTION("""COMPUTED_VALUE"""),"https://www.linkedin.com/in/vineetasingh?utm_source=share&amp;utm_campaign=share_via&amp;utm_content=profile&amp;utm_medium=android_app")</f>
        <v>https://www.linkedin.com/in/vineetasingh?utm_source=share&amp;utm_campaign=share_via&amp;utm_content=profile&amp;utm_medium=android_app</v>
      </c>
      <c r="E995" s="17"/>
      <c r="F995" s="17" t="str">
        <f>IFERROR(__xludf.DUMMYFUNCTION("""COMPUTED_VALUE"""),"vineeta@sugarcosmetics.com")</f>
        <v>vineeta@sugarcosmetics.com</v>
      </c>
      <c r="G995" s="17"/>
      <c r="H995" s="17"/>
    </row>
    <row r="996">
      <c r="A996" s="17" t="str">
        <f>IFERROR(__xludf.DUMMYFUNCTION("""COMPUTED_VALUE"""),"BharatPe")</f>
        <v>BharatPe</v>
      </c>
      <c r="B996" s="17" t="str">
        <f>IFERROR(__xludf.DUMMYFUNCTION("""COMPUTED_VALUE"""),"Ashneer Grover")</f>
        <v>Ashneer Grover</v>
      </c>
      <c r="C996" s="17" t="str">
        <f>IFERROR(__xludf.DUMMYFUNCTION("""COMPUTED_VALUE"""),"Founder")</f>
        <v>Founder</v>
      </c>
      <c r="D996" s="27" t="str">
        <f>IFERROR(__xludf.DUMMYFUNCTION("""COMPUTED_VALUE"""),"https://www.linkedin.com/in/ashneer/?originalSubdomain=in")</f>
        <v>https://www.linkedin.com/in/ashneer/?originalSubdomain=in</v>
      </c>
      <c r="E996" s="17"/>
      <c r="F996" s="17" t="str">
        <f>IFERROR(__xludf.DUMMYFUNCTION("""COMPUTED_VALUE"""),"ashneer@bharatpe.com")</f>
        <v>ashneer@bharatpe.com</v>
      </c>
      <c r="G996" s="17"/>
      <c r="H996" s="17"/>
    </row>
    <row r="997">
      <c r="A997" s="17" t="str">
        <f>IFERROR(__xludf.DUMMYFUNCTION("""COMPUTED_VALUE"""),"Lenskart")</f>
        <v>Lenskart</v>
      </c>
      <c r="B997" s="17" t="str">
        <f>IFERROR(__xludf.DUMMYFUNCTION("""COMPUTED_VALUE"""),"Peyush Bansal")</f>
        <v>Peyush Bansal</v>
      </c>
      <c r="C997" s="17" t="str">
        <f>IFERROR(__xludf.DUMMYFUNCTION("""COMPUTED_VALUE"""),"Co-founder &amp; CEO")</f>
        <v>Co-founder &amp; CEO</v>
      </c>
      <c r="D997" s="27" t="str">
        <f>IFERROR(__xludf.DUMMYFUNCTION("""COMPUTED_VALUE"""),"https://www.linkedin.com/in/peyushbansal/?originalSubdomain=in")</f>
        <v>https://www.linkedin.com/in/peyushbansal/?originalSubdomain=in</v>
      </c>
      <c r="E997" s="17"/>
      <c r="F997" s="17" t="str">
        <f>IFERROR(__xludf.DUMMYFUNCTION("""COMPUTED_VALUE"""),"peyushb@lenskart.com")</f>
        <v>peyushb@lenskart.com</v>
      </c>
      <c r="G997" s="17"/>
      <c r="H997" s="17"/>
    </row>
    <row r="998">
      <c r="A998" s="17" t="str">
        <f>IFERROR(__xludf.DUMMYFUNCTION("""COMPUTED_VALUE"""),"Snapdeal")</f>
        <v>Snapdeal</v>
      </c>
      <c r="B998" s="17" t="str">
        <f>IFERROR(__xludf.DUMMYFUNCTION("""COMPUTED_VALUE"""),"Kunal Bahl")</f>
        <v>Kunal Bahl</v>
      </c>
      <c r="C998" s="17" t="str">
        <f>IFERROR(__xludf.DUMMYFUNCTION("""COMPUTED_VALUE"""),"co-founder and prominent investor")</f>
        <v>co-founder and prominent investor</v>
      </c>
      <c r="D998" s="27" t="str">
        <f>IFERROR(__xludf.DUMMYFUNCTION("""COMPUTED_VALUE"""),"https://www.linkedin.com/in/kunalbahl?utm_source=share&amp;utm_campaign=share_via&amp;utm_content=profile&amp;utm_medium=android_app")</f>
        <v>https://www.linkedin.com/in/kunalbahl?utm_source=share&amp;utm_campaign=share_via&amp;utm_content=profile&amp;utm_medium=android_app</v>
      </c>
      <c r="E998" s="17"/>
      <c r="F998" s="17" t="str">
        <f>IFERROR(__xludf.DUMMYFUNCTION("""COMPUTED_VALUE"""),"kb@acevector.com")</f>
        <v>kb@acevector.com</v>
      </c>
      <c r="G998" s="17"/>
      <c r="H998" s="17"/>
    </row>
    <row r="999">
      <c r="A999" s="17" t="str">
        <f>IFERROR(__xludf.DUMMYFUNCTION("""COMPUTED_VALUE"""),"Myntra and Cult.fit")</f>
        <v>Myntra and Cult.fit</v>
      </c>
      <c r="B999" s="17" t="str">
        <f>IFERROR(__xludf.DUMMYFUNCTION("""COMPUTED_VALUE"""),"Mukesh Bansal")</f>
        <v>Mukesh Bansal</v>
      </c>
      <c r="C999" s="17" t="str">
        <f>IFERROR(__xludf.DUMMYFUNCTION("""COMPUTED_VALUE"""),"Co-founder 
")</f>
        <v>Co-founder 
</v>
      </c>
      <c r="D999" s="27" t="str">
        <f>IFERROR(__xludf.DUMMYFUNCTION("""COMPUTED_VALUE"""),"https://www.linkedin.com/in/mubansal?utm_source=share&amp;utm_campaign=share_via&amp;utm_content=profile&amp;utm_medium=android_app")</f>
        <v>https://www.linkedin.com/in/mubansal?utm_source=share&amp;utm_campaign=share_via&amp;utm_content=profile&amp;utm_medium=android_app</v>
      </c>
      <c r="E999" s="17"/>
      <c r="F999" s="17" t="str">
        <f>IFERROR(__xludf.DUMMYFUNCTION("""COMPUTED_VALUE"""),"mukesh@nurix.ai")</f>
        <v>mukesh@nurix.ai</v>
      </c>
      <c r="G999" s="17"/>
      <c r="H999" s="17"/>
    </row>
    <row r="1000">
      <c r="A1000" s="17" t="str">
        <f>IFERROR(__xludf.DUMMYFUNCTION("""COMPUTED_VALUE"""),"OYO")</f>
        <v>OYO</v>
      </c>
      <c r="B1000" s="17" t="str">
        <f>IFERROR(__xludf.DUMMYFUNCTION("""COMPUTED_VALUE"""),"Ritesh Agarwal")</f>
        <v>Ritesh Agarwal</v>
      </c>
      <c r="C1000" s="17" t="str">
        <f>IFERROR(__xludf.DUMMYFUNCTION("""COMPUTED_VALUE"""),"Founder")</f>
        <v>Founder</v>
      </c>
      <c r="D1000" s="27" t="str">
        <f>IFERROR(__xludf.DUMMYFUNCTION("""COMPUTED_VALUE"""),"https://www.linkedin.com/in/riteshagar?utm_source=share&amp;utm_campaign=share_via&amp;utm_content=profile&amp;utm_medium=android_app")</f>
        <v>https://www.linkedin.com/in/riteshagar?utm_source=share&amp;utm_campaign=share_via&amp;utm_content=profile&amp;utm_medium=android_app</v>
      </c>
      <c r="E1000" s="17"/>
      <c r="F1000" s="17" t="str">
        <f>IFERROR(__xludf.DUMMYFUNCTION("""COMPUTED_VALUE"""),"ritesh@oyorooms.com")</f>
        <v>ritesh@oyorooms.com</v>
      </c>
      <c r="G1000" s="17"/>
      <c r="H1000" s="17"/>
    </row>
    <row r="1001">
      <c r="A1001" s="17" t="str">
        <f>IFERROR(__xludf.DUMMYFUNCTION("""COMPUTED_VALUE"""),"Zomato")</f>
        <v>Zomato</v>
      </c>
      <c r="B1001" s="17" t="str">
        <f>IFERROR(__xludf.DUMMYFUNCTION("""COMPUTED_VALUE"""),"Deepinder Goyal")</f>
        <v>Deepinder Goyal</v>
      </c>
      <c r="C1001" s="17" t="str">
        <f>IFERROR(__xludf.DUMMYFUNCTION("""COMPUTED_VALUE"""),"co-founder")</f>
        <v>co-founder</v>
      </c>
      <c r="D1001" s="27" t="str">
        <f>IFERROR(__xludf.DUMMYFUNCTION("""COMPUTED_VALUE"""),"https://www.linkedin.com/in/deepigoyal?utm_source=share&amp;utm_campaign=share_via&amp;utm_content=profile&amp;utm_medium=android_app")</f>
        <v>https://www.linkedin.com/in/deepigoyal?utm_source=share&amp;utm_campaign=share_via&amp;utm_content=profile&amp;utm_medium=android_app</v>
      </c>
      <c r="E1001" s="17"/>
      <c r="F1001" s="17" t="str">
        <f>IFERROR(__xludf.DUMMYFUNCTION("""COMPUTED_VALUE"""),"deepinder@lat.com")</f>
        <v>deepinder@lat.com</v>
      </c>
      <c r="G1001" s="17"/>
      <c r="H1001" s="17"/>
    </row>
    <row r="1002">
      <c r="A1002" s="17" t="str">
        <f>IFERROR(__xludf.DUMMYFUNCTION("""COMPUTED_VALUE"""),"Ola")</f>
        <v>Ola</v>
      </c>
      <c r="B1002" s="17" t="str">
        <f>IFERROR(__xludf.DUMMYFUNCTION("""COMPUTED_VALUE"""),"Bhavish Aggarwal")</f>
        <v>Bhavish Aggarwal</v>
      </c>
      <c r="C1002" s="17" t="str">
        <f>IFERROR(__xludf.DUMMYFUNCTION("""COMPUTED_VALUE"""),"Founder")</f>
        <v>Founder</v>
      </c>
      <c r="D1002" s="27" t="str">
        <f>IFERROR(__xludf.DUMMYFUNCTION("""COMPUTED_VALUE"""),"https://www.linkedin.com/in/bhavishaggarwal?utm_source=share&amp;utm_campaign=share_via&amp;utm_content=profile&amp;utm_medium=android_app")</f>
        <v>https://www.linkedin.com/in/bhavishaggarwal?utm_source=share&amp;utm_campaign=share_via&amp;utm_content=profile&amp;utm_medium=android_app</v>
      </c>
      <c r="E1002" s="17"/>
      <c r="F1002" s="17" t="str">
        <f>IFERROR(__xludf.DUMMYFUNCTION("""COMPUTED_VALUE"""),"bhavish.aggarwal@olacabs.com")</f>
        <v>bhavish.aggarwal@olacabs.com</v>
      </c>
      <c r="G1002" s="17"/>
      <c r="H1002" s="17"/>
    </row>
    <row r="1003">
      <c r="A1003" s="17" t="str">
        <f>IFERROR(__xludf.DUMMYFUNCTION("""COMPUTED_VALUE"""),"BYJU’s")</f>
        <v>BYJU’s</v>
      </c>
      <c r="B1003" s="17" t="str">
        <f>IFERROR(__xludf.DUMMYFUNCTION("""COMPUTED_VALUE"""),"Byju Raveendran")</f>
        <v>Byju Raveendran</v>
      </c>
      <c r="C1003" s="17" t="str">
        <f>IFERROR(__xludf.DUMMYFUNCTION("""COMPUTED_VALUE"""),"Founder")</f>
        <v>Founder</v>
      </c>
      <c r="D1003" s="27" t="str">
        <f>IFERROR(__xludf.DUMMYFUNCTION("""COMPUTED_VALUE"""),"https://www.linkedin.com/in/byju-raveendran-4397b3350?utm_source=share&amp;utm_campaign=share_via&amp;utm_content=profile&amp;utm_medium=android_app")</f>
        <v>https://www.linkedin.com/in/byju-raveendran-4397b3350?utm_source=share&amp;utm_campaign=share_via&amp;utm_content=profile&amp;utm_medium=android_app</v>
      </c>
      <c r="E1003" s="17"/>
      <c r="F1003" s="17" t="str">
        <f>IFERROR(__xludf.DUMMYFUNCTION("""COMPUTED_VALUE"""),"byju.raveendran@byjus.com")</f>
        <v>byju.raveendran@byjus.com</v>
      </c>
      <c r="G1003" s="17"/>
      <c r="H1003" s="17"/>
    </row>
    <row r="1004">
      <c r="A1004" s="17" t="str">
        <f>IFERROR(__xludf.DUMMYFUNCTION("""COMPUTED_VALUE"""),"Dream11")</f>
        <v>Dream11</v>
      </c>
      <c r="B1004" s="17" t="str">
        <f>IFERROR(__xludf.DUMMYFUNCTION("""COMPUTED_VALUE"""),"Harsh Jain")</f>
        <v>Harsh Jain</v>
      </c>
      <c r="C1004" s="17" t="str">
        <f>IFERROR(__xludf.DUMMYFUNCTION("""COMPUTED_VALUE"""),"Co-founder")</f>
        <v>Co-founder</v>
      </c>
      <c r="D1004" s="27" t="str">
        <f>IFERROR(__xludf.DUMMYFUNCTION("""COMPUTED_VALUE"""),"https://www.linkedin.com/in/harshj22?utm_source=share&amp;utm_campaign=share_via&amp;utm_content=profile&amp;utm_medium=android_app")</f>
        <v>https://www.linkedin.com/in/harshj22?utm_source=share&amp;utm_campaign=share_via&amp;utm_content=profile&amp;utm_medium=android_app</v>
      </c>
      <c r="E1004" s="17"/>
      <c r="F1004" s="17" t="str">
        <f>IFERROR(__xludf.DUMMYFUNCTION("""COMPUTED_VALUE"""),"harsh@dream11.com")</f>
        <v>harsh@dream11.com</v>
      </c>
      <c r="G1004" s="17"/>
      <c r="H1004" s="17"/>
    </row>
    <row r="1005">
      <c r="A1005" s="17" t="str">
        <f>IFERROR(__xludf.DUMMYFUNCTION("""COMPUTED_VALUE"""),"Razorpay")</f>
        <v>Razorpay</v>
      </c>
      <c r="B1005" s="17" t="str">
        <f>IFERROR(__xludf.DUMMYFUNCTION("""COMPUTED_VALUE"""),"Harshil Mathur")</f>
        <v>Harshil Mathur</v>
      </c>
      <c r="C1005" s="17" t="str">
        <f>IFERROR(__xludf.DUMMYFUNCTION("""COMPUTED_VALUE"""),"Co-founder")</f>
        <v>Co-founder</v>
      </c>
      <c r="D1005" s="27" t="str">
        <f>IFERROR(__xludf.DUMMYFUNCTION("""COMPUTED_VALUE"""),"https://www.linkedin.com/in/harshilmathur?utm_source=share&amp;utm_campaign=share_via&amp;utm_content=profile&amp;utm_medium=android_app")</f>
        <v>https://www.linkedin.com/in/harshilmathur?utm_source=share&amp;utm_campaign=share_via&amp;utm_content=profile&amp;utm_medium=android_app</v>
      </c>
      <c r="E1005" s="17"/>
      <c r="F1005" s="17" t="str">
        <f>IFERROR(__xludf.DUMMYFUNCTION("""COMPUTED_VALUE"""),"harshil@razorpay.com")</f>
        <v>harshil@razorpay.com</v>
      </c>
      <c r="G1005" s="17"/>
      <c r="H1005" s="17"/>
    </row>
    <row r="1006">
      <c r="A1006" s="17" t="str">
        <f>IFERROR(__xludf.DUMMYFUNCTION("""COMPUTED_VALUE"""),"Schema Ventures")</f>
        <v>Schema Ventures</v>
      </c>
      <c r="B1006" s="17" t="str">
        <f>IFERROR(__xludf.DUMMYFUNCTION("""COMPUTED_VALUE"""),"Aarthi Ramamurthy")</f>
        <v>Aarthi Ramamurthy</v>
      </c>
      <c r="C1006" s="17" t="str">
        <f>IFERROR(__xludf.DUMMYFUNCTION("""COMPUTED_VALUE"""),"Indian-American entrepreneur, VC")</f>
        <v>Indian-American entrepreneur, VC</v>
      </c>
      <c r="D1006" s="27" t="str">
        <f>IFERROR(__xludf.DUMMYFUNCTION("""COMPUTED_VALUE"""),"https://www.linkedin.com/in/aarthir?utm_source=share&amp;utm_campaign=share_via&amp;utm_content=profile&amp;utm_medium=android_app")</f>
        <v>https://www.linkedin.com/in/aarthir?utm_source=share&amp;utm_campaign=share_via&amp;utm_content=profile&amp;utm_medium=android_app</v>
      </c>
      <c r="E1006" s="17"/>
      <c r="F1006" s="17" t="str">
        <f>IFERROR(__xludf.DUMMYFUNCTION("""COMPUTED_VALUE"""),"aarthi@schemavc.com")</f>
        <v>aarthi@schemavc.com</v>
      </c>
      <c r="G1006" s="17"/>
      <c r="H1006" s="17"/>
    </row>
    <row r="1007">
      <c r="A1007" s="17" t="str">
        <f>IFERROR(__xludf.DUMMYFUNCTION("""COMPUTED_VALUE"""),"Reddit and Seven Seven Six VC")</f>
        <v>Reddit and Seven Seven Six VC</v>
      </c>
      <c r="B1007" s="17" t="str">
        <f>IFERROR(__xludf.DUMMYFUNCTION("""COMPUTED_VALUE"""),"Alexis Ohanian")</f>
        <v>Alexis Ohanian</v>
      </c>
      <c r="C1007" s="17" t="str">
        <f>IFERROR(__xludf.DUMMYFUNCTION("""COMPUTED_VALUE"""),"Co-founder")</f>
        <v>Co-founder</v>
      </c>
      <c r="D1007" s="27" t="str">
        <f>IFERROR(__xludf.DUMMYFUNCTION("""COMPUTED_VALUE"""),"https://www.linkedin.com/in/alexisohanian?utm_source=share&amp;utm_campaign=share_via&amp;utm_content=profile&amp;utm_medium=android_app")</f>
        <v>https://www.linkedin.com/in/alexisohanian?utm_source=share&amp;utm_campaign=share_via&amp;utm_content=profile&amp;utm_medium=android_app</v>
      </c>
      <c r="E1007" s="17"/>
      <c r="F1007" s="17" t="str">
        <f>IFERROR(__xludf.DUMMYFUNCTION("""COMPUTED_VALUE"""),"a@sevensevensix.com")</f>
        <v>a@sevensevensix.com</v>
      </c>
      <c r="G1007" s="17"/>
      <c r="H1007" s="17"/>
    </row>
    <row r="1008">
      <c r="A1008" s="17" t="str">
        <f>IFERROR(__xludf.DUMMYFUNCTION("""COMPUTED_VALUE"""),"Scale AI")</f>
        <v>Scale AI</v>
      </c>
      <c r="B1008" s="17" t="str">
        <f>IFERROR(__xludf.DUMMYFUNCTION("""COMPUTED_VALUE"""),"Lucy Guo")</f>
        <v>Lucy Guo</v>
      </c>
      <c r="C1008" s="17" t="str">
        <f>IFERROR(__xludf.DUMMYFUNCTION("""COMPUTED_VALUE"""),"Co-founder")</f>
        <v>Co-founder</v>
      </c>
      <c r="D1008" s="27" t="str">
        <f>IFERROR(__xludf.DUMMYFUNCTION("""COMPUTED_VALUE"""),"https://www.linkedin.com/in/lucy-guo-a7804955?utm_source=share&amp;utm_campaign=share_via&amp;utm_content=profile&amp;utm_medium=android_app")</f>
        <v>https://www.linkedin.com/in/lucy-guo-a7804955?utm_source=share&amp;utm_campaign=share_via&amp;utm_content=profile&amp;utm_medium=android_app</v>
      </c>
      <c r="E1008" s="17"/>
      <c r="F1008" s="17" t="str">
        <f>IFERROR(__xludf.DUMMYFUNCTION("""COMPUTED_VALUE"""),"lucy@passes.com")</f>
        <v>lucy@passes.com</v>
      </c>
      <c r="G1008" s="17"/>
      <c r="H1008" s="17"/>
    </row>
    <row r="1009">
      <c r="A1009" s="17" t="str">
        <f>IFERROR(__xludf.DUMMYFUNCTION("""COMPUTED_VALUE"""),"BYJU’s")</f>
        <v>BYJU’s</v>
      </c>
      <c r="B1009" s="17" t="str">
        <f>IFERROR(__xludf.DUMMYFUNCTION("""COMPUTED_VALUE"""),"Divya Gokulnath")</f>
        <v>Divya Gokulnath</v>
      </c>
      <c r="C1009" s="17" t="str">
        <f>IFERROR(__xludf.DUMMYFUNCTION("""COMPUTED_VALUE"""),"Co-Founder")</f>
        <v>Co-Founder</v>
      </c>
      <c r="D1009" s="27" t="str">
        <f>IFERROR(__xludf.DUMMYFUNCTION("""COMPUTED_VALUE"""),"https://www.linkedin.com/in/divya-gokulnath/?originalSubdomain=in")</f>
        <v>https://www.linkedin.com/in/divya-gokulnath/?originalSubdomain=in</v>
      </c>
      <c r="E1009" s="17"/>
      <c r="F1009" s="17" t="str">
        <f>IFERROR(__xludf.DUMMYFUNCTION("""COMPUTED_VALUE"""),"divyagokulnath@gmail.com")</f>
        <v>divyagokulnath@gmail.com</v>
      </c>
      <c r="G1009" s="17"/>
      <c r="H1009" s="17"/>
    </row>
    <row r="1010">
      <c r="A1010" s="17" t="str">
        <f>IFERROR(__xludf.DUMMYFUNCTION("""COMPUTED_VALUE"""),"Gymshark")</f>
        <v>Gymshark</v>
      </c>
      <c r="B1010" s="17" t="str">
        <f>IFERROR(__xludf.DUMMYFUNCTION("""COMPUTED_VALUE"""),"Ben Francis")</f>
        <v>Ben Francis</v>
      </c>
      <c r="C1010" s="17" t="str">
        <f>IFERROR(__xludf.DUMMYFUNCTION("""COMPUTED_VALUE"""),"Founder")</f>
        <v>Founder</v>
      </c>
      <c r="D1010" s="27" t="str">
        <f>IFERROR(__xludf.DUMMYFUNCTION("""COMPUTED_VALUE"""),"https://www.linkedin.com/in/gymshark/?originalSubdomain=uk")</f>
        <v>https://www.linkedin.com/in/gymshark/?originalSubdomain=uk</v>
      </c>
      <c r="E1010" s="17"/>
      <c r="F1010" s="17" t="str">
        <f>IFERROR(__xludf.DUMMYFUNCTION("""COMPUTED_VALUE"""),"b.francis@gymshark.com")</f>
        <v>b.francis@gymshark.com</v>
      </c>
      <c r="G1010" s="17"/>
      <c r="H1010" s="17"/>
    </row>
    <row r="1011">
      <c r="A1011" s="17" t="str">
        <f>IFERROR(__xludf.DUMMYFUNCTION("""COMPUTED_VALUE"""),"Canva")</f>
        <v>Canva</v>
      </c>
      <c r="B1011" s="17" t="str">
        <f>IFERROR(__xludf.DUMMYFUNCTION("""COMPUTED_VALUE"""),"Melanie Perkins")</f>
        <v>Melanie Perkins</v>
      </c>
      <c r="C1011" s="17" t="str">
        <f>IFERROR(__xludf.DUMMYFUNCTION("""COMPUTED_VALUE"""),"Co-founder")</f>
        <v>Co-founder</v>
      </c>
      <c r="D1011" s="27" t="str">
        <f>IFERROR(__xludf.DUMMYFUNCTION("""COMPUTED_VALUE"""),"https://www.linkedin.com/in/melanieperkins/?originalSubdomain=au")</f>
        <v>https://www.linkedin.com/in/melanieperkins/?originalSubdomain=au</v>
      </c>
      <c r="E1011" s="17"/>
      <c r="F1011" s="17" t="str">
        <f>IFERROR(__xludf.DUMMYFUNCTION("""COMPUTED_VALUE"""),"melanie@canva.com")</f>
        <v>melanie@canva.com</v>
      </c>
      <c r="G1011" s="17"/>
      <c r="H1011" s="17"/>
    </row>
    <row r="1012">
      <c r="A1012" s="17" t="str">
        <f>IFERROR(__xludf.DUMMYFUNCTION("""COMPUTED_VALUE"""),"Berger Paints India Ltd")</f>
        <v>Berger Paints India Ltd</v>
      </c>
      <c r="B1012" s="17" t="str">
        <f>IFERROR(__xludf.DUMMYFUNCTION("""COMPUTED_VALUE"""),"Abhijit Roy")</f>
        <v>Abhijit Roy</v>
      </c>
      <c r="C1012" s="17" t="str">
        <f>IFERROR(__xludf.DUMMYFUNCTION("""COMPUTED_VALUE"""),"MD and CEO")</f>
        <v>MD and CEO</v>
      </c>
      <c r="D1012" s="17"/>
      <c r="E1012" s="17"/>
      <c r="F1012" s="17" t="str">
        <f>IFERROR(__xludf.DUMMYFUNCTION("""COMPUTED_VALUE"""),"royabhijit23@rediffmail.com")</f>
        <v>royabhijit23@rediffmail.com</v>
      </c>
      <c r="G1012" s="17"/>
      <c r="H1012" s="17"/>
    </row>
    <row r="1013">
      <c r="A1013" s="17" t="str">
        <f>IFERROR(__xludf.DUMMYFUNCTION("""COMPUTED_VALUE"""),"Emami Ltd")</f>
        <v>Emami Ltd</v>
      </c>
      <c r="B1013" s="17" t="str">
        <f>IFERROR(__xludf.DUMMYFUNCTION("""COMPUTED_VALUE"""),"Harsha Vardhan Agarwal")</f>
        <v>Harsha Vardhan Agarwal</v>
      </c>
      <c r="C1013" s="17" t="str">
        <f>IFERROR(__xludf.DUMMYFUNCTION("""COMPUTED_VALUE"""),"Vice Chairman and Managing Director, Emami Limited")</f>
        <v>Vice Chairman and Managing Director, Emami Limited</v>
      </c>
      <c r="D1013" s="27" t="str">
        <f>IFERROR(__xludf.DUMMYFUNCTION("""COMPUTED_VALUE"""),"https://www.linkedin.com/in/abhijit-roy-67a26410/?originalSubdomain=in")</f>
        <v>https://www.linkedin.com/in/abhijit-roy-67a26410/?originalSubdomain=in</v>
      </c>
      <c r="E1013" s="17" t="str">
        <f>IFERROR(__xludf.DUMMYFUNCTION("""COMPUTED_VALUE"""),"9830005417")</f>
        <v>9830005417</v>
      </c>
      <c r="F1013" s="17" t="str">
        <f>IFERROR(__xludf.DUMMYFUNCTION("""COMPUTED_VALUE"""),"harshnarnoli@gmail.com")</f>
        <v>harshnarnoli@gmail.com</v>
      </c>
      <c r="G1013" s="17"/>
      <c r="H1013" s="17"/>
    </row>
    <row r="1014">
      <c r="A1014" s="17" t="str">
        <f>IFERROR(__xludf.DUMMYFUNCTION("""COMPUTED_VALUE"""),"RPSG (FMCG)")</f>
        <v>RPSG (FMCG)</v>
      </c>
      <c r="B1014" s="17" t="str">
        <f>IFERROR(__xludf.DUMMYFUNCTION("""COMPUTED_VALUE"""),"Sudhir Langer")</f>
        <v>Sudhir Langer</v>
      </c>
      <c r="C1014" s="17" t="str">
        <f>IFERROR(__xludf.DUMMYFUNCTION("""COMPUTED_VALUE"""),"Chief Executive Officer")</f>
        <v>Chief Executive Officer</v>
      </c>
      <c r="D1014" s="17"/>
      <c r="E1014" s="17" t="str">
        <f>IFERROR(__xludf.DUMMYFUNCTION("""COMPUTED_VALUE"""),"7506596780")</f>
        <v>7506596780</v>
      </c>
      <c r="F1014" s="17" t="str">
        <f>IFERROR(__xludf.DUMMYFUNCTION("""COMPUTED_VALUE"""),"langersudhir@gmail.com")</f>
        <v>langersudhir@gmail.com</v>
      </c>
      <c r="G1014" s="17"/>
      <c r="H1014" s="17"/>
    </row>
    <row r="1015">
      <c r="A1015" s="17" t="str">
        <f>IFERROR(__xludf.DUMMYFUNCTION("""COMPUTED_VALUE"""),"Wow Momo Foods Pvt Ltd")</f>
        <v>Wow Momo Foods Pvt Ltd</v>
      </c>
      <c r="B1015" s="17" t="str">
        <f>IFERROR(__xludf.DUMMYFUNCTION("""COMPUTED_VALUE"""),"Binod Homagai")</f>
        <v>Binod Homagai</v>
      </c>
      <c r="C1015" s="17" t="str">
        <f>IFERROR(__xludf.DUMMYFUNCTION("""COMPUTED_VALUE"""),"Co-Founder (COO)")</f>
        <v>Co-Founder (COO)</v>
      </c>
      <c r="D1015" s="17"/>
      <c r="E1015" s="17"/>
      <c r="F1015" s="17" t="str">
        <f>IFERROR(__xludf.DUMMYFUNCTION("""COMPUTED_VALUE"""),"binodhomagai@wowmomo.co.in")</f>
        <v>binodhomagai@wowmomo.co.in</v>
      </c>
      <c r="G1015" s="17"/>
      <c r="H1015" s="17"/>
    </row>
    <row r="1016">
      <c r="A1016" s="17" t="str">
        <f>IFERROR(__xludf.DUMMYFUNCTION("""COMPUTED_VALUE"""),"SAJ Food Products (P) Ltd")</f>
        <v>SAJ Food Products (P) Ltd</v>
      </c>
      <c r="B1016" s="17" t="str">
        <f>IFERROR(__xludf.DUMMYFUNCTION("""COMPUTED_VALUE"""),"Arpan Paul")</f>
        <v>Arpan Paul</v>
      </c>
      <c r="C1016" s="17" t="str">
        <f>IFERROR(__xludf.DUMMYFUNCTION("""COMPUTED_VALUE"""),"Executive Chairman")</f>
        <v>Executive Chairman</v>
      </c>
      <c r="D1016" s="17"/>
      <c r="E1016" s="17"/>
      <c r="F1016" s="17" t="str">
        <f>IFERROR(__xludf.DUMMYFUNCTION("""COMPUTED_VALUE"""),"ap_saj@biskfarm.com")</f>
        <v>ap_saj@biskfarm.com</v>
      </c>
      <c r="G1016" s="17"/>
      <c r="H1016" s="17"/>
    </row>
    <row r="1017">
      <c r="A1017" s="17" t="str">
        <f>IFERROR(__xludf.DUMMYFUNCTION("""COMPUTED_VALUE"""),"Knight Riders Group")</f>
        <v>Knight Riders Group</v>
      </c>
      <c r="B1017" s="17" t="str">
        <f>IFERROR(__xludf.DUMMYFUNCTION("""COMPUTED_VALUE"""),"Venky Mysore")</f>
        <v>Venky Mysore</v>
      </c>
      <c r="C1017" s="17" t="str">
        <f>IFERROR(__xludf.DUMMYFUNCTION("""COMPUTED_VALUE"""),"CEO")</f>
        <v>CEO</v>
      </c>
      <c r="D1017" s="17"/>
      <c r="E1017" s="17"/>
      <c r="F1017" s="17" t="str">
        <f>IFERROR(__xludf.DUMMYFUNCTION("""COMPUTED_VALUE"""),"venky.mysore@kkr.com")</f>
        <v>venky.mysore@kkr.com</v>
      </c>
      <c r="G1017" s="17"/>
      <c r="H1017" s="17"/>
    </row>
    <row r="1018">
      <c r="A1018" s="17" t="str">
        <f>IFERROR(__xludf.DUMMYFUNCTION("""COMPUTED_VALUE"""),"Aikium Inc.")</f>
        <v>Aikium Inc.</v>
      </c>
      <c r="B1018" s="17" t="str">
        <f>IFERROR(__xludf.DUMMYFUNCTION("""COMPUTED_VALUE"""),"Venkatesh Mysore")</f>
        <v>Venkatesh Mysore</v>
      </c>
      <c r="C1018" s="17" t="str">
        <f>IFERROR(__xludf.DUMMYFUNCTION("""COMPUTED_VALUE"""),"Co-founder and CTO")</f>
        <v>Co-founder and CTO</v>
      </c>
      <c r="D1018" s="17"/>
      <c r="E1018" s="17" t="str">
        <f>IFERROR(__xludf.DUMMYFUNCTION("""COMPUTED_VALUE"""),"80 2643 8638")</f>
        <v>80 2643 8638</v>
      </c>
      <c r="F1018" s="17" t="str">
        <f>IFERROR(__xludf.DUMMYFUNCTION("""COMPUTED_VALUE"""),"vmysore@metlife.com")</f>
        <v>vmysore@metlife.com</v>
      </c>
      <c r="G1018" s="17"/>
      <c r="H1018" s="17"/>
    </row>
    <row r="1019">
      <c r="A1019" s="17" t="str">
        <f>IFERROR(__xludf.DUMMYFUNCTION("""COMPUTED_VALUE"""),"ITC Limited")</f>
        <v>ITC Limited</v>
      </c>
      <c r="B1019" s="17" t="str">
        <f>IFERROR(__xludf.DUMMYFUNCTION("""COMPUTED_VALUE"""),"Sumant Bhargavan")</f>
        <v>Sumant Bhargavan</v>
      </c>
      <c r="C1019" s="17" t="str">
        <f>IFERROR(__xludf.DUMMYFUNCTION("""COMPUTED_VALUE"""),"Executive Director")</f>
        <v>Executive Director</v>
      </c>
      <c r="D1019" s="17"/>
      <c r="E1019" s="17" t="str">
        <f>IFERROR(__xludf.DUMMYFUNCTION("""COMPUTED_VALUE"""),"80 2298 8082")</f>
        <v>80 2298 8082</v>
      </c>
      <c r="F1019" s="17" t="str">
        <f>IFERROR(__xludf.DUMMYFUNCTION("""COMPUTED_VALUE"""),"bsumant@hotmail.com")</f>
        <v>bsumant@hotmail.com</v>
      </c>
      <c r="G1019" s="17"/>
      <c r="H1019" s="17"/>
    </row>
    <row r="1020">
      <c r="A1020" s="17" t="str">
        <f>IFERROR(__xludf.DUMMYFUNCTION("""COMPUTED_VALUE"""),"Eveready Industries India Ltd")</f>
        <v>Eveready Industries India Ltd</v>
      </c>
      <c r="B1020" s="17" t="str">
        <f>IFERROR(__xludf.DUMMYFUNCTION("""COMPUTED_VALUE"""),"Anirban Banerjee")</f>
        <v>Anirban Banerjee</v>
      </c>
      <c r="C1020" s="17" t="str">
        <f>IFERROR(__xludf.DUMMYFUNCTION("""COMPUTED_VALUE"""),"Chief Executive Officer")</f>
        <v>Chief Executive Officer</v>
      </c>
      <c r="D1020" s="17"/>
      <c r="E1020" s="17" t="str">
        <f>IFERROR(__xludf.DUMMYFUNCTION("""COMPUTED_VALUE"""),"98202 34351")</f>
        <v>98202 34351</v>
      </c>
      <c r="F1020" s="17" t="str">
        <f>IFERROR(__xludf.DUMMYFUNCTION("""COMPUTED_VALUE"""),"anirban.banerjee@eveready.co.in")</f>
        <v>anirban.banerjee@eveready.co.in</v>
      </c>
      <c r="G1020" s="17"/>
      <c r="H1020" s="17"/>
    </row>
    <row r="1021">
      <c r="A1021" s="17" t="str">
        <f>IFERROR(__xludf.DUMMYFUNCTION("""COMPUTED_VALUE"""),"RUPA &amp; CO. LTD.")</f>
        <v>RUPA &amp; CO. LTD.</v>
      </c>
      <c r="B1021" s="17" t="str">
        <f>IFERROR(__xludf.DUMMYFUNCTION("""COMPUTED_VALUE"""),"RAJNISH AGARWAL")</f>
        <v>RAJNISH AGARWAL</v>
      </c>
      <c r="C1021" s="17" t="str">
        <f>IFERROR(__xludf.DUMMYFUNCTION("""COMPUTED_VALUE"""),"PRESIDENT")</f>
        <v>PRESIDENT</v>
      </c>
      <c r="D1021" s="17"/>
      <c r="E1021" s="17"/>
      <c r="F1021" s="17" t="str">
        <f>IFERROR(__xludf.DUMMYFUNCTION("""COMPUTED_VALUE"""),"rajnish@rupa.co.in")</f>
        <v>rajnish@rupa.co.in</v>
      </c>
      <c r="G1021" s="17"/>
      <c r="H1021" s="17"/>
    </row>
    <row r="1022">
      <c r="A1022" s="17" t="str">
        <f>IFERROR(__xludf.DUMMYFUNCTION("""COMPUTED_VALUE"""),"Lux Industries Limited")</f>
        <v>Lux Industries Limited</v>
      </c>
      <c r="B1022" s="17" t="str">
        <f>IFERROR(__xludf.DUMMYFUNCTION("""COMPUTED_VALUE"""),"Ashok Kumar Todi")</f>
        <v>Ashok Kumar Todi</v>
      </c>
      <c r="C1022" s="17" t="str">
        <f>IFERROR(__xludf.DUMMYFUNCTION("""COMPUTED_VALUE"""),"Chairman")</f>
        <v>Chairman</v>
      </c>
      <c r="D1022" s="17"/>
      <c r="E1022" s="17"/>
      <c r="F1022" s="17" t="str">
        <f>IFERROR(__xludf.DUMMYFUNCTION("""COMPUTED_VALUE"""),"ashok.todi@luxinnerwear.com")</f>
        <v>ashok.todi@luxinnerwear.com</v>
      </c>
      <c r="G1022" s="17"/>
      <c r="H1022" s="17"/>
    </row>
    <row r="1023">
      <c r="A1023" s="17" t="str">
        <f>IFERROR(__xludf.DUMMYFUNCTION("""COMPUTED_VALUE"""),"Exide Industries Limited")</f>
        <v>Exide Industries Limited</v>
      </c>
      <c r="B1023" s="17" t="str">
        <f>IFERROR(__xludf.DUMMYFUNCTION("""COMPUTED_VALUE"""),"Avik Roy")</f>
        <v>Avik Roy</v>
      </c>
      <c r="C1023" s="17" t="str">
        <f>IFERROR(__xludf.DUMMYFUNCTION("""COMPUTED_VALUE"""),"Managing Director &amp; CEO")</f>
        <v>Managing Director &amp; CEO</v>
      </c>
      <c r="D1023" s="17"/>
      <c r="E1023" s="17"/>
      <c r="F1023" s="17" t="str">
        <f>IFERROR(__xludf.DUMMYFUNCTION("""COMPUTED_VALUE"""),"avik.roy@exide.co.in")</f>
        <v>avik.roy@exide.co.in</v>
      </c>
      <c r="G1023" s="17"/>
      <c r="H1023" s="17"/>
    </row>
    <row r="1024">
      <c r="A1024" s="17" t="str">
        <f>IFERROR(__xludf.DUMMYFUNCTION("""COMPUTED_VALUE"""),"Dot &amp; Key Skincare")</f>
        <v>Dot &amp; Key Skincare</v>
      </c>
      <c r="B1024" s="17" t="str">
        <f>IFERROR(__xludf.DUMMYFUNCTION("""COMPUTED_VALUE"""),"Anisha Agarwal Saraf")</f>
        <v>Anisha Agarwal Saraf</v>
      </c>
      <c r="C1024" s="17" t="str">
        <f>IFERROR(__xludf.DUMMYFUNCTION("""COMPUTED_VALUE"""),"Co-Founder")</f>
        <v>Co-Founder</v>
      </c>
      <c r="D1024" s="17"/>
      <c r="E1024" s="17"/>
      <c r="F1024" s="17" t="str">
        <f>IFERROR(__xludf.DUMMYFUNCTION("""COMPUTED_VALUE"""),"anisha@dotandkey.com")</f>
        <v>anisha@dotandkey.com</v>
      </c>
      <c r="G1024" s="17"/>
      <c r="H1024" s="17"/>
    </row>
    <row r="1025">
      <c r="A1025" s="17" t="str">
        <f>IFERROR(__xludf.DUMMYFUNCTION("""COMPUTED_VALUE"""),"McNROE Consumer Products Pvt Ltd")</f>
        <v>McNROE Consumer Products Pvt Ltd</v>
      </c>
      <c r="B1025" s="17" t="str">
        <f>IFERROR(__xludf.DUMMYFUNCTION("""COMPUTED_VALUE"""),"Ankit Daga")</f>
        <v>Ankit Daga</v>
      </c>
      <c r="C1025" s="17" t="str">
        <f>IFERROR(__xludf.DUMMYFUNCTION("""COMPUTED_VALUE"""),"Head - Business Development")</f>
        <v>Head - Business Development</v>
      </c>
      <c r="D1025" s="17"/>
      <c r="E1025" s="17"/>
      <c r="F1025" s="17" t="str">
        <f>IFERROR(__xludf.DUMMYFUNCTION("""COMPUTED_VALUE"""),"ankit@mcnroe.com")</f>
        <v>ankit@mcnroe.com</v>
      </c>
      <c r="G1025" s="17"/>
      <c r="H1025" s="17"/>
    </row>
    <row r="1026">
      <c r="A1026" s="17" t="str">
        <f>IFERROR(__xludf.DUMMYFUNCTION("""COMPUTED_VALUE"""),"ITC Limited ")</f>
        <v>ITC Limited </v>
      </c>
      <c r="B1026" s="17" t="str">
        <f>IFERROR(__xludf.DUMMYFUNCTION("""COMPUTED_VALUE"""),"Sanjiv Puri")</f>
        <v>Sanjiv Puri</v>
      </c>
      <c r="C1026" s="17" t="str">
        <f>IFERROR(__xludf.DUMMYFUNCTION("""COMPUTED_VALUE"""),"Chairman &amp; MD")</f>
        <v>Chairman &amp; MD</v>
      </c>
      <c r="D1026" s="27" t="str">
        <f>IFERROR(__xludf.DUMMYFUNCTION("""COMPUTED_VALUE"""),"https://www.linkedin.com/in/sanjiv-puri/")</f>
        <v>https://www.linkedin.com/in/sanjiv-puri/</v>
      </c>
      <c r="E1026" s="17" t="str">
        <f>IFERROR(__xludf.DUMMYFUNCTION("""COMPUTED_VALUE"""),"2013369431")</f>
        <v>2013369431</v>
      </c>
      <c r="F1026" s="17" t="str">
        <f>IFERROR(__xludf.DUMMYFUNCTION("""COMPUTED_VALUE"""),"sanjiv.puri@itc.in")</f>
        <v>sanjiv.puri@itc.in</v>
      </c>
      <c r="G1026" s="17"/>
      <c r="H1026" s="17"/>
    </row>
    <row r="1027">
      <c r="A1027" s="17" t="str">
        <f>IFERROR(__xludf.DUMMYFUNCTION("""COMPUTED_VALUE"""),"TCS")</f>
        <v>TCS</v>
      </c>
      <c r="B1027" s="17" t="str">
        <f>IFERROR(__xludf.DUMMYFUNCTION("""COMPUTED_VALUE"""),"K Krithivasan")</f>
        <v>K Krithivasan</v>
      </c>
      <c r="C1027" s="17" t="str">
        <f>IFERROR(__xludf.DUMMYFUNCTION("""COMPUTED_VALUE"""),"CEO &amp; MD")</f>
        <v>CEO &amp; MD</v>
      </c>
      <c r="D1027" s="27" t="str">
        <f>IFERROR(__xludf.DUMMYFUNCTION("""COMPUTED_VALUE"""),"https://www.linkedin.com/in/k-krithivasan-84659325/")</f>
        <v>https://www.linkedin.com/in/k-krithivasan-84659325/</v>
      </c>
      <c r="E1027" s="17" t="str">
        <f>IFERROR(__xludf.DUMMYFUNCTION("""COMPUTED_VALUE"""),"9282222400")</f>
        <v>9282222400</v>
      </c>
      <c r="F1027" s="17" t="str">
        <f>IFERROR(__xludf.DUMMYFUNCTION("""COMPUTED_VALUE"""),"k.krithivasan@tcs.com")</f>
        <v>k.krithivasan@tcs.com</v>
      </c>
      <c r="G1027" s="17" t="str">
        <f>IFERROR(__xludf.DUMMYFUNCTION("""COMPUTED_VALUE"""),"krithivasank@gmail.com")</f>
        <v>krithivasank@gmail.com</v>
      </c>
      <c r="H1027" s="17"/>
    </row>
    <row r="1028">
      <c r="A1028" s="17" t="str">
        <f>IFERROR(__xludf.DUMMYFUNCTION("""COMPUTED_VALUE"""),"Infosys")</f>
        <v>Infosys</v>
      </c>
      <c r="B1028" s="17" t="str">
        <f>IFERROR(__xludf.DUMMYFUNCTION("""COMPUTED_VALUE"""),"Salil Parekh")</f>
        <v>Salil Parekh</v>
      </c>
      <c r="C1028" s="17" t="str">
        <f>IFERROR(__xludf.DUMMYFUNCTION("""COMPUTED_VALUE"""),"CEO &amp; MD")</f>
        <v>CEO &amp; MD</v>
      </c>
      <c r="D1028" s="27" t="str">
        <f>IFERROR(__xludf.DUMMYFUNCTION("""COMPUTED_VALUE"""),"https://www.linkedin.com/in/salilparekh/")</f>
        <v>https://www.linkedin.com/in/salilparekh/</v>
      </c>
      <c r="E1028" s="17"/>
      <c r="F1028" s="17" t="str">
        <f>IFERROR(__xludf.DUMMYFUNCTION("""COMPUTED_VALUE"""),"salil_parekh@infosys.com")</f>
        <v>salil_parekh@infosys.com</v>
      </c>
      <c r="G1028" s="17" t="str">
        <f>IFERROR(__xludf.DUMMYFUNCTION("""COMPUTED_VALUE"""),"salilsparekh@hotmail.com")</f>
        <v>salilsparekh@hotmail.com</v>
      </c>
      <c r="H1028" s="17"/>
    </row>
    <row r="1029">
      <c r="A1029" s="17" t="str">
        <f>IFERROR(__xludf.DUMMYFUNCTION("""COMPUTED_VALUE"""),"HCL Technologies")</f>
        <v>HCL Technologies</v>
      </c>
      <c r="B1029" s="17"/>
      <c r="C1029" s="17"/>
      <c r="D1029" s="17"/>
      <c r="E1029" s="17"/>
      <c r="F1029" s="17"/>
      <c r="G1029" s="17"/>
      <c r="H1029" s="17"/>
    </row>
    <row r="1030">
      <c r="A1030" s="17" t="str">
        <f>IFERROR(__xludf.DUMMYFUNCTION("""COMPUTED_VALUE"""),"Company name ")</f>
        <v>Company name </v>
      </c>
      <c r="B1030" s="17" t="str">
        <f>IFERROR(__xludf.DUMMYFUNCTION("""COMPUTED_VALUE"""),"Name")</f>
        <v>Name</v>
      </c>
      <c r="C1030" s="17" t="str">
        <f>IFERROR(__xludf.DUMMYFUNCTION("""COMPUTED_VALUE"""),"Designation")</f>
        <v>Designation</v>
      </c>
      <c r="D1030" s="17" t="str">
        <f>IFERROR(__xludf.DUMMYFUNCTION("""COMPUTED_VALUE"""),"Linkedin ID")</f>
        <v>Linkedin ID</v>
      </c>
      <c r="E1030" s="17" t="str">
        <f>IFERROR(__xludf.DUMMYFUNCTION("""COMPUTED_VALUE"""),"Contact No.")</f>
        <v>Contact No.</v>
      </c>
      <c r="F1030" s="17" t="str">
        <f>IFERROR(__xludf.DUMMYFUNCTION("""COMPUTED_VALUE"""),"Email 1")</f>
        <v>Email 1</v>
      </c>
      <c r="G1030" s="17"/>
      <c r="H1030" s="17"/>
    </row>
    <row r="1031">
      <c r="A1031" s="17" t="str">
        <f>IFERROR(__xludf.DUMMYFUNCTION("""COMPUTED_VALUE"""),"Unicorn")</f>
        <v>Unicorn</v>
      </c>
      <c r="B1031" s="17"/>
      <c r="C1031" s="17"/>
      <c r="D1031" s="17"/>
      <c r="E1031" s="17"/>
      <c r="F1031" s="17"/>
      <c r="G1031" s="17"/>
      <c r="H1031" s="17"/>
    </row>
    <row r="1032">
      <c r="A1032" s="17" t="str">
        <f>IFERROR(__xludf.DUMMYFUNCTION("""COMPUTED_VALUE"""),"Shiprocket")</f>
        <v>Shiprocket</v>
      </c>
      <c r="B1032" s="17" t="str">
        <f>IFERROR(__xludf.DUMMYFUNCTION("""COMPUTED_VALUE"""),"Praful Poddar")</f>
        <v>Praful Poddar</v>
      </c>
      <c r="C1032" s="17" t="str">
        <f>IFERROR(__xludf.DUMMYFUNCTION("""COMPUTED_VALUE"""),"CPO")</f>
        <v>CPO</v>
      </c>
      <c r="D1032" s="27" t="str">
        <f>IFERROR(__xludf.DUMMYFUNCTION("""COMPUTED_VALUE"""),"https://www.linkedin.com/in/prafulpoddar/")</f>
        <v>https://www.linkedin.com/in/prafulpoddar/</v>
      </c>
      <c r="E1032" s="17" t="str">
        <f>IFERROR(__xludf.DUMMYFUNCTION("""COMPUTED_VALUE"""),"98105 66133")</f>
        <v>98105 66133</v>
      </c>
      <c r="F1032" s="17" t="str">
        <f>IFERROR(__xludf.DUMMYFUNCTION("""COMPUTED_VALUE"""),"praful.poddar@shiprocket.com")</f>
        <v>praful.poddar@shiprocket.com</v>
      </c>
      <c r="G1032" s="17" t="str">
        <f>IFERROR(__xludf.DUMMYFUNCTION("""COMPUTED_VALUE"""),"prafulpoddar@gmail.com")</f>
        <v>prafulpoddar@gmail.com</v>
      </c>
      <c r="H1032" s="17"/>
    </row>
    <row r="1033">
      <c r="A1033" s="17" t="str">
        <f>IFERROR(__xludf.DUMMYFUNCTION("""COMPUTED_VALUE"""),"PhysicsWallah")</f>
        <v>PhysicsWallah</v>
      </c>
      <c r="B1033" s="17" t="str">
        <f>IFERROR(__xludf.DUMMYFUNCTION("""COMPUTED_VALUE"""),"Manish Kumar")</f>
        <v>Manish Kumar</v>
      </c>
      <c r="C1033" s="17" t="str">
        <f>IFERROR(__xludf.DUMMYFUNCTION("""COMPUTED_VALUE"""),"CPO")</f>
        <v>CPO</v>
      </c>
      <c r="D1033" s="27" t="str">
        <f>IFERROR(__xludf.DUMMYFUNCTION("""COMPUTED_VALUE"""),"https://www.linkedin.com/in/manish-kumar-781614104/")</f>
        <v>https://www.linkedin.com/in/manish-kumar-781614104/</v>
      </c>
      <c r="E1033" s="17" t="str">
        <f>IFERROR(__xludf.DUMMYFUNCTION("""COMPUTED_VALUE"""),"97825 87768, +91 77424 59143")</f>
        <v>97825 87768, +91 77424 59143</v>
      </c>
      <c r="F1033" s="17" t="str">
        <f>IFERROR(__xludf.DUMMYFUNCTION("""COMPUTED_VALUE"""),"manish.kumar@pw.live")</f>
        <v>manish.kumar@pw.live</v>
      </c>
      <c r="G1033" s="17" t="str">
        <f>IFERROR(__xludf.DUMMYFUNCTION("""COMPUTED_VALUE"""),"manish@altisvortex.com")</f>
        <v>manish@altisvortex.com</v>
      </c>
      <c r="H1033" s="17" t="str">
        <f>IFERROR(__xludf.DUMMYFUNCTION("""COMPUTED_VALUE"""),"manish.vite@gmail.com")</f>
        <v>manish.vite@gmail.com</v>
      </c>
    </row>
    <row r="1034">
      <c r="A1034" s="17" t="str">
        <f>IFERROR(__xludf.DUMMYFUNCTION("""COMPUTED_VALUE"""),"Meesho")</f>
        <v>Meesho</v>
      </c>
      <c r="B1034" s="17" t="str">
        <f>IFERROR(__xludf.DUMMYFUNCTION("""COMPUTED_VALUE"""),"Prasanna Arunachalam")</f>
        <v>Prasanna Arunachalam</v>
      </c>
      <c r="C1034" s="17" t="str">
        <f>IFERROR(__xludf.DUMMYFUNCTION("""COMPUTED_VALUE"""),"CPO")</f>
        <v>CPO</v>
      </c>
      <c r="D1034" s="27" t="str">
        <f>IFERROR(__xludf.DUMMYFUNCTION("""COMPUTED_VALUE"""),"https://www.linkedin.com/in/prasanna-arunachalam-a344a314/")</f>
        <v>https://www.linkedin.com/in/prasanna-arunachalam-a344a314/</v>
      </c>
      <c r="E1034" s="17" t="str">
        <f>IFERROR(__xludf.DUMMYFUNCTION("""COMPUTED_VALUE"""),"81975 23932")</f>
        <v>81975 23932</v>
      </c>
      <c r="F1034" s="17" t="str">
        <f>IFERROR(__xludf.DUMMYFUNCTION("""COMPUTED_VALUE"""),"prasanna.arunachalam@meesho.com")</f>
        <v>prasanna.arunachalam@meesho.com</v>
      </c>
      <c r="G1034" s="17" t="str">
        <f>IFERROR(__xludf.DUMMYFUNCTION("""COMPUTED_VALUE"""),"prasan19@gmail.com")</f>
        <v>prasan19@gmail.com</v>
      </c>
      <c r="H1034" s="17"/>
    </row>
    <row r="1035">
      <c r="A1035" s="17" t="str">
        <f>IFERROR(__xludf.DUMMYFUNCTION("""COMPUTED_VALUE"""),"Purplle")</f>
        <v>Purplle</v>
      </c>
      <c r="B1035" s="17" t="str">
        <f>IFERROR(__xludf.DUMMYFUNCTION("""COMPUTED_VALUE"""),"Gaurav Madan")</f>
        <v>Gaurav Madan</v>
      </c>
      <c r="C1035" s="17" t="str">
        <f>IFERROR(__xludf.DUMMYFUNCTION("""COMPUTED_VALUE"""),"Supply Chain and Product Development Head")</f>
        <v>Supply Chain and Product Development Head</v>
      </c>
      <c r="D1035" s="27" t="str">
        <f>IFERROR(__xludf.DUMMYFUNCTION("""COMPUTED_VALUE"""),"https://www.linkedin.com/in/madangaurav/")</f>
        <v>https://www.linkedin.com/in/madangaurav/</v>
      </c>
      <c r="E1035" s="17" t="str">
        <f>IFERROR(__xludf.DUMMYFUNCTION("""COMPUTED_VALUE"""),"95604 59210, +91 95388 74842")</f>
        <v>95604 59210, +91 95388 74842</v>
      </c>
      <c r="F1035" s="17" t="str">
        <f>IFERROR(__xludf.DUMMYFUNCTION("""COMPUTED_VALUE"""),"gaurav.m@purplle.com")</f>
        <v>gaurav.m@purplle.com</v>
      </c>
      <c r="G1035" s="17" t="str">
        <f>IFERROR(__xludf.DUMMYFUNCTION("""COMPUTED_VALUE"""),"gmcool86@yahoo.co.in")</f>
        <v>gmcool86@yahoo.co.in</v>
      </c>
      <c r="H1035" s="17"/>
    </row>
    <row r="1036">
      <c r="A1036" s="17" t="str">
        <f>IFERROR(__xludf.DUMMYFUNCTION("""COMPUTED_VALUE"""),"Acko")</f>
        <v>Acko</v>
      </c>
      <c r="B1036" s="17" t="str">
        <f>IFERROR(__xludf.DUMMYFUNCTION("""COMPUTED_VALUE"""),"Kaustubh Agnihotri")</f>
        <v>Kaustubh Agnihotri</v>
      </c>
      <c r="C1036" s="17" t="str">
        <f>IFERROR(__xludf.DUMMYFUNCTION("""COMPUTED_VALUE"""),"Head of Product")</f>
        <v>Head of Product</v>
      </c>
      <c r="D1036" s="27" t="str">
        <f>IFERROR(__xludf.DUMMYFUNCTION("""COMPUTED_VALUE"""),"https://www.linkedin.com/in/kaustubhagnihotri/")</f>
        <v>https://www.linkedin.com/in/kaustubhagnihotri/</v>
      </c>
      <c r="E1036" s="17" t="str">
        <f>IFERROR(__xludf.DUMMYFUNCTION("""COMPUTED_VALUE"""),"96204 75353")</f>
        <v>96204 75353</v>
      </c>
      <c r="F1036" s="17" t="str">
        <f>IFERROR(__xludf.DUMMYFUNCTION("""COMPUTED_VALUE"""),"kaustubh.agnihotri@acko.tech")</f>
        <v>kaustubh.agnihotri@acko.tech</v>
      </c>
      <c r="G1036" s="17"/>
      <c r="H1036" s="17"/>
    </row>
    <row r="1037">
      <c r="A1037" s="17" t="str">
        <f>IFERROR(__xludf.DUMMYFUNCTION("""COMPUTED_VALUE"""),"cult.sport")</f>
        <v>cult.sport</v>
      </c>
      <c r="B1037" s="17" t="str">
        <f>IFERROR(__xludf.DUMMYFUNCTION("""COMPUTED_VALUE"""),"Aditi Agrawal")</f>
        <v>Aditi Agrawal</v>
      </c>
      <c r="C1037" s="17" t="str">
        <f>IFERROR(__xludf.DUMMYFUNCTION("""COMPUTED_VALUE"""),"Head of Product")</f>
        <v>Head of Product</v>
      </c>
      <c r="D1037" s="27" t="str">
        <f>IFERROR(__xludf.DUMMYFUNCTION("""COMPUTED_VALUE"""),"https://www.linkedin.com/in/aditiagr/")</f>
        <v>https://www.linkedin.com/in/aditiagr/</v>
      </c>
      <c r="E1037" s="17" t="str">
        <f>IFERROR(__xludf.DUMMYFUNCTION("""COMPUTED_VALUE"""),"95602 19045")</f>
        <v>95602 19045</v>
      </c>
      <c r="F1037" s="17" t="str">
        <f>IFERROR(__xludf.DUMMYFUNCTION("""COMPUTED_VALUE"""),"aditi.agrawal@curefit.com")</f>
        <v>aditi.agrawal@curefit.com</v>
      </c>
      <c r="G1037" s="17"/>
      <c r="H1037" s="17"/>
    </row>
    <row r="1038">
      <c r="A1038" s="17" t="str">
        <f>IFERROR(__xludf.DUMMYFUNCTION("""COMPUTED_VALUE"""),"upGrad")</f>
        <v>upGrad</v>
      </c>
      <c r="B1038" s="17" t="str">
        <f>IFERROR(__xludf.DUMMYFUNCTION("""COMPUTED_VALUE"""),"Deepesh Dhakad")</f>
        <v>Deepesh Dhakad</v>
      </c>
      <c r="C1038" s="17" t="str">
        <f>IFERROR(__xludf.DUMMYFUNCTION("""COMPUTED_VALUE"""),"Chief Product and Technology Officer")</f>
        <v>Chief Product and Technology Officer</v>
      </c>
      <c r="D1038" s="27" t="str">
        <f>IFERROR(__xludf.DUMMYFUNCTION("""COMPUTED_VALUE"""),"https://www.linkedin.com/in/deepeshdhakad/")</f>
        <v>https://www.linkedin.com/in/deepeshdhakad/</v>
      </c>
      <c r="E1038" s="17" t="str">
        <f>IFERROR(__xludf.DUMMYFUNCTION("""COMPUTED_VALUE"""),"89719 99433")</f>
        <v>89719 99433</v>
      </c>
      <c r="F1038" s="17" t="str">
        <f>IFERROR(__xludf.DUMMYFUNCTION("""COMPUTED_VALUE"""),"deepesh.dhakad@upgrad.com")</f>
        <v>deepesh.dhakad@upgrad.com</v>
      </c>
      <c r="G1038" s="17" t="str">
        <f>IFERROR(__xludf.DUMMYFUNCTION("""COMPUTED_VALUE"""),"deepeshdhakad@gmail.com")</f>
        <v>deepeshdhakad@gmail.com</v>
      </c>
      <c r="H1038" s="17"/>
    </row>
    <row r="1039">
      <c r="A1039" s="17" t="str">
        <f>IFERROR(__xludf.DUMMYFUNCTION("""COMPUTED_VALUE"""),"bharatpe")</f>
        <v>bharatpe</v>
      </c>
      <c r="B1039" s="17" t="str">
        <f>IFERROR(__xludf.DUMMYFUNCTION("""COMPUTED_VALUE"""),"Rohan Khara")</f>
        <v>Rohan Khara</v>
      </c>
      <c r="C1039" s="17" t="str">
        <f>IFERROR(__xludf.DUMMYFUNCTION("""COMPUTED_VALUE"""),"CPO")</f>
        <v>CPO</v>
      </c>
      <c r="D1039" s="27" t="str">
        <f>IFERROR(__xludf.DUMMYFUNCTION("""COMPUTED_VALUE"""),"https://www.linkedin.com/in/rohankhara/")</f>
        <v>https://www.linkedin.com/in/rohankhara/</v>
      </c>
      <c r="E1039" s="17"/>
      <c r="F1039" s="17" t="str">
        <f>IFERROR(__xludf.DUMMYFUNCTION("""COMPUTED_VALUE"""),"rohan@bharatpe.com")</f>
        <v>rohan@bharatpe.com</v>
      </c>
      <c r="G1039" s="17"/>
      <c r="H1039" s="17"/>
    </row>
    <row r="1040">
      <c r="A1040" s="17" t="str">
        <f>IFERROR(__xludf.DUMMYFUNCTION("""COMPUTED_VALUE"""),"CARS24")</f>
        <v>CARS24</v>
      </c>
      <c r="B1040" s="17" t="str">
        <f>IFERROR(__xludf.DUMMYFUNCTION("""COMPUTED_VALUE"""),"Priyanka Arora")</f>
        <v>Priyanka Arora</v>
      </c>
      <c r="C1040" s="17" t="str">
        <f>IFERROR(__xludf.DUMMYFUNCTION("""COMPUTED_VALUE"""),"Head of Product")</f>
        <v>Head of Product</v>
      </c>
      <c r="D1040" s="27" t="str">
        <f>IFERROR(__xludf.DUMMYFUNCTION("""COMPUTED_VALUE"""),"https://www.linkedin.com/in/priyanka-arora-a532711a2/")</f>
        <v>https://www.linkedin.com/in/priyanka-arora-a532711a2/</v>
      </c>
      <c r="E1040" s="17" t="str">
        <f>IFERROR(__xludf.DUMMYFUNCTION("""COMPUTED_VALUE"""),"919979745514")</f>
        <v>919979745514</v>
      </c>
      <c r="F1040" s="17" t="str">
        <f>IFERROR(__xludf.DUMMYFUNCTION("""COMPUTED_VALUE"""),"er.priyankakochhar@gmail.com ")</f>
        <v>er.priyankakochhar@gmail.com </v>
      </c>
      <c r="G1040" s="17" t="str">
        <f>IFERROR(__xludf.DUMMYFUNCTION("""COMPUTED_VALUE"""),"priyanka.arora@docquity.com")</f>
        <v>priyanka.arora@docquity.com</v>
      </c>
      <c r="H1040" s="17"/>
    </row>
    <row r="1041">
      <c r="A1041" s="17" t="str">
        <f>IFERROR(__xludf.DUMMYFUNCTION("""COMPUTED_VALUE"""),"Moglix")</f>
        <v>Moglix</v>
      </c>
      <c r="B1041" s="17" t="str">
        <f>IFERROR(__xludf.DUMMYFUNCTION("""COMPUTED_VALUE"""),"Deepak Agarwal")</f>
        <v>Deepak Agarwal</v>
      </c>
      <c r="C1041" s="17" t="str">
        <f>IFERROR(__xludf.DUMMYFUNCTION("""COMPUTED_VALUE"""),"Senior Director of Products")</f>
        <v>Senior Director of Products</v>
      </c>
      <c r="D1041" s="27" t="str">
        <f>IFERROR(__xludf.DUMMYFUNCTION("""COMPUTED_VALUE"""),"https://www.linkedin.com/in/mdideepak/")</f>
        <v>https://www.linkedin.com/in/mdideepak/</v>
      </c>
      <c r="E1041" s="17" t="str">
        <f>IFERROR(__xludf.DUMMYFUNCTION("""COMPUTED_VALUE"""),"9811590035")</f>
        <v>9811590035</v>
      </c>
      <c r="F1041" s="17" t="str">
        <f>IFERROR(__xludf.DUMMYFUNCTION("""COMPUTED_VALUE"""),"mdi.deepak@gmail.com, deepak.agarwal@moglix.com")</f>
        <v>mdi.deepak@gmail.com, deepak.agarwal@moglix.com</v>
      </c>
      <c r="G1041" s="17"/>
      <c r="H1041" s="17"/>
    </row>
    <row r="1042">
      <c r="A1042" s="17" t="str">
        <f>IFERROR(__xludf.DUMMYFUNCTION("""COMPUTED_VALUE"""),"Spinny")</f>
        <v>Spinny</v>
      </c>
      <c r="B1042" s="17" t="str">
        <f>IFERROR(__xludf.DUMMYFUNCTION("""COMPUTED_VALUE"""),"Karan Kumar")</f>
        <v>Karan Kumar</v>
      </c>
      <c r="C1042" s="17" t="str">
        <f>IFERROR(__xludf.DUMMYFUNCTION("""COMPUTED_VALUE"""),"VP Product")</f>
        <v>VP Product</v>
      </c>
      <c r="D1042" s="27" t="str">
        <f>IFERROR(__xludf.DUMMYFUNCTION("""COMPUTED_VALUE"""),"https://www.linkedin.com/in/karan-kumar-68084211/")</f>
        <v>https://www.linkedin.com/in/karan-kumar-68084211/</v>
      </c>
      <c r="E1042" s="17" t="str">
        <f>IFERROR(__xludf.DUMMYFUNCTION("""COMPUTED_VALUE"""),"80101.00900, 919873003850")</f>
        <v>80101.00900, 919873003850</v>
      </c>
      <c r="F1042" s="17" t="str">
        <f>IFERROR(__xludf.DUMMYFUNCTION("""COMPUTED_VALUE"""),"karan.kumar@spinny.com")</f>
        <v>karan.kumar@spinny.com</v>
      </c>
      <c r="G1042" s="17"/>
      <c r="H1042" s="17"/>
    </row>
    <row r="1043">
      <c r="A1043" s="17" t="str">
        <f>IFERROR(__xludf.DUMMYFUNCTION("""COMPUTED_VALUE"""),"Licious")</f>
        <v>Licious</v>
      </c>
      <c r="B1043" s="17" t="str">
        <f>IFERROR(__xludf.DUMMYFUNCTION("""COMPUTED_VALUE"""),"Ajit Narayanan")</f>
        <v>Ajit Narayanan</v>
      </c>
      <c r="C1043" s="17" t="str">
        <f>IFERROR(__xludf.DUMMYFUNCTION("""COMPUTED_VALUE"""),"CPTO")</f>
        <v>CPTO</v>
      </c>
      <c r="D1043" s="27" t="str">
        <f>IFERROR(__xludf.DUMMYFUNCTION("""COMPUTED_VALUE"""),"https://www.linkedin.com/in/ajitnarayanan/")</f>
        <v>https://www.linkedin.com/in/ajitnarayanan/</v>
      </c>
      <c r="E1043" s="17" t="str">
        <f>IFERROR(__xludf.DUMMYFUNCTION("""COMPUTED_VALUE"""),"919986017952, +91.1800.419.0786")</f>
        <v>919986017952, +91.1800.419.0786</v>
      </c>
      <c r="F1043" s="17" t="str">
        <f>IFERROR(__xludf.DUMMYFUNCTION("""COMPUTED_VALUE"""),"ajit.narayanan@gmail.com")</f>
        <v>ajit.narayanan@gmail.com</v>
      </c>
      <c r="G1043" s="17"/>
      <c r="H1043" s="17"/>
    </row>
    <row r="1044">
      <c r="A1044" s="17" t="str">
        <f>IFERROR(__xludf.DUMMYFUNCTION("""COMPUTED_VALUE"""),"Zepto")</f>
        <v>Zepto</v>
      </c>
      <c r="B1044" s="17" t="str">
        <f>IFERROR(__xludf.DUMMYFUNCTION("""COMPUTED_VALUE"""),"Ankit Agarwal")</f>
        <v>Ankit Agarwal</v>
      </c>
      <c r="C1044" s="17" t="str">
        <f>IFERROR(__xludf.DUMMYFUNCTION("""COMPUTED_VALUE"""),"CPO")</f>
        <v>CPO</v>
      </c>
      <c r="D1044" s="27" t="str">
        <f>IFERROR(__xludf.DUMMYFUNCTION("""COMPUTED_VALUE"""),"https://www.linkedin.com/in/ankitagarwal703/")</f>
        <v>https://www.linkedin.com/in/ankitagarwal703/</v>
      </c>
      <c r="E1044" s="17" t="str">
        <f>IFERROR(__xludf.DUMMYFUNCTION("""COMPUTED_VALUE"""),"919582995496, +91.22.4893.0234, 919582995496")</f>
        <v>919582995496, +91.22.4893.0234, 919582995496</v>
      </c>
      <c r="F1044" s="17" t="str">
        <f>IFERROR(__xludf.DUMMYFUNCTION("""COMPUTED_VALUE"""),"ankit.agarwal@zeptonow.com")</f>
        <v>ankit.agarwal@zeptonow.com</v>
      </c>
      <c r="G1044" s="17" t="str">
        <f>IFERROR(__xludf.DUMMYFUNCTION("""COMPUTED_VALUE"""),"ankit.zhcet@gmail.com")</f>
        <v>ankit.zhcet@gmail.com</v>
      </c>
      <c r="H1044" s="17"/>
    </row>
    <row r="1045">
      <c r="A1045" s="17" t="str">
        <f>IFERROR(__xludf.DUMMYFUNCTION("""COMPUTED_VALUE"""),"Zeta")</f>
        <v>Zeta</v>
      </c>
      <c r="B1045" s="17" t="str">
        <f>IFERROR(__xludf.DUMMYFUNCTION("""COMPUTED_VALUE"""),"Prakash Gorjilla")</f>
        <v>Prakash Gorjilla</v>
      </c>
      <c r="C1045" s="17" t="str">
        <f>IFERROR(__xludf.DUMMYFUNCTION("""COMPUTED_VALUE"""),"Founder &amp; Chief People &amp; Product Officer")</f>
        <v>Founder &amp; Chief People &amp; Product Officer</v>
      </c>
      <c r="D1045" s="27" t="str">
        <f>IFERROR(__xludf.DUMMYFUNCTION("""COMPUTED_VALUE"""),"https://www.linkedin.com/in/prakash-gorjilla-15081123/")</f>
        <v>https://www.linkedin.com/in/prakash-gorjilla-15081123/</v>
      </c>
      <c r="E1045" s="17" t="str">
        <f>IFERROR(__xludf.DUMMYFUNCTION("""COMPUTED_VALUE"""),"919743300030")</f>
        <v>919743300030</v>
      </c>
      <c r="F1045" s="17" t="str">
        <f>IFERROR(__xludf.DUMMYFUNCTION("""COMPUTED_VALUE"""),"pgorjilla@zetaglobal.com")</f>
        <v>pgorjilla@zetaglobal.com</v>
      </c>
      <c r="G1045" s="17" t="str">
        <f>IFERROR(__xludf.DUMMYFUNCTION("""COMPUTED_VALUE"""),"prakashgjc@gmail.com")</f>
        <v>prakashgjc@gmail.com</v>
      </c>
      <c r="H1045" s="17"/>
    </row>
    <row r="1046">
      <c r="A1046" s="17" t="str">
        <f>IFERROR(__xludf.DUMMYFUNCTION("""COMPUTED_VALUE"""),"Juspay")</f>
        <v>Juspay</v>
      </c>
      <c r="B1046" s="17" t="str">
        <f>IFERROR(__xludf.DUMMYFUNCTION("""COMPUTED_VALUE"""),"Malav Shah")</f>
        <v>Malav Shah</v>
      </c>
      <c r="C1046" s="17" t="str">
        <f>IFERROR(__xludf.DUMMYFUNCTION("""COMPUTED_VALUE"""),"Head of Product")</f>
        <v>Head of Product</v>
      </c>
      <c r="D1046" s="27" t="str">
        <f>IFERROR(__xludf.DUMMYFUNCTION("""COMPUTED_VALUE"""),"https://www.linkedin.com/in/malav42/")</f>
        <v>https://www.linkedin.com/in/malav42/</v>
      </c>
      <c r="E1046" s="17" t="str">
        <f>IFERROR(__xludf.DUMMYFUNCTION("""COMPUTED_VALUE"""),"707.660.7677, +91.89519.80702")</f>
        <v>707.660.7677, +91.89519.80702</v>
      </c>
      <c r="F1046" s="17" t="str">
        <f>IFERROR(__xludf.DUMMYFUNCTION("""COMPUTED_VALUE"""),"malav.shah@juspay.in")</f>
        <v>malav.shah@juspay.in</v>
      </c>
      <c r="G1046" s="17" t="str">
        <f>IFERROR(__xludf.DUMMYFUNCTION("""COMPUTED_VALUE"""),"malav42@gmail.com")</f>
        <v>malav42@gmail.com</v>
      </c>
      <c r="H1046" s="17"/>
    </row>
    <row r="1047">
      <c r="A1047" s="17" t="str">
        <f>IFERROR(__xludf.DUMMYFUNCTION("""COMPUTED_VALUE"""),"InCred")</f>
        <v>InCred</v>
      </c>
      <c r="B1047" s="17" t="str">
        <f>IFERROR(__xludf.DUMMYFUNCTION("""COMPUTED_VALUE"""),"Ashwin Sekar")</f>
        <v>Ashwin Sekar</v>
      </c>
      <c r="C1047" s="17" t="str">
        <f>IFERROR(__xludf.DUMMYFUNCTION("""COMPUTED_VALUE"""),"CPTO")</f>
        <v>CPTO</v>
      </c>
      <c r="D1047" s="27" t="str">
        <f>IFERROR(__xludf.DUMMYFUNCTION("""COMPUTED_VALUE"""),"https://www.linkedin.com/in/ashwin-sekar-5bb3186/")</f>
        <v>https://www.linkedin.com/in/ashwin-sekar-5bb3186/</v>
      </c>
      <c r="E1047" s="17" t="str">
        <f>IFERROR(__xludf.DUMMYFUNCTION("""COMPUTED_VALUE"""),"919962434196, +91.1860.500.2192")</f>
        <v>919962434196, +91.1860.500.2192</v>
      </c>
      <c r="F1047" s="17" t="str">
        <f>IFERROR(__xludf.DUMMYFUNCTION("""COMPUTED_VALUE"""),"ashwin.sekar@incred.com")</f>
        <v>ashwin.sekar@incred.com</v>
      </c>
      <c r="G1047" s="17" t="str">
        <f>IFERROR(__xludf.DUMMYFUNCTION("""COMPUTED_VALUE"""),"acewinsekar@gmail.com")</f>
        <v>acewinsekar@gmail.com</v>
      </c>
      <c r="H1047" s="17"/>
    </row>
    <row r="1048">
      <c r="A1048" s="17" t="str">
        <f>IFERROR(__xludf.DUMMYFUNCTION("""COMPUTED_VALUE"""),"OneCard")</f>
        <v>OneCard</v>
      </c>
      <c r="B1048" s="17" t="str">
        <f>IFERROR(__xludf.DUMMYFUNCTION("""COMPUTED_VALUE"""),"Swati Vishnoi")</f>
        <v>Swati Vishnoi</v>
      </c>
      <c r="C1048" s="17" t="str">
        <f>IFERROR(__xludf.DUMMYFUNCTION("""COMPUTED_VALUE"""),"Product")</f>
        <v>Product</v>
      </c>
      <c r="D1048" s="27" t="str">
        <f>IFERROR(__xludf.DUMMYFUNCTION("""COMPUTED_VALUE"""),"https://www.linkedin.com/in/swati-vishnoi-aa00664b/")</f>
        <v>https://www.linkedin.com/in/swati-vishnoi-aa00664b/</v>
      </c>
      <c r="E1048" s="17" t="str">
        <f>IFERROR(__xludf.DUMMYFUNCTION("""COMPUTED_VALUE"""),"918879103818")</f>
        <v>918879103818</v>
      </c>
      <c r="F1048" s="17" t="str">
        <f>IFERROR(__xludf.DUMMYFUNCTION("""COMPUTED_VALUE"""),"swati@onescore.app")</f>
        <v>swati@onescore.app</v>
      </c>
      <c r="G1048" s="17" t="str">
        <f>IFERROR(__xludf.DUMMYFUNCTION("""COMPUTED_VALUE"""),"vishnoi.swati1510@gmail.com")</f>
        <v>vishnoi.swati1510@gmail.com</v>
      </c>
      <c r="H1048" s="17"/>
    </row>
    <row r="1049">
      <c r="A1049" s="17" t="str">
        <f>IFERROR(__xludf.DUMMYFUNCTION("""COMPUTED_VALUE"""),"Dream11")</f>
        <v>Dream11</v>
      </c>
      <c r="B1049" s="17" t="str">
        <f>IFERROR(__xludf.DUMMYFUNCTION("""COMPUTED_VALUE"""),"Rahul Mirchandani")</f>
        <v>Rahul Mirchandani</v>
      </c>
      <c r="C1049" s="17" t="str">
        <f>IFERROR(__xludf.DUMMYFUNCTION("""COMPUTED_VALUE"""),"CPO")</f>
        <v>CPO</v>
      </c>
      <c r="D1049" s="27" t="str">
        <f>IFERROR(__xludf.DUMMYFUNCTION("""COMPUTED_VALUE"""),"https://www.linkedin.com/in/rahulmirchandani/")</f>
        <v>https://www.linkedin.com/in/rahulmirchandani/</v>
      </c>
      <c r="E1049" s="17" t="str">
        <f>IFERROR(__xludf.DUMMYFUNCTION("""COMPUTED_VALUE"""),"97142781788")</f>
        <v>97142781788</v>
      </c>
      <c r="F1049" s="17" t="str">
        <f>IFERROR(__xludf.DUMMYFUNCTION("""COMPUTED_VALUE"""),"rahul@dream11.com")</f>
        <v>rahul@dream11.com</v>
      </c>
      <c r="G1049" s="17" t="str">
        <f>IFERROR(__xludf.DUMMYFUNCTION("""COMPUTED_VALUE"""),"r.mirchandani@gmail.com")</f>
        <v>r.mirchandani@gmail.com</v>
      </c>
      <c r="H1049" s="17"/>
    </row>
    <row r="1050">
      <c r="A1050" s="17" t="str">
        <f>IFERROR(__xludf.DUMMYFUNCTION("""COMPUTED_VALUE"""),"Rapido")</f>
        <v>Rapido</v>
      </c>
      <c r="B1050" s="17" t="str">
        <f>IFERROR(__xludf.DUMMYFUNCTION("""COMPUTED_VALUE"""),"Praneeth Bakki")</f>
        <v>Praneeth Bakki</v>
      </c>
      <c r="C1050" s="17" t="str">
        <f>IFERROR(__xludf.DUMMYFUNCTION("""COMPUTED_VALUE"""),"Customer Products")</f>
        <v>Customer Products</v>
      </c>
      <c r="D1050" s="27" t="str">
        <f>IFERROR(__xludf.DUMMYFUNCTION("""COMPUTED_VALUE"""),"https://www.linkedin.com/in/praneethbakki/")</f>
        <v>https://www.linkedin.com/in/praneethbakki/</v>
      </c>
      <c r="E1050" s="17"/>
      <c r="F1050" s="17"/>
      <c r="G1050" s="17"/>
      <c r="H1050" s="17"/>
    </row>
    <row r="1051">
      <c r="A1051" s="17" t="str">
        <f>IFERROR(__xludf.DUMMYFUNCTION("""COMPUTED_VALUE"""),"MPL")</f>
        <v>MPL</v>
      </c>
      <c r="B1051" s="17" t="str">
        <f>IFERROR(__xludf.DUMMYFUNCTION("""COMPUTED_VALUE"""),"Vaibhav Kejriwal")</f>
        <v>Vaibhav Kejriwal</v>
      </c>
      <c r="C1051" s="17" t="str">
        <f>IFERROR(__xludf.DUMMYFUNCTION("""COMPUTED_VALUE"""),"Product Manager")</f>
        <v>Product Manager</v>
      </c>
      <c r="D1051" s="27" t="str">
        <f>IFERROR(__xludf.DUMMYFUNCTION("""COMPUTED_VALUE"""),"https://www.linkedin.com/in/vaibhav98/")</f>
        <v>https://www.linkedin.com/in/vaibhav98/</v>
      </c>
      <c r="E1051" s="17"/>
      <c r="F1051" s="17" t="str">
        <f>IFERROR(__xludf.DUMMYFUNCTION("""COMPUTED_VALUE"""),"vaibhavkejriwal98@gmail.com")</f>
        <v>vaibhavkejriwal98@gmail.com</v>
      </c>
      <c r="G1051" s="17"/>
      <c r="H1051" s="17"/>
    </row>
    <row r="1052">
      <c r="A1052" s="17" t="str">
        <f>IFERROR(__xludf.DUMMYFUNCTION("""COMPUTED_VALUE"""),"Innovaccer")</f>
        <v>Innovaccer</v>
      </c>
      <c r="B1052" s="17" t="str">
        <f>IFERROR(__xludf.DUMMYFUNCTION("""COMPUTED_VALUE"""),"Abhay Prasad")</f>
        <v>Abhay Prasad</v>
      </c>
      <c r="C1052" s="17" t="str">
        <f>IFERROR(__xludf.DUMMYFUNCTION("""COMPUTED_VALUE"""),"Chief Product Officer")</f>
        <v>Chief Product Officer</v>
      </c>
      <c r="D1052" s="27" t="str">
        <f>IFERROR(__xludf.DUMMYFUNCTION("""COMPUTED_VALUE"""),"https://www.linkedin.com/in/abhaybprasad/")</f>
        <v>https://www.linkedin.com/in/abhaybprasad/</v>
      </c>
      <c r="E1052" s="17"/>
      <c r="F1052" s="17" t="str">
        <f>IFERROR(__xludf.DUMMYFUNCTION("""COMPUTED_VALUE"""),"abhay.prasad@innovaccer.com")</f>
        <v>abhay.prasad@innovaccer.com</v>
      </c>
      <c r="G1052" s="17" t="str">
        <f>IFERROR(__xludf.DUMMYFUNCTION("""COMPUTED_VALUE"""),"abhay5ue@gmail.com")</f>
        <v>abhay5ue@gmail.com</v>
      </c>
      <c r="H1052" s="17"/>
    </row>
    <row r="1053">
      <c r="A1053" s="17" t="str">
        <f>IFERROR(__xludf.DUMMYFUNCTION("""COMPUTED_VALUE"""),"Rebel Foods")</f>
        <v>Rebel Foods</v>
      </c>
      <c r="B1053" s="17" t="str">
        <f>IFERROR(__xludf.DUMMYFUNCTION("""COMPUTED_VALUE"""),"Parag Bhattacharyya")</f>
        <v>Parag Bhattacharyya</v>
      </c>
      <c r="C1053" s="17" t="str">
        <f>IFERROR(__xludf.DUMMYFUNCTION("""COMPUTED_VALUE"""),"VP &amp; Head Of Procurement")</f>
        <v>VP &amp; Head Of Procurement</v>
      </c>
      <c r="D1053" s="27" t="str">
        <f>IFERROR(__xludf.DUMMYFUNCTION("""COMPUTED_VALUE"""),"https://www.linkedin.com/in/paragb555a578914/")</f>
        <v>https://www.linkedin.com/in/paragb555a578914/</v>
      </c>
      <c r="E1053" s="17"/>
      <c r="F1053" s="17" t="str">
        <f>IFERROR(__xludf.DUMMYFUNCTION("""COMPUTED_VALUE"""),"parag.bhattacharyya@rebelfoods.com")</f>
        <v>parag.bhattacharyya@rebelfoods.com</v>
      </c>
      <c r="G1053" s="17" t="str">
        <f>IFERROR(__xludf.DUMMYFUNCTION("""COMPUTED_VALUE"""),"parag.bhattacharyya@vodafone.com")</f>
        <v>parag.bhattacharyya@vodafone.com</v>
      </c>
      <c r="H1053" s="17" t="str">
        <f>IFERROR(__xludf.DUMMYFUNCTION("""COMPUTED_VALUE"""),"paragb55@gmail.com")</f>
        <v>paragb55@gmail.com</v>
      </c>
    </row>
    <row r="1054">
      <c r="A1054" s="17" t="str">
        <f>IFERROR(__xludf.DUMMYFUNCTION("""COMPUTED_VALUE"""),"Upstox")</f>
        <v>Upstox</v>
      </c>
      <c r="B1054" s="17" t="str">
        <f>IFERROR(__xludf.DUMMYFUNCTION("""COMPUTED_VALUE"""),"Puneet Maheshwari")</f>
        <v>Puneet Maheshwari</v>
      </c>
      <c r="C1054" s="17" t="str">
        <f>IFERROR(__xludf.DUMMYFUNCTION("""COMPUTED_VALUE"""),"Director &amp; VP of Products")</f>
        <v>Director &amp; VP of Products</v>
      </c>
      <c r="D1054" s="27" t="str">
        <f>IFERROR(__xludf.DUMMYFUNCTION("""COMPUTED_VALUE"""),"https://www.linkedin.com/in/puneet-maheshwari-41201925/")</f>
        <v>https://www.linkedin.com/in/puneet-maheshwari-41201925/</v>
      </c>
      <c r="E1054" s="17" t="str">
        <f>IFERROR(__xludf.DUMMYFUNCTION("""COMPUTED_VALUE"""),"919819852288")</f>
        <v>919819852288</v>
      </c>
      <c r="F1054" s="17" t="str">
        <f>IFERROR(__xludf.DUMMYFUNCTION("""COMPUTED_VALUE"""),"puneet.maheshwari@upstox.com")</f>
        <v>puneet.maheshwari@upstox.com</v>
      </c>
      <c r="G1054" s="17"/>
      <c r="H1054" s="17"/>
    </row>
    <row r="1055">
      <c r="A1055" s="17" t="str">
        <f>IFERROR(__xludf.DUMMYFUNCTION("""COMPUTED_VALUE"""),"CRED")</f>
        <v>CRED</v>
      </c>
      <c r="B1055" s="17" t="str">
        <f>IFERROR(__xludf.DUMMYFUNCTION("""COMPUTED_VALUE"""),"Rahul Harkisanka")</f>
        <v>Rahul Harkisanka</v>
      </c>
      <c r="C1055" s="17" t="str">
        <f>IFERROR(__xludf.DUMMYFUNCTION("""COMPUTED_VALUE"""),"Product and Business Head")</f>
        <v>Product and Business Head</v>
      </c>
      <c r="D1055" s="27" t="str">
        <f>IFERROR(__xludf.DUMMYFUNCTION("""COMPUTED_VALUE"""),"https://www.linkedin.com/in/rahulharkisanka/")</f>
        <v>https://www.linkedin.com/in/rahulharkisanka/</v>
      </c>
      <c r="E1055" s="17" t="str">
        <f>IFERROR(__xludf.DUMMYFUNCTION("""COMPUTED_VALUE"""),"919650582969")</f>
        <v>919650582969</v>
      </c>
      <c r="F1055" s="17"/>
      <c r="G1055" s="17"/>
      <c r="H1055" s="17"/>
    </row>
    <row r="1056">
      <c r="A1056" s="17" t="str">
        <f>IFERROR(__xludf.DUMMYFUNCTION("""COMPUTED_VALUE"""),"Snapdeal")</f>
        <v>Snapdeal</v>
      </c>
      <c r="B1056" s="17" t="str">
        <f>IFERROR(__xludf.DUMMYFUNCTION("""COMPUTED_VALUE"""),"Arvind Kumar")</f>
        <v>Arvind Kumar</v>
      </c>
      <c r="C1056" s="17" t="str">
        <f>IFERROR(__xludf.DUMMYFUNCTION("""COMPUTED_VALUE"""),"Senior Director - Product Management")</f>
        <v>Senior Director - Product Management</v>
      </c>
      <c r="D1056" s="27" t="str">
        <f>IFERROR(__xludf.DUMMYFUNCTION("""COMPUTED_VALUE"""),"https://www.linkedin.com/in/andyaru/")</f>
        <v>https://www.linkedin.com/in/andyaru/</v>
      </c>
      <c r="E1056" s="17" t="str">
        <f>IFERROR(__xludf.DUMMYFUNCTION("""COMPUTED_VALUE"""),"917021139335, +91.92126.92126")</f>
        <v>917021139335, +91.92126.92126</v>
      </c>
      <c r="F1056" s="17" t="str">
        <f>IFERROR(__xludf.DUMMYFUNCTION("""COMPUTED_VALUE"""),"arvind.kumar@snapdeal.com")</f>
        <v>arvind.kumar@snapdeal.com</v>
      </c>
      <c r="G1056" s="17" t="str">
        <f>IFERROR(__xludf.DUMMYFUNCTION("""COMPUTED_VALUE"""),"arvindgreatarvind@yahoo.co.in")</f>
        <v>arvindgreatarvind@yahoo.co.in</v>
      </c>
      <c r="H1056" s="17" t="str">
        <f>IFERROR(__xludf.DUMMYFUNCTION("""COMPUTED_VALUE"""),"andy@snapdeal.com")</f>
        <v>andy@snapdeal.com</v>
      </c>
    </row>
    <row r="1057">
      <c r="A1057" s="17" t="str">
        <f>IFERROR(__xludf.DUMMYFUNCTION("""COMPUTED_VALUE"""),"Inmobi")</f>
        <v>Inmobi</v>
      </c>
      <c r="B1057" s="17" t="str">
        <f>IFERROR(__xludf.DUMMYFUNCTION("""COMPUTED_VALUE"""),"Chandrashekhar Vattikuti")</f>
        <v>Chandrashekhar Vattikuti</v>
      </c>
      <c r="C1057" s="17" t="str">
        <f>IFERROR(__xludf.DUMMYFUNCTION("""COMPUTED_VALUE"""),"SVP Product")</f>
        <v>SVP Product</v>
      </c>
      <c r="D1057" s="27" t="str">
        <f>IFERROR(__xludf.DUMMYFUNCTION("""COMPUTED_VALUE"""),"https://www.linkedin.com/in/vattikuti/")</f>
        <v>https://www.linkedin.com/in/vattikuti/</v>
      </c>
      <c r="E1057" s="17"/>
      <c r="F1057" s="17" t="str">
        <f>IFERROR(__xludf.DUMMYFUNCTION("""COMPUTED_VALUE"""),"chandra.vattikuti@gmail.com")</f>
        <v>chandra.vattikuti@gmail.com</v>
      </c>
      <c r="G1057" s="17" t="str">
        <f>IFERROR(__xludf.DUMMYFUNCTION("""COMPUTED_VALUE"""),"chandra.vattikuti@yahoo.com")</f>
        <v>chandra.vattikuti@yahoo.com</v>
      </c>
      <c r="H1057" s="17" t="str">
        <f>IFERROR(__xludf.DUMMYFUNCTION("""COMPUTED_VALUE"""),"chandrashekhar.vattikuti@inmobi.com")</f>
        <v>chandrashekhar.vattikuti@inmobi.com</v>
      </c>
    </row>
    <row r="1058">
      <c r="A1058" s="17" t="str">
        <f>IFERROR(__xludf.DUMMYFUNCTION("""COMPUTED_VALUE"""),"Yubi")</f>
        <v>Yubi</v>
      </c>
      <c r="B1058" s="17" t="str">
        <f>IFERROR(__xludf.DUMMYFUNCTION("""COMPUTED_VALUE"""),"Krishnendu Majumdar")</f>
        <v>Krishnendu Majumdar</v>
      </c>
      <c r="C1058" s="17" t="str">
        <f>IFERROR(__xludf.DUMMYFUNCTION("""COMPUTED_VALUE"""),"CPTO")</f>
        <v>CPTO</v>
      </c>
      <c r="D1058" s="27" t="str">
        <f>IFERROR(__xludf.DUMMYFUNCTION("""COMPUTED_VALUE"""),"https://www.linkedin.com/in/krishnendum/")</f>
        <v>https://www.linkedin.com/in/krishnendum/</v>
      </c>
      <c r="E1058" s="17" t="str">
        <f>IFERROR(__xludf.DUMMYFUNCTION("""COMPUTED_VALUE"""),"919845172945, +91.80.6953.7777")</f>
        <v>919845172945, +91.80.6953.7777</v>
      </c>
      <c r="F1058" s="17" t="str">
        <f>IFERROR(__xludf.DUMMYFUNCTION("""COMPUTED_VALUE"""),"krishnendu.majumdar@go-yubi.com")</f>
        <v>krishnendu.majumdar@go-yubi.com</v>
      </c>
      <c r="G1058" s="17" t="str">
        <f>IFERROR(__xludf.DUMMYFUNCTION("""COMPUTED_VALUE"""),"krishnendum@gmail.com")</f>
        <v>krishnendum@gmail.com</v>
      </c>
      <c r="H1058" s="17"/>
    </row>
    <row r="1059">
      <c r="A1059" s="17" t="str">
        <f>IFERROR(__xludf.DUMMYFUNCTION("""COMPUTED_VALUE"""),"Raise")</f>
        <v>Raise</v>
      </c>
      <c r="B1059" s="17" t="str">
        <f>IFERROR(__xludf.DUMMYFUNCTION("""COMPUTED_VALUE"""),"Anirudha Basak")</f>
        <v>Anirudha Basak</v>
      </c>
      <c r="C1059" s="17" t="str">
        <f>IFERROR(__xludf.DUMMYFUNCTION("""COMPUTED_VALUE"""),"PM")</f>
        <v>PM</v>
      </c>
      <c r="D1059" s="27" t="str">
        <f>IFERROR(__xludf.DUMMYFUNCTION("""COMPUTED_VALUE"""),"https://www.linkedin.com/in/anirudhabasak/")</f>
        <v>https://www.linkedin.com/in/anirudhabasak/</v>
      </c>
      <c r="E1059" s="17"/>
      <c r="F1059" s="17" t="str">
        <f>IFERROR(__xludf.DUMMYFUNCTION("""COMPUTED_VALUE"""),"join@raiseholding.co")</f>
        <v>join@raiseholding.co</v>
      </c>
      <c r="G1059" s="17" t="str">
        <f>IFERROR(__xludf.DUMMYFUNCTION("""COMPUTED_VALUE"""),"anirudha@bankonbasak.com, anirudha@substack.com")</f>
        <v>anirudha@bankonbasak.com, anirudha@substack.com</v>
      </c>
      <c r="H1059" s="17"/>
    </row>
    <row r="1060">
      <c r="A1060" s="17" t="str">
        <f>IFERROR(__xludf.DUMMYFUNCTION("""COMPUTED_VALUE"""),"Glance")</f>
        <v>Glance</v>
      </c>
      <c r="B1060" s="17" t="str">
        <f>IFERROR(__xludf.DUMMYFUNCTION("""COMPUTED_VALUE"""),"Vishal D.")</f>
        <v>Vishal D.</v>
      </c>
      <c r="C1060" s="17" t="str">
        <f>IFERROR(__xludf.DUMMYFUNCTION("""COMPUTED_VALUE"""),"Director of Product")</f>
        <v>Director of Product</v>
      </c>
      <c r="D1060" s="27" t="str">
        <f>IFERROR(__xludf.DUMMYFUNCTION("""COMPUTED_VALUE"""),"https://www.linkedin.com/in/vishaldalal/")</f>
        <v>https://www.linkedin.com/in/vishaldalal/</v>
      </c>
      <c r="E1060" s="17" t="str">
        <f>IFERROR(__xludf.DUMMYFUNCTION("""COMPUTED_VALUE"""),"917838591865")</f>
        <v>917838591865</v>
      </c>
      <c r="F1060" s="17" t="str">
        <f>IFERROR(__xludf.DUMMYFUNCTION("""COMPUTED_VALUE"""),"vishal.dalal@glance.com")</f>
        <v>vishal.dalal@glance.com</v>
      </c>
      <c r="G1060" s="17" t="str">
        <f>IFERROR(__xludf.DUMMYFUNCTION("""COMPUTED_VALUE"""),"visdalal@gmail.com")</f>
        <v>visdalal@gmail.com</v>
      </c>
      <c r="H1060" s="17"/>
    </row>
    <row r="1061">
      <c r="A1061" s="17" t="str">
        <f>IFERROR(__xludf.DUMMYFUNCTION("""COMPUTED_VALUE"""),"boAt")</f>
        <v>boAt</v>
      </c>
      <c r="B1061" s="17" t="str">
        <f>IFERROR(__xludf.DUMMYFUNCTION("""COMPUTED_VALUE"""),"Prashant Narang")</f>
        <v>Prashant Narang</v>
      </c>
      <c r="C1061" s="17" t="str">
        <f>IFERROR(__xludf.DUMMYFUNCTION("""COMPUTED_VALUE"""),"Director of Product")</f>
        <v>Director of Product</v>
      </c>
      <c r="D1061" s="27" t="str">
        <f>IFERROR(__xludf.DUMMYFUNCTION("""COMPUTED_VALUE"""),"https://www.linkedin.com/in/prashaaant/")</f>
        <v>https://www.linkedin.com/in/prashaaant/</v>
      </c>
      <c r="E1061" s="17" t="str">
        <f>IFERROR(__xludf.DUMMYFUNCTION("""COMPUTED_VALUE"""),"22.3014.7239")</f>
        <v>22.3014.7239</v>
      </c>
      <c r="F1061" s="17" t="str">
        <f>IFERROR(__xludf.DUMMYFUNCTION("""COMPUTED_VALUE"""),"prashant.narang@imaginemarketingindia.com")</f>
        <v>prashant.narang@imaginemarketingindia.com</v>
      </c>
      <c r="G1061" s="17" t="str">
        <f>IFERROR(__xludf.DUMMYFUNCTION("""COMPUTED_VALUE"""),"prshntnrng06@gmail.com")</f>
        <v>prshntnrng06@gmail.com</v>
      </c>
      <c r="H1061" s="17"/>
    </row>
    <row r="1062">
      <c r="A1062" s="17" t="str">
        <f>IFERROR(__xludf.DUMMYFUNCTION("""COMPUTED_VALUE"""),"Unacademy")</f>
        <v>Unacademy</v>
      </c>
      <c r="B1062" s="17" t="str">
        <f>IFERROR(__xludf.DUMMYFUNCTION("""COMPUTED_VALUE"""),"Kisan Patro")</f>
        <v>Kisan Patro</v>
      </c>
      <c r="C1062" s="17" t="str">
        <f>IFERROR(__xludf.DUMMYFUNCTION("""COMPUTED_VALUE"""),"Director of Product")</f>
        <v>Director of Product</v>
      </c>
      <c r="D1062" s="27" t="str">
        <f>IFERROR(__xludf.DUMMYFUNCTION("""COMPUTED_VALUE"""),"https://www.linkedin.com/in/kisanpatro/")</f>
        <v>https://www.linkedin.com/in/kisanpatro/</v>
      </c>
      <c r="E1062" s="17" t="str">
        <f>IFERROR(__xludf.DUMMYFUNCTION("""COMPUTED_VALUE"""),"919049269025, +91.85858.58585")</f>
        <v>919049269025, +91.85858.58585</v>
      </c>
      <c r="F1062" s="17" t="str">
        <f>IFERROR(__xludf.DUMMYFUNCTION("""COMPUTED_VALUE"""),"kisan.patro@unacademy.com")</f>
        <v>kisan.patro@unacademy.com</v>
      </c>
      <c r="G1062" s="17" t="str">
        <f>IFERROR(__xludf.DUMMYFUNCTION("""COMPUTED_VALUE"""),"kisanp@zeta.tech")</f>
        <v>kisanp@zeta.tech</v>
      </c>
      <c r="H1062" s="17" t="str">
        <f>IFERROR(__xludf.DUMMYFUNCTION("""COMPUTED_VALUE"""),"kisan_patro786@yahoo.com")</f>
        <v>kisan_patro786@yahoo.com</v>
      </c>
    </row>
    <row r="1063">
      <c r="A1063" s="17" t="str">
        <f>IFERROR(__xludf.DUMMYFUNCTION("""COMPUTED_VALUE"""),"Fractal")</f>
        <v>Fractal</v>
      </c>
      <c r="B1063" s="17" t="str">
        <f>IFERROR(__xludf.DUMMYFUNCTION("""COMPUTED_VALUE"""),"Himanshu Nautiyal")</f>
        <v>Himanshu Nautiyal</v>
      </c>
      <c r="C1063" s="17" t="str">
        <f>IFERROR(__xludf.DUMMYFUNCTION("""COMPUTED_VALUE"""),"CPO")</f>
        <v>CPO</v>
      </c>
      <c r="D1063" s="27" t="str">
        <f>IFERROR(__xludf.DUMMYFUNCTION("""COMPUTED_VALUE"""),"https://www.linkedin.com/in/himanshunautiyal/")</f>
        <v>https://www.linkedin.com/in/himanshunautiyal/</v>
      </c>
      <c r="E1063" s="17" t="str">
        <f>IFERROR(__xludf.DUMMYFUNCTION("""COMPUTED_VALUE"""),"447506774503")</f>
        <v>447506774503</v>
      </c>
      <c r="F1063" s="17" t="str">
        <f>IFERROR(__xludf.DUMMYFUNCTION("""COMPUTED_VALUE"""),"himanshu.nautiyal@fractal.ai")</f>
        <v>himanshu.nautiyal@fractal.ai</v>
      </c>
      <c r="G1063" s="17" t="str">
        <f>IFERROR(__xludf.DUMMYFUNCTION("""COMPUTED_VALUE"""),"hnautiyal@gmail.com")</f>
        <v>hnautiyal@gmail.com</v>
      </c>
      <c r="H1063" s="17"/>
    </row>
    <row r="1064">
      <c r="A1064" s="17" t="str">
        <f>IFERROR(__xludf.DUMMYFUNCTION("""COMPUTED_VALUE"""),"PolicyBazaar")</f>
        <v>PolicyBazaar</v>
      </c>
      <c r="B1064" s="17" t="str">
        <f>IFERROR(__xludf.DUMMYFUNCTION("""COMPUTED_VALUE"""),"Radhika Binani")</f>
        <v>Radhika Binani</v>
      </c>
      <c r="C1064" s="17" t="str">
        <f>IFERROR(__xludf.DUMMYFUNCTION("""COMPUTED_VALUE"""),"CPO")</f>
        <v>CPO</v>
      </c>
      <c r="D1064" s="27" t="str">
        <f>IFERROR(__xludf.DUMMYFUNCTION("""COMPUTED_VALUE"""),"https://www.linkedin.com/in/radhika-binani/")</f>
        <v>https://www.linkedin.com/in/radhika-binani/</v>
      </c>
      <c r="E1064" s="17" t="str">
        <f>IFERROR(__xludf.DUMMYFUNCTION("""COMPUTED_VALUE"""),"918800271444")</f>
        <v>918800271444</v>
      </c>
      <c r="F1064" s="17" t="str">
        <f>IFERROR(__xludf.DUMMYFUNCTION("""COMPUTED_VALUE"""),"radhika@policybazaar.com")</f>
        <v>radhika@policybazaar.com</v>
      </c>
      <c r="G1064" s="17" t="str">
        <f>IFERROR(__xludf.DUMMYFUNCTION("""COMPUTED_VALUE"""),"radhikabinani@gmail.com")</f>
        <v>radhikabinani@gmail.com</v>
      </c>
      <c r="H1064" s="17"/>
    </row>
    <row r="1065">
      <c r="A1065" s="17" t="str">
        <f>IFERROR(__xludf.DUMMYFUNCTION("""COMPUTED_VALUE"""),"Eruditus")</f>
        <v>Eruditus</v>
      </c>
      <c r="B1065" s="17" t="str">
        <f>IFERROR(__xludf.DUMMYFUNCTION("""COMPUTED_VALUE"""),"Gauravjit Singh Gill")</f>
        <v>Gauravjit Singh Gill</v>
      </c>
      <c r="C1065" s="17" t="str">
        <f>IFERROR(__xludf.DUMMYFUNCTION("""COMPUTED_VALUE"""),"SVP Product")</f>
        <v>SVP Product</v>
      </c>
      <c r="D1065" s="27" t="str">
        <f>IFERROR(__xludf.DUMMYFUNCTION("""COMPUTED_VALUE"""),"https://www.linkedin.com/in/gauravgill/")</f>
        <v>https://www.linkedin.com/in/gauravgill/</v>
      </c>
      <c r="E1065" s="17" t="str">
        <f>IFERROR(__xludf.DUMMYFUNCTION("""COMPUTED_VALUE"""),"919810430295")</f>
        <v>919810430295</v>
      </c>
      <c r="F1065" s="17" t="str">
        <f>IFERROR(__xludf.DUMMYFUNCTION("""COMPUTED_VALUE"""),"gaurav.gill@emeritus.org")</f>
        <v>gaurav.gill@emeritus.org</v>
      </c>
      <c r="G1065" s="17"/>
      <c r="H1065" s="17"/>
    </row>
    <row r="1066">
      <c r="A1066" s="17" t="str">
        <f>IFERROR(__xludf.DUMMYFUNCTION("""COMPUTED_VALUE"""),"Hike")</f>
        <v>Hike</v>
      </c>
      <c r="B1066" s="17" t="str">
        <f>IFERROR(__xludf.DUMMYFUNCTION("""COMPUTED_VALUE"""),"Ashir Madaan")</f>
        <v>Ashir Madaan</v>
      </c>
      <c r="C1066" s="17" t="str">
        <f>IFERROR(__xludf.DUMMYFUNCTION("""COMPUTED_VALUE"""),"Product Lead")</f>
        <v>Product Lead</v>
      </c>
      <c r="D1066" s="27" t="str">
        <f>IFERROR(__xludf.DUMMYFUNCTION("""COMPUTED_VALUE"""),"https://www.linkedin.com/in/ashir-madaan-b271a213/")</f>
        <v>https://www.linkedin.com/in/ashir-madaan-b271a213/</v>
      </c>
      <c r="E1066" s="17" t="str">
        <f>IFERROR(__xludf.DUMMYFUNCTION("""COMPUTED_VALUE"""),"617.433.8855")</f>
        <v>617.433.8855</v>
      </c>
      <c r="F1066" s="17" t="str">
        <f>IFERROR(__xludf.DUMMYFUNCTION("""COMPUTED_VALUE"""),"amadaan@skillz.com")</f>
        <v>amadaan@skillz.com</v>
      </c>
      <c r="G1066" s="17"/>
      <c r="H1066" s="17"/>
    </row>
    <row r="1067">
      <c r="A1067" s="17" t="str">
        <f>IFERROR(__xludf.DUMMYFUNCTION("""COMPUTED_VALUE"""),"Moneyview")</f>
        <v>Moneyview</v>
      </c>
      <c r="B1067" s="17" t="str">
        <f>IFERROR(__xludf.DUMMYFUNCTION("""COMPUTED_VALUE"""),"Prathamesh R.")</f>
        <v>Prathamesh R.</v>
      </c>
      <c r="C1067" s="17" t="str">
        <f>IFERROR(__xludf.DUMMYFUNCTION("""COMPUTED_VALUE"""),"Director of Product")</f>
        <v>Director of Product</v>
      </c>
      <c r="D1067" s="27" t="str">
        <f>IFERROR(__xludf.DUMMYFUNCTION("""COMPUTED_VALUE"""),"http://linkedin.com/in/prathamesh-r/")</f>
        <v>http://linkedin.com/in/prathamesh-r/</v>
      </c>
      <c r="E1067" s="17" t="str">
        <f>IFERROR(__xludf.DUMMYFUNCTION("""COMPUTED_VALUE"""),"80.4569.2002")</f>
        <v>80.4569.2002</v>
      </c>
      <c r="F1067" s="17" t="str">
        <f>IFERROR(__xludf.DUMMYFUNCTION("""COMPUTED_VALUE"""),"prathamesh.r@moneyview.in")</f>
        <v>prathamesh.r@moneyview.in</v>
      </c>
      <c r="G1067" s="17"/>
      <c r="H1067" s="17"/>
    </row>
    <row r="1068">
      <c r="A1068" s="17" t="str">
        <f>IFERROR(__xludf.DUMMYFUNCTION("""COMPUTED_VALUE"""),"Vivriti")</f>
        <v>Vivriti</v>
      </c>
      <c r="B1068" s="17" t="str">
        <f>IFERROR(__xludf.DUMMYFUNCTION("""COMPUTED_VALUE"""),"Dipen Ruparelia")</f>
        <v>Dipen Ruparelia</v>
      </c>
      <c r="C1068" s="17" t="str">
        <f>IFERROR(__xludf.DUMMYFUNCTION("""COMPUTED_VALUE"""),"CPO")</f>
        <v>CPO</v>
      </c>
      <c r="D1068" s="27" t="str">
        <f>IFERROR(__xludf.DUMMYFUNCTION("""COMPUTED_VALUE"""),"https://www.linkedin.com/in/dipen-ruparelia-ca-cfa-58a5724b/")</f>
        <v>https://www.linkedin.com/in/dipen-ruparelia-ca-cfa-58a5724b/</v>
      </c>
      <c r="E1068" s="17" t="str">
        <f>IFERROR(__xludf.DUMMYFUNCTION("""COMPUTED_VALUE"""),"919819921196, +91.91670.35214")</f>
        <v>919819921196, +91.91670.35214</v>
      </c>
      <c r="F1068" s="17" t="str">
        <f>IFERROR(__xludf.DUMMYFUNCTION("""COMPUTED_VALUE"""),"dipen.ruparelia@vivritiamc.com")</f>
        <v>dipen.ruparelia@vivritiamc.com</v>
      </c>
      <c r="G1068" s="17" t="str">
        <f>IFERROR(__xludf.DUMMYFUNCTION("""COMPUTED_VALUE"""),"dipenruparelia@gmail.com")</f>
        <v>dipenruparelia@gmail.com</v>
      </c>
      <c r="H1068" s="17"/>
    </row>
    <row r="1069">
      <c r="A1069" s="17" t="str">
        <f>IFERROR(__xludf.DUMMYFUNCTION("""COMPUTED_VALUE"""),"CarDekho")</f>
        <v>CarDekho</v>
      </c>
      <c r="B1069" s="17" t="str">
        <f>IFERROR(__xludf.DUMMYFUNCTION("""COMPUTED_VALUE"""),"Rahul Shetty")</f>
        <v>Rahul Shetty</v>
      </c>
      <c r="C1069" s="17" t="str">
        <f>IFERROR(__xludf.DUMMYFUNCTION("""COMPUTED_VALUE"""),"CPO")</f>
        <v>CPO</v>
      </c>
      <c r="D1069" s="27" t="str">
        <f>IFERROR(__xludf.DUMMYFUNCTION("""COMPUTED_VALUE"""),"https://www.linkedin.com/in/rahulshetty/")</f>
        <v>https://www.linkedin.com/in/rahulshetty/</v>
      </c>
      <c r="E1069" s="17" t="str">
        <f>IFERROR(__xludf.DUMMYFUNCTION("""COMPUTED_VALUE"""),"919900790590, +91.1800.200.3000")</f>
        <v>919900790590, +91.1800.200.3000</v>
      </c>
      <c r="F1069" s="17" t="str">
        <f>IFERROR(__xludf.DUMMYFUNCTION("""COMPUTED_VALUE"""),"rahul.shetty@girnarsoft.com")</f>
        <v>rahul.shetty@girnarsoft.com</v>
      </c>
      <c r="G1069" s="17"/>
      <c r="H1069" s="17"/>
    </row>
    <row r="1070">
      <c r="A1070" s="17" t="str">
        <f>IFERROR(__xludf.DUMMYFUNCTION("""COMPUTED_VALUE"""),"Games24x7")</f>
        <v>Games24x7</v>
      </c>
      <c r="B1070" s="17" t="str">
        <f>IFERROR(__xludf.DUMMYFUNCTION("""COMPUTED_VALUE"""),"Amitabh Gautam")</f>
        <v>Amitabh Gautam</v>
      </c>
      <c r="C1070" s="17" t="str">
        <f>IFERROR(__xludf.DUMMYFUNCTION("""COMPUTED_VALUE"""),"Head of Product")</f>
        <v>Head of Product</v>
      </c>
      <c r="D1070" s="27" t="str">
        <f>IFERROR(__xludf.DUMMYFUNCTION("""COMPUTED_VALUE"""),"https://www.linkedin.com/in/amitabhgautam/")</f>
        <v>https://www.linkedin.com/in/amitabhgautam/</v>
      </c>
      <c r="E1070" s="17" t="str">
        <f>IFERROR(__xludf.DUMMYFUNCTION("""COMPUTED_VALUE"""),"918826924210, +91.22.4232.3450")</f>
        <v>918826924210, +91.22.4232.3450</v>
      </c>
      <c r="F1070" s="17" t="str">
        <f>IFERROR(__xludf.DUMMYFUNCTION("""COMPUTED_VALUE"""),"amitabh.gautam@games24x7.com")</f>
        <v>amitabh.gautam@games24x7.com</v>
      </c>
      <c r="G1070" s="17"/>
      <c r="H1070" s="17"/>
    </row>
    <row r="1071">
      <c r="A1071" s="17" t="str">
        <f>IFERROR(__xludf.DUMMYFUNCTION("""COMPUTED_VALUE"""),"apna")</f>
        <v>apna</v>
      </c>
      <c r="B1071" s="17" t="str">
        <f>IFERROR(__xludf.DUMMYFUNCTION("""COMPUTED_VALUE"""),"Tanmay Desai")</f>
        <v>Tanmay Desai</v>
      </c>
      <c r="C1071" s="17" t="str">
        <f>IFERROR(__xludf.DUMMYFUNCTION("""COMPUTED_VALUE"""),"Head of AI Products")</f>
        <v>Head of AI Products</v>
      </c>
      <c r="D1071" s="27" t="str">
        <f>IFERROR(__xludf.DUMMYFUNCTION("""COMPUTED_VALUE"""),"https://www.linkedin.com/in/tanmaydesai89/")</f>
        <v>https://www.linkedin.com/in/tanmaydesai89/</v>
      </c>
      <c r="E1071" s="17" t="str">
        <f>IFERROR(__xludf.DUMMYFUNCTION("""COMPUTED_VALUE"""),"909.926.3957, +91.91760.16715")</f>
        <v>909.926.3957, +91.91760.16715</v>
      </c>
      <c r="F1071" s="17" t="str">
        <f>IFERROR(__xludf.DUMMYFUNCTION("""COMPUTED_VALUE"""),"tanmay@apna.co")</f>
        <v>tanmay@apna.co</v>
      </c>
      <c r="G1071" s="17" t="str">
        <f>IFERROR(__xludf.DUMMYFUNCTION("""COMPUTED_VALUE"""),"thinktanmay@gmail.com")</f>
        <v>thinktanmay@gmail.com</v>
      </c>
      <c r="H1071" s="17"/>
    </row>
    <row r="1072">
      <c r="A1072" s="17" t="str">
        <f>IFERROR(__xludf.DUMMYFUNCTION("""COMPUTED_VALUE"""),"CoinDCX")</f>
        <v>CoinDCX</v>
      </c>
      <c r="B1072" s="17" t="str">
        <f>IFERROR(__xludf.DUMMYFUNCTION("""COMPUTED_VALUE"""),"Sangeeth Aloysius")</f>
        <v>Sangeeth Aloysius</v>
      </c>
      <c r="C1072" s="17" t="str">
        <f>IFERROR(__xludf.DUMMYFUNCTION("""COMPUTED_VALUE"""),"SVP Product")</f>
        <v>SVP Product</v>
      </c>
      <c r="D1072" s="27" t="str">
        <f>IFERROR(__xludf.DUMMYFUNCTION("""COMPUTED_VALUE"""),"https://www.linkedin.com/in/sangeeth-aloysius-484916a/")</f>
        <v>https://www.linkedin.com/in/sangeeth-aloysius-484916a/</v>
      </c>
      <c r="E1072" s="17"/>
      <c r="F1072" s="17" t="str">
        <f>IFERROR(__xludf.DUMMYFUNCTION("""COMPUTED_VALUE"""),"sangeeth.aloysius@coindcx.com")</f>
        <v>sangeeth.aloysius@coindcx.com</v>
      </c>
      <c r="G1072" s="17" t="str">
        <f>IFERROR(__xludf.DUMMYFUNCTION("""COMPUTED_VALUE"""),"sangeeth.aloysius@gmail.com")</f>
        <v>sangeeth.aloysius@gmail.com</v>
      </c>
      <c r="H1072" s="17"/>
    </row>
    <row r="1073">
      <c r="A1073" s="17" t="str">
        <f>IFERROR(__xludf.DUMMYFUNCTION("""COMPUTED_VALUE"""),"Droom")</f>
        <v>Droom</v>
      </c>
      <c r="B1073" s="17" t="str">
        <f>IFERROR(__xludf.DUMMYFUNCTION("""COMPUTED_VALUE"""),"Pallak Bareja")</f>
        <v>Pallak Bareja</v>
      </c>
      <c r="C1073" s="17" t="str">
        <f>IFERROR(__xludf.DUMMYFUNCTION("""COMPUTED_VALUE"""),"Product")</f>
        <v>Product</v>
      </c>
      <c r="D1073" s="27" t="str">
        <f>IFERROR(__xludf.DUMMYFUNCTION("""COMPUTED_VALUE"""),"https://www.linkedin.com/in/pallak-bareja-628a551b3/")</f>
        <v>https://www.linkedin.com/in/pallak-bareja-628a551b3/</v>
      </c>
      <c r="E1073" s="17" t="str">
        <f>IFERROR(__xludf.DUMMYFUNCTION("""COMPUTED_VALUE"""),"96432.42126, 919628159976")</f>
        <v>96432.42126, 919628159976</v>
      </c>
      <c r="F1073" s="17" t="str">
        <f>IFERROR(__xludf.DUMMYFUNCTION("""COMPUTED_VALUE"""),"pallak@nirogstreet.com")</f>
        <v>pallak@nirogstreet.com</v>
      </c>
      <c r="G1073" s="17" t="str">
        <f>IFERROR(__xludf.DUMMYFUNCTION("""COMPUTED_VALUE"""),"pallak@webs.com, pallak@opoyi.com")</f>
        <v>pallak@webs.com, pallak@opoyi.com</v>
      </c>
      <c r="H1073" s="17" t="str">
        <f>IFERROR(__xludf.DUMMYFUNCTION("""COMPUTED_VALUE"""),"pallak@opoyi.com")</f>
        <v>pallak@opoyi.com</v>
      </c>
    </row>
    <row r="1074">
      <c r="A1074" s="17" t="str">
        <f>IFERROR(__xludf.DUMMYFUNCTION("""COMPUTED_VALUE"""),"Zoho")</f>
        <v>Zoho</v>
      </c>
      <c r="B1074" s="17" t="str">
        <f>IFERROR(__xludf.DUMMYFUNCTION("""COMPUTED_VALUE"""),"Alan Francis")</f>
        <v>Alan Francis</v>
      </c>
      <c r="C1074" s="17" t="str">
        <f>IFERROR(__xludf.DUMMYFUNCTION("""COMPUTED_VALUE"""),"CPO")</f>
        <v>CPO</v>
      </c>
      <c r="D1074" s="27" t="str">
        <f>IFERROR(__xludf.DUMMYFUNCTION("""COMPUTED_VALUE"""),"https://www.linkedin.com/in/alanfraneo/")</f>
        <v>https://www.linkedin.com/in/alanfraneo/</v>
      </c>
      <c r="E1074" s="17" t="str">
        <f>IFERROR(__xludf.DUMMYFUNCTION("""COMPUTED_VALUE"""),"913326006305, +91.92592.49500")</f>
        <v>913326006305, +91.92592.49500</v>
      </c>
      <c r="F1074" s="17" t="str">
        <f>IFERROR(__xludf.DUMMYFUNCTION("""COMPUTED_VALUE"""),"alan.francis@zohocorp.com")</f>
        <v>alan.francis@zohocorp.com</v>
      </c>
      <c r="G1074" s="17"/>
      <c r="H1074" s="17"/>
    </row>
    <row r="1075">
      <c r="A1075" s="17" t="str">
        <f>IFERROR(__xludf.DUMMYFUNCTION("""COMPUTED_VALUE"""),"Darwinbox")</f>
        <v>Darwinbox</v>
      </c>
      <c r="B1075" s="17" t="str">
        <f>IFERROR(__xludf.DUMMYFUNCTION("""COMPUTED_VALUE"""),"Bhanu Prakash")</f>
        <v>Bhanu Prakash</v>
      </c>
      <c r="C1075" s="17" t="str">
        <f>IFERROR(__xludf.DUMMYFUNCTION("""COMPUTED_VALUE"""),"Director of Product Management")</f>
        <v>Director of Product Management</v>
      </c>
      <c r="D1075" s="27" t="str">
        <f>IFERROR(__xludf.DUMMYFUNCTION("""COMPUTED_VALUE"""),"https://www.linkedin.com/in/bhanu-prakash-44649521/")</f>
        <v>https://www.linkedin.com/in/bhanu-prakash-44649521/</v>
      </c>
      <c r="E1075" s="17" t="str">
        <f>IFERROR(__xludf.DUMMYFUNCTION("""COMPUTED_VALUE"""),"653.157.3767")</f>
        <v>653.157.3767</v>
      </c>
      <c r="F1075" s="17" t="str">
        <f>IFERROR(__xludf.DUMMYFUNCTION("""COMPUTED_VALUE"""),"bhanu.p@darwinbox.com")</f>
        <v>bhanu.p@darwinbox.com</v>
      </c>
      <c r="G1075" s="17" t="str">
        <f>IFERROR(__xludf.DUMMYFUNCTION("""COMPUTED_VALUE"""),"bhanu.p@darwinbox.com")</f>
        <v>bhanu.p@darwinbox.com</v>
      </c>
      <c r="H1075" s="17"/>
    </row>
    <row r="1076">
      <c r="A1076" s="17" t="str">
        <f>IFERROR(__xludf.DUMMYFUNCTION("""COMPUTED_VALUE"""),"DealShare")</f>
        <v>DealShare</v>
      </c>
      <c r="B1076" s="17" t="str">
        <f>IFERROR(__xludf.DUMMYFUNCTION("""COMPUTED_VALUE"""),"Rajat Shikhar")</f>
        <v>Rajat Shikhar</v>
      </c>
      <c r="C1076" s="17" t="str">
        <f>IFERROR(__xludf.DUMMYFUNCTION("""COMPUTED_VALUE"""),"Co-Founder and CPTO")</f>
        <v>Co-Founder and CPTO</v>
      </c>
      <c r="D1076" s="27" t="str">
        <f>IFERROR(__xludf.DUMMYFUNCTION("""COMPUTED_VALUE"""),"https://www.linkedin.com/in/rajatshikhar/")</f>
        <v>https://www.linkedin.com/in/rajatshikhar/</v>
      </c>
      <c r="E1076" s="17" t="str">
        <f>IFERROR(__xludf.DUMMYFUNCTION("""COMPUTED_VALUE"""),"919910107911, +91.72200.03030")</f>
        <v>919910107911, +91.72200.03030</v>
      </c>
      <c r="F1076" s="17" t="str">
        <f>IFERROR(__xludf.DUMMYFUNCTION("""COMPUTED_VALUE"""),"rajat@dealshare.in")</f>
        <v>rajat@dealshare.in</v>
      </c>
      <c r="G1076" s="17" t="str">
        <f>IFERROR(__xludf.DUMMYFUNCTION("""COMPUTED_VALUE"""),"rajatshikhar@gmail.com")</f>
        <v>rajatshikhar@gmail.com</v>
      </c>
      <c r="H1076" s="17"/>
    </row>
    <row r="1077">
      <c r="A1077" s="17" t="str">
        <f>IFERROR(__xludf.DUMMYFUNCTION("""COMPUTED_VALUE"""),"Ola electric")</f>
        <v>Ola electric</v>
      </c>
      <c r="B1077" s="17" t="str">
        <f>IFERROR(__xludf.DUMMYFUNCTION("""COMPUTED_VALUE"""),"Anirban Das")</f>
        <v>Anirban Das</v>
      </c>
      <c r="C1077" s="17" t="str">
        <f>IFERROR(__xludf.DUMMYFUNCTION("""COMPUTED_VALUE"""),"Senior Director PM ")</f>
        <v>Senior Director PM </v>
      </c>
      <c r="D1077" s="27" t="str">
        <f>IFERROR(__xludf.DUMMYFUNCTION("""COMPUTED_VALUE"""),"https://www.linkedin.com/in/anirbandas5/")</f>
        <v>https://www.linkedin.com/in/anirbandas5/</v>
      </c>
      <c r="E1077" s="17" t="str">
        <f>IFERROR(__xludf.DUMMYFUNCTION("""COMPUTED_VALUE"""),"919650038032, +91.80.3311.3311")</f>
        <v>919650038032, +91.80.3311.3311</v>
      </c>
      <c r="F1077" s="17" t="str">
        <f>IFERROR(__xludf.DUMMYFUNCTION("""COMPUTED_VALUE"""),"anirban.das@olaelectric.com")</f>
        <v>anirban.das@olaelectric.com</v>
      </c>
      <c r="G1077" s="17"/>
      <c r="H1077" s="17"/>
    </row>
    <row r="1078">
      <c r="A1078" s="27" t="str">
        <f>IFERROR(__xludf.DUMMYFUNCTION("""COMPUTED_VALUE"""),"eightfold.ai")</f>
        <v>eightfold.ai</v>
      </c>
      <c r="B1078" s="17" t="str">
        <f>IFERROR(__xludf.DUMMYFUNCTION("""COMPUTED_VALUE"""),"Sachit Kamat")</f>
        <v>Sachit Kamat</v>
      </c>
      <c r="C1078" s="17" t="str">
        <f>IFERROR(__xludf.DUMMYFUNCTION("""COMPUTED_VALUE"""),"CPO")</f>
        <v>CPO</v>
      </c>
      <c r="D1078" s="27" t="str">
        <f>IFERROR(__xludf.DUMMYFUNCTION("""COMPUTED_VALUE"""),"https://www.linkedin.com/in/sachit/")</f>
        <v>https://www.linkedin.com/in/sachit/</v>
      </c>
      <c r="E1078" s="17" t="str">
        <f>IFERROR(__xludf.DUMMYFUNCTION("""COMPUTED_VALUE"""),"888.325.8222, 408.505.3846")</f>
        <v>888.325.8222, 408.505.3846</v>
      </c>
      <c r="F1078" s="17" t="str">
        <f>IFERROR(__xludf.DUMMYFUNCTION("""COMPUTED_VALUE"""),"sachit@eightfold.ai")</f>
        <v>sachit@eightfold.ai</v>
      </c>
      <c r="G1078" s="17" t="str">
        <f>IFERROR(__xludf.DUMMYFUNCTION("""COMPUTED_VALUE"""),"sachit.kamat@gmail.com")</f>
        <v>sachit.kamat@gmail.com</v>
      </c>
      <c r="H1078" s="17"/>
    </row>
    <row r="1079">
      <c r="A1079" s="17" t="str">
        <f>IFERROR(__xludf.DUMMYFUNCTION("""COMPUTED_VALUE"""),"Druva")</f>
        <v>Druva</v>
      </c>
      <c r="B1079" s="17" t="str">
        <f>IFERROR(__xludf.DUMMYFUNCTION("""COMPUTED_VALUE"""),"Ranga Rajagopalan")</f>
        <v>Ranga Rajagopalan</v>
      </c>
      <c r="C1079" s="17" t="str">
        <f>IFERROR(__xludf.DUMMYFUNCTION("""COMPUTED_VALUE"""),"CPO &amp; CMO")</f>
        <v>CPO &amp; CMO</v>
      </c>
      <c r="D1079" s="27" t="str">
        <f>IFERROR(__xludf.DUMMYFUNCTION("""COMPUTED_VALUE"""),"https://www.linkedin.com/in/rangaraajrajagopalan/")</f>
        <v>https://www.linkedin.com/in/rangaraajrajagopalan/</v>
      </c>
      <c r="E1079" s="17" t="str">
        <f>IFERROR(__xludf.DUMMYFUNCTION("""COMPUTED_VALUE"""),"888.248.4976, 925.989.6142")</f>
        <v>888.248.4976, 925.989.6142</v>
      </c>
      <c r="F1079" s="17" t="str">
        <f>IFERROR(__xludf.DUMMYFUNCTION("""COMPUTED_VALUE"""),"ranga@druva.com")</f>
        <v>ranga@druva.com</v>
      </c>
      <c r="G1079" s="17"/>
      <c r="H1079" s="17"/>
    </row>
    <row r="1080">
      <c r="A1080" s="17" t="str">
        <f>IFERROR(__xludf.DUMMYFUNCTION("""COMPUTED_VALUE"""),"Razorpay")</f>
        <v>Razorpay</v>
      </c>
      <c r="B1080" s="17" t="str">
        <f>IFERROR(__xludf.DUMMYFUNCTION("""COMPUTED_VALUE"""),"Khilan Haria")</f>
        <v>Khilan Haria</v>
      </c>
      <c r="C1080" s="17" t="str">
        <f>IFERROR(__xludf.DUMMYFUNCTION("""COMPUTED_VALUE"""),"CPO")</f>
        <v>CPO</v>
      </c>
      <c r="D1080" s="27" t="str">
        <f>IFERROR(__xludf.DUMMYFUNCTION("""COMPUTED_VALUE"""),"https://www.linkedin.com/in/khilanharia/")</f>
        <v>https://www.linkedin.com/in/khilanharia/</v>
      </c>
      <c r="E1080" s="17" t="str">
        <f>IFERROR(__xludf.DUMMYFUNCTION("""COMPUTED_VALUE"""),"918105874500, 650.843.0988")</f>
        <v>918105874500, 650.843.0988</v>
      </c>
      <c r="F1080" s="17" t="str">
        <f>IFERROR(__xludf.DUMMYFUNCTION("""COMPUTED_VALUE"""),"khilan.haria@razorpay.com")</f>
        <v>khilan.haria@razorpay.com</v>
      </c>
      <c r="G1080" s="17" t="str">
        <f>IFERROR(__xludf.DUMMYFUNCTION("""COMPUTED_VALUE"""),"khilanharia@gmail.com")</f>
        <v>khilanharia@gmail.com</v>
      </c>
      <c r="H1080" s="17"/>
    </row>
    <row r="1081">
      <c r="A1081" s="17" t="str">
        <f>IFERROR(__xludf.DUMMYFUNCTION("""COMPUTED_VALUE"""),"BrowserStack")</f>
        <v>BrowserStack</v>
      </c>
      <c r="B1081" s="17" t="str">
        <f>IFERROR(__xludf.DUMMYFUNCTION("""COMPUTED_VALUE"""),"Snehal Thakkar")</f>
        <v>Snehal Thakkar</v>
      </c>
      <c r="C1081" s="17" t="str">
        <f>IFERROR(__xludf.DUMMYFUNCTION("""COMPUTED_VALUE"""),"Senior Director PM, Ex- Nykaa")</f>
        <v>Senior Director PM, Ex- Nykaa</v>
      </c>
      <c r="D1081" s="27" t="str">
        <f>IFERROR(__xludf.DUMMYFUNCTION("""COMPUTED_VALUE"""),"https://www.linkedin.com/in/snehalpatel2786/")</f>
        <v>https://www.linkedin.com/in/snehalpatel2786/</v>
      </c>
      <c r="E1081" s="17" t="str">
        <f>IFERROR(__xludf.DUMMYFUNCTION("""COMPUTED_VALUE"""),"919167319111")</f>
        <v>919167319111</v>
      </c>
      <c r="F1081" s="17" t="str">
        <f>IFERROR(__xludf.DUMMYFUNCTION("""COMPUTED_VALUE"""),"snehal@browserstack.com")</f>
        <v>snehal@browserstack.com</v>
      </c>
      <c r="G1081" s="17" t="str">
        <f>IFERROR(__xludf.DUMMYFUNCTION("""COMPUTED_VALUE"""),"snehal.vp1986@gmail.com")</f>
        <v>snehal.vp1986@gmail.com</v>
      </c>
      <c r="H1081" s="17"/>
    </row>
    <row r="1082">
      <c r="A1082" s="17" t="str">
        <f>IFERROR(__xludf.DUMMYFUNCTION("""COMPUTED_VALUE"""),"LeadSquared")</f>
        <v>LeadSquared</v>
      </c>
      <c r="B1082" s="17" t="str">
        <f>IFERROR(__xludf.DUMMYFUNCTION("""COMPUTED_VALUE"""),"Vineet Das")</f>
        <v>Vineet Das</v>
      </c>
      <c r="C1082" s="17" t="str">
        <f>IFERROR(__xludf.DUMMYFUNCTION("""COMPUTED_VALUE"""),"CPO")</f>
        <v>CPO</v>
      </c>
      <c r="D1082" s="27" t="str">
        <f>IFERROR(__xludf.DUMMYFUNCTION("""COMPUTED_VALUE"""),"https://www.linkedin.com/in/vineetdas/")</f>
        <v>https://www.linkedin.com/in/vineetdas/</v>
      </c>
      <c r="E1082" s="17" t="str">
        <f>IFERROR(__xludf.DUMMYFUNCTION("""COMPUTED_VALUE"""),"732.385.3546")</f>
        <v>732.385.3546</v>
      </c>
      <c r="F1082" s="17" t="str">
        <f>IFERROR(__xludf.DUMMYFUNCTION("""COMPUTED_VALUE"""),"vineet.das@leadsquared.com")</f>
        <v>vineet.das@leadsquared.com</v>
      </c>
      <c r="G1082" s="17"/>
      <c r="H1082" s="17"/>
    </row>
    <row r="1083">
      <c r="A1083" s="17" t="str">
        <f>IFERROR(__xludf.DUMMYFUNCTION("""COMPUTED_VALUE"""),"Zenoti")</f>
        <v>Zenoti</v>
      </c>
      <c r="B1083" s="17" t="str">
        <f>IFERROR(__xludf.DUMMYFUNCTION("""COMPUTED_VALUE"""),"Santosh Auti")</f>
        <v>Santosh Auti</v>
      </c>
      <c r="C1083" s="17" t="str">
        <f>IFERROR(__xludf.DUMMYFUNCTION("""COMPUTED_VALUE"""),"Fintech Products")</f>
        <v>Fintech Products</v>
      </c>
      <c r="D1083" s="27" t="str">
        <f>IFERROR(__xludf.DUMMYFUNCTION("""COMPUTED_VALUE"""),"https://www.linkedin.com/in/santosh-auti-84b982b1/")</f>
        <v>https://www.linkedin.com/in/santosh-auti-84b982b1/</v>
      </c>
      <c r="E1083" s="17" t="str">
        <f>IFERROR(__xludf.DUMMYFUNCTION("""COMPUTED_VALUE"""),"919960071340, 877.481.7634")</f>
        <v>919960071340, 877.481.7634</v>
      </c>
      <c r="F1083" s="17" t="str">
        <f>IFERROR(__xludf.DUMMYFUNCTION("""COMPUTED_VALUE"""),"santosha@zenoti.com")</f>
        <v>santosha@zenoti.com</v>
      </c>
      <c r="G1083" s="17" t="str">
        <f>IFERROR(__xludf.DUMMYFUNCTION("""COMPUTED_VALUE"""),"santoshauti12@yahoo.com")</f>
        <v>santoshauti12@yahoo.com</v>
      </c>
      <c r="H1083" s="17"/>
    </row>
    <row r="1084">
      <c r="A1084" s="17" t="str">
        <f>IFERROR(__xludf.DUMMYFUNCTION("""COMPUTED_VALUE"""),"OXYZO")</f>
        <v>OXYZO</v>
      </c>
      <c r="B1084" s="17" t="str">
        <f>IFERROR(__xludf.DUMMYFUNCTION("""COMPUTED_VALUE"""),"Ankush Jain")</f>
        <v>Ankush Jain</v>
      </c>
      <c r="C1084" s="17" t="str">
        <f>IFERROR(__xludf.DUMMYFUNCTION("""COMPUTED_VALUE"""),"Chief Business Officer")</f>
        <v>Chief Business Officer</v>
      </c>
      <c r="D1084" s="27" t="str">
        <f>IFERROR(__xludf.DUMMYFUNCTION("""COMPUTED_VALUE"""),"https://www.linkedin.com/in/ankush-jain-68746014/")</f>
        <v>https://www.linkedin.com/in/ankush-jain-68746014/</v>
      </c>
      <c r="E1084" s="17" t="str">
        <f>IFERROR(__xludf.DUMMYFUNCTION("""COMPUTED_VALUE"""),"919899995286")</f>
        <v>919899995286</v>
      </c>
      <c r="F1084" s="17" t="str">
        <f>IFERROR(__xludf.DUMMYFUNCTION("""COMPUTED_VALUE"""),"ankush.jain@oxyzo.in")</f>
        <v>ankush.jain@oxyzo.in</v>
      </c>
      <c r="G1084" s="17"/>
      <c r="H1084" s="17"/>
    </row>
    <row r="1085">
      <c r="A1085" s="17" t="str">
        <f>IFERROR(__xludf.DUMMYFUNCTION("""COMPUTED_VALUE"""),"Coinswitch")</f>
        <v>Coinswitch</v>
      </c>
      <c r="B1085" s="17" t="str">
        <f>IFERROR(__xludf.DUMMYFUNCTION("""COMPUTED_VALUE"""),"Achintya Sharma")</f>
        <v>Achintya Sharma</v>
      </c>
      <c r="C1085" s="17" t="str">
        <f>IFERROR(__xludf.DUMMYFUNCTION("""COMPUTED_VALUE"""),"Procurement")</f>
        <v>Procurement</v>
      </c>
      <c r="D1085" s="27" t="str">
        <f>IFERROR(__xludf.DUMMYFUNCTION("""COMPUTED_VALUE"""),"https://www.linkedin.com/in/achsh9/")</f>
        <v>https://www.linkedin.com/in/achsh9/</v>
      </c>
      <c r="E1085" s="17" t="str">
        <f>IFERROR(__xludf.DUMMYFUNCTION("""COMPUTED_VALUE"""),"919620380410")</f>
        <v>919620380410</v>
      </c>
      <c r="F1085" s="17" t="str">
        <f>IFERROR(__xludf.DUMMYFUNCTION("""COMPUTED_VALUE"""),"achintya.s@coinswitch.co")</f>
        <v>achintya.s@coinswitch.co</v>
      </c>
      <c r="G1085" s="17"/>
      <c r="H1085" s="17"/>
    </row>
    <row r="1086">
      <c r="A1086" s="17" t="str">
        <f>IFERROR(__xludf.DUMMYFUNCTION("""COMPUTED_VALUE"""),"OYO")</f>
        <v>OYO</v>
      </c>
      <c r="B1086" s="17" t="str">
        <f>IFERROR(__xludf.DUMMYFUNCTION("""COMPUTED_VALUE"""),"Ravish Kumar Agarwal")</f>
        <v>Ravish Kumar Agarwal</v>
      </c>
      <c r="C1086" s="17" t="str">
        <f>IFERROR(__xludf.DUMMYFUNCTION("""COMPUTED_VALUE"""),"CPO, Product Leader")</f>
        <v>CPO, Product Leader</v>
      </c>
      <c r="D1086" s="27" t="str">
        <f>IFERROR(__xludf.DUMMYFUNCTION("""COMPUTED_VALUE"""),"https://www.linkedin.com/in/ravishagarwal/?originalSubdomain=ae")</f>
        <v>https://www.linkedin.com/in/ravishagarwal/?originalSubdomain=ae</v>
      </c>
      <c r="E1086" s="17" t="str">
        <f>IFERROR(__xludf.DUMMYFUNCTION("""COMPUTED_VALUE"""),"919999020076")</f>
        <v>919999020076</v>
      </c>
      <c r="F1086" s="17" t="str">
        <f>IFERROR(__xludf.DUMMYFUNCTION("""COMPUTED_VALUE"""),"ravish@wizcommerce.com")</f>
        <v>ravish@wizcommerce.com</v>
      </c>
      <c r="G1086" s="17"/>
      <c r="H1086" s="17"/>
    </row>
    <row r="1087">
      <c r="A1087" s="17" t="str">
        <f>IFERROR(__xludf.DUMMYFUNCTION("""COMPUTED_VALUE"""),"ShareChat")</f>
        <v>ShareChat</v>
      </c>
      <c r="B1087" s="17" t="str">
        <f>IFERROR(__xludf.DUMMYFUNCTION("""COMPUTED_VALUE"""),"Amit Z")</f>
        <v>Amit Z</v>
      </c>
      <c r="C1087" s="17" t="str">
        <f>IFERROR(__xludf.DUMMYFUNCTION("""COMPUTED_VALUE"""),"CPO")</f>
        <v>CPO</v>
      </c>
      <c r="D1087" s="27" t="str">
        <f>IFERROR(__xludf.DUMMYFUNCTION("""COMPUTED_VALUE"""),"https://www.linkedin.com/in/amitgz/")</f>
        <v>https://www.linkedin.com/in/amitgz/</v>
      </c>
      <c r="E1087" s="17" t="str">
        <f>IFERROR(__xludf.DUMMYFUNCTION("""COMPUTED_VALUE"""),"919900422626")</f>
        <v>919900422626</v>
      </c>
      <c r="F1087" s="17" t="str">
        <f>IFERROR(__xludf.DUMMYFUNCTION("""COMPUTED_VALUE"""),"amit@sharechat.com")</f>
        <v>amit@sharechat.com</v>
      </c>
      <c r="G1087" s="17" t="str">
        <f>IFERROR(__xludf.DUMMYFUNCTION("""COMPUTED_VALUE"""),"amit.zunjarwad@gmail.com")</f>
        <v>amit.zunjarwad@gmail.com</v>
      </c>
      <c r="H1087" s="17"/>
    </row>
    <row r="1088">
      <c r="A1088" s="17" t="str">
        <f>IFERROR(__xludf.DUMMYFUNCTION("""COMPUTED_VALUE"""),"ElasticRun")</f>
        <v>ElasticRun</v>
      </c>
      <c r="B1088" s="17" t="str">
        <f>IFERROR(__xludf.DUMMYFUNCTION("""COMPUTED_VALUE"""),"Ramkishore Vegi")</f>
        <v>Ramkishore Vegi</v>
      </c>
      <c r="C1088" s="17" t="str">
        <f>IFERROR(__xludf.DUMMYFUNCTION("""COMPUTED_VALUE"""),"Product Director")</f>
        <v>Product Director</v>
      </c>
      <c r="D1088" s="27" t="str">
        <f>IFERROR(__xludf.DUMMYFUNCTION("""COMPUTED_VALUE"""),"https://www.linkedin.com/in/ramkishorevegi/")</f>
        <v>https://www.linkedin.com/in/ramkishorevegi/</v>
      </c>
      <c r="E1088" s="17"/>
      <c r="F1088" s="17" t="str">
        <f>IFERROR(__xludf.DUMMYFUNCTION("""COMPUTED_VALUE"""),"ramkishore.vegi@elastic.run")</f>
        <v>ramkishore.vegi@elastic.run</v>
      </c>
      <c r="G1088" s="17" t="str">
        <f>IFERROR(__xludf.DUMMYFUNCTION("""COMPUTED_VALUE"""),"ramkishore4u@gmail.com")</f>
        <v>ramkishore4u@gmail.com</v>
      </c>
      <c r="H1088" s="17"/>
    </row>
    <row r="1089">
      <c r="A1089" s="17" t="str">
        <f>IFERROR(__xludf.DUMMYFUNCTION("""COMPUTED_VALUE"""),"LeadSchool")</f>
        <v>LeadSchool</v>
      </c>
      <c r="B1089" s="17" t="str">
        <f>IFERROR(__xludf.DUMMYFUNCTION("""COMPUTED_VALUE"""),"Ajay Kashyap")</f>
        <v>Ajay Kashyap</v>
      </c>
      <c r="C1089" s="17" t="str">
        <f>IFERROR(__xludf.DUMMYFUNCTION("""COMPUTED_VALUE"""),"CPTO")</f>
        <v>CPTO</v>
      </c>
      <c r="D1089" s="27" t="str">
        <f>IFERROR(__xludf.DUMMYFUNCTION("""COMPUTED_VALUE"""),"https://www.linkedin.com/in/ajaykash/")</f>
        <v>https://www.linkedin.com/in/ajaykash/</v>
      </c>
      <c r="E1089" s="17" t="str">
        <f>IFERROR(__xludf.DUMMYFUNCTION("""COMPUTED_VALUE"""),"918054125622")</f>
        <v>918054125622</v>
      </c>
      <c r="F1089" s="17" t="str">
        <f>IFERROR(__xludf.DUMMYFUNCTION("""COMPUTED_VALUE"""),"ajay.kashyap@leadschool.in")</f>
        <v>ajay.kashyap@leadschool.in</v>
      </c>
      <c r="G1089" s="17" t="str">
        <f>IFERROR(__xludf.DUMMYFUNCTION("""COMPUTED_VALUE"""),"ajaykash@gmail.com")</f>
        <v>ajaykash@gmail.com</v>
      </c>
      <c r="H1089" s="17"/>
    </row>
    <row r="1090">
      <c r="A1090" s="17" t="str">
        <f>IFERROR(__xludf.DUMMYFUNCTION("""COMPUTED_VALUE"""),"Udaan")</f>
        <v>Udaan</v>
      </c>
      <c r="B1090" s="17" t="str">
        <f>IFERROR(__xludf.DUMMYFUNCTION("""COMPUTED_VALUE"""),"Hindole Dutta")</f>
        <v>Hindole Dutta</v>
      </c>
      <c r="C1090" s="17" t="str">
        <f>IFERROR(__xludf.DUMMYFUNCTION("""COMPUTED_VALUE"""),"Director, Product")</f>
        <v>Director, Product</v>
      </c>
      <c r="D1090" s="27" t="str">
        <f>IFERROR(__xludf.DUMMYFUNCTION("""COMPUTED_VALUE"""),"https://www.linkedin.com/in/hindole-dutta-57883716/")</f>
        <v>https://www.linkedin.com/in/hindole-dutta-57883716/</v>
      </c>
      <c r="E1090" s="17" t="str">
        <f>IFERROR(__xludf.DUMMYFUNCTION("""COMPUTED_VALUE"""),"919611577725")</f>
        <v>919611577725</v>
      </c>
      <c r="F1090" s="17" t="str">
        <f>IFERROR(__xludf.DUMMYFUNCTION("""COMPUTED_VALUE"""),"hindole.dutta@udaan.com")</f>
        <v>hindole.dutta@udaan.com</v>
      </c>
      <c r="G1090" s="17" t="str">
        <f>IFERROR(__xludf.DUMMYFUNCTION("""COMPUTED_VALUE"""),"hindoledutta90@gmail.com")</f>
        <v>hindoledutta90@gmail.com</v>
      </c>
      <c r="H1090" s="17"/>
    </row>
    <row r="1091">
      <c r="A1091" s="17" t="str">
        <f>IFERROR(__xludf.DUMMYFUNCTION("""COMPUTED_VALUE"""),"API Holdings")</f>
        <v>API Holdings</v>
      </c>
      <c r="B1091" s="17" t="str">
        <f>IFERROR(__xludf.DUMMYFUNCTION("""COMPUTED_VALUE"""),"Pankaj Caiser")</f>
        <v>Pankaj Caiser</v>
      </c>
      <c r="C1091" s="17" t="str">
        <f>IFERROR(__xludf.DUMMYFUNCTION("""COMPUTED_VALUE"""),"Product Manager &amp; Strategy Leader")</f>
        <v>Product Manager &amp; Strategy Leader</v>
      </c>
      <c r="D1091" s="27" t="str">
        <f>IFERROR(__xludf.DUMMYFUNCTION("""COMPUTED_VALUE"""),"https://www.linkedin.com/in/pankajjoycaiser/")</f>
        <v>https://www.linkedin.com/in/pankajjoycaiser/</v>
      </c>
      <c r="E1091" s="17"/>
      <c r="F1091" s="17" t="str">
        <f>IFERROR(__xludf.DUMMYFUNCTION("""COMPUTED_VALUE"""),"pankaj.caiser@pharmeasy.in")</f>
        <v>pankaj.caiser@pharmeasy.in</v>
      </c>
      <c r="G1091" s="17" t="str">
        <f>IFERROR(__xludf.DUMMYFUNCTION("""COMPUTED_VALUE"""),"pankajjoycaiser@gmail.com")</f>
        <v>pankajjoycaiser@gmail.com</v>
      </c>
      <c r="H1091" s="17"/>
    </row>
    <row r="1092">
      <c r="A1092" s="17" t="str">
        <f>IFERROR(__xludf.DUMMYFUNCTION("""COMPUTED_VALUE"""),"Postman")</f>
        <v>Postman</v>
      </c>
      <c r="B1092" s="17" t="str">
        <f>IFERROR(__xludf.DUMMYFUNCTION("""COMPUTED_VALUE"""),"Shruti Duge")</f>
        <v>Shruti Duge</v>
      </c>
      <c r="C1092" s="17" t="str">
        <f>IFERROR(__xludf.DUMMYFUNCTION("""COMPUTED_VALUE"""),"Product and Growth")</f>
        <v>Product and Growth</v>
      </c>
      <c r="D1092" s="27" t="str">
        <f>IFERROR(__xludf.DUMMYFUNCTION("""COMPUTED_VALUE"""),"https://www.linkedin.com/in/shrutiduge/")</f>
        <v>https://www.linkedin.com/in/shrutiduge/</v>
      </c>
      <c r="E1092" s="17" t="str">
        <f>IFERROR(__xludf.DUMMYFUNCTION("""COMPUTED_VALUE"""),"646.536.5038")</f>
        <v>646.536.5038</v>
      </c>
      <c r="F1092" s="17" t="str">
        <f>IFERROR(__xludf.DUMMYFUNCTION("""COMPUTED_VALUE"""),"dugeshruti@gmail.com")</f>
        <v>dugeshruti@gmail.com</v>
      </c>
      <c r="G1092" s="17"/>
      <c r="H1092" s="17"/>
    </row>
    <row r="1093">
      <c r="A1093" s="17" t="str">
        <f>IFERROR(__xludf.DUMMYFUNCTION("""COMPUTED_VALUE"""),"JSW One Platforms Limited")</f>
        <v>JSW One Platforms Limited</v>
      </c>
      <c r="B1093" s="17" t="str">
        <f>IFERROR(__xludf.DUMMYFUNCTION("""COMPUTED_VALUE"""),"Kunal Jain")</f>
        <v>Kunal Jain</v>
      </c>
      <c r="C1093" s="17" t="str">
        <f>IFERROR(__xludf.DUMMYFUNCTION("""COMPUTED_VALUE"""),"CPO")</f>
        <v>CPO</v>
      </c>
      <c r="D1093" s="27" t="str">
        <f>IFERROR(__xludf.DUMMYFUNCTION("""COMPUTED_VALUE"""),"https://www.linkedin.com/in/jainkunal/")</f>
        <v>https://www.linkedin.com/in/jainkunal/</v>
      </c>
      <c r="E1093" s="17" t="str">
        <f>IFERROR(__xludf.DUMMYFUNCTION("""COMPUTED_VALUE"""),"919820541255, +91.72080.55523")</f>
        <v>919820541255, +91.72080.55523</v>
      </c>
      <c r="F1093" s="17" t="str">
        <f>IFERROR(__xludf.DUMMYFUNCTION("""COMPUTED_VALUE"""),"kunal.jain@jsw.in")</f>
        <v>kunal.jain@jsw.in</v>
      </c>
      <c r="G1093" s="17"/>
      <c r="H1093" s="17"/>
    </row>
    <row r="1094">
      <c r="A1094" s="17" t="str">
        <f>IFERROR(__xludf.DUMMYFUNCTION("""COMPUTED_VALUE"""),"Zerodha Fund House")</f>
        <v>Zerodha Fund House</v>
      </c>
      <c r="B1094" s="17" t="str">
        <f>IFERROR(__xludf.DUMMYFUNCTION("""COMPUTED_VALUE"""),"Ashish Mundra")</f>
        <v>Ashish Mundra</v>
      </c>
      <c r="C1094" s="17" t="str">
        <f>IFERROR(__xludf.DUMMYFUNCTION("""COMPUTED_VALUE"""),"Product")</f>
        <v>Product</v>
      </c>
      <c r="D1094" s="27" t="str">
        <f>IFERROR(__xludf.DUMMYFUNCTION("""COMPUTED_VALUE"""),"https://www.linkedin.com/in/ashish-mundra/")</f>
        <v>https://www.linkedin.com/in/ashish-mundra/</v>
      </c>
      <c r="E1094" s="17" t="str">
        <f>IFERROR(__xludf.DUMMYFUNCTION("""COMPUTED_VALUE"""),"918386091798")</f>
        <v>918386091798</v>
      </c>
      <c r="F1094" s="17" t="str">
        <f>IFERROR(__xludf.DUMMYFUNCTION("""COMPUTED_VALUE"""),"ashish.mundra@zerodhafundhouse.com")</f>
        <v>ashish.mundra@zerodhafundhouse.com</v>
      </c>
      <c r="G1094" s="17" t="str">
        <f>IFERROR(__xludf.DUMMYFUNCTION("""COMPUTED_VALUE"""),"ashishmundra575@gmail.com")</f>
        <v>ashishmundra575@gmail.com</v>
      </c>
      <c r="H1094" s="17"/>
    </row>
    <row r="1095">
      <c r="A1095" s="17" t="str">
        <f>IFERROR(__xludf.DUMMYFUNCTION("""COMPUTED_VALUE"""),"Xpressbees")</f>
        <v>Xpressbees</v>
      </c>
      <c r="B1095" s="17" t="str">
        <f>IFERROR(__xludf.DUMMYFUNCTION("""COMPUTED_VALUE"""),"Harshal Bhoi")</f>
        <v>Harshal Bhoi</v>
      </c>
      <c r="C1095" s="17" t="str">
        <f>IFERROR(__xludf.DUMMYFUNCTION("""COMPUTED_VALUE"""),"Chief Business Officer")</f>
        <v>Chief Business Officer</v>
      </c>
      <c r="D1095" s="27" t="str">
        <f>IFERROR(__xludf.DUMMYFUNCTION("""COMPUTED_VALUE"""),"https://www.linkedin.com/in/harshal-bhoi-2ba0a84b/")</f>
        <v>https://www.linkedin.com/in/harshal-bhoi-2ba0a84b/</v>
      </c>
      <c r="E1095" s="17" t="str">
        <f>IFERROR(__xludf.DUMMYFUNCTION("""COMPUTED_VALUE"""),"918008578547")</f>
        <v>918008578547</v>
      </c>
      <c r="F1095" s="17" t="str">
        <f>IFERROR(__xludf.DUMMYFUNCTION("""COMPUTED_VALUE"""),"harshal.bhoi@xpressbees.com")</f>
        <v>harshal.bhoi@xpressbees.com</v>
      </c>
      <c r="G1095" s="17"/>
      <c r="H1095" s="17"/>
    </row>
    <row r="1096">
      <c r="A1096" s="17" t="str">
        <f>IFERROR(__xludf.DUMMYFUNCTION("""COMPUTED_VALUE"""),"OfBusiness")</f>
        <v>OfBusiness</v>
      </c>
      <c r="B1096" s="17" t="str">
        <f>IFERROR(__xludf.DUMMYFUNCTION("""COMPUTED_VALUE"""),"Shiv Pratap")</f>
        <v>Shiv Pratap</v>
      </c>
      <c r="C1096" s="17" t="str">
        <f>IFERROR(__xludf.DUMMYFUNCTION("""COMPUTED_VALUE"""),"Head of Product Marketing")</f>
        <v>Head of Product Marketing</v>
      </c>
      <c r="D1096" s="27" t="str">
        <f>IFERROR(__xludf.DUMMYFUNCTION("""COMPUTED_VALUE"""),"https://www.linkedin.com/in/shiv-pratap-8a3675158/")</f>
        <v>https://www.linkedin.com/in/shiv-pratap-8a3675158/</v>
      </c>
      <c r="E1096" s="17" t="str">
        <f>IFERROR(__xludf.DUMMYFUNCTION("""COMPUTED_VALUE"""),"800.791.7781")</f>
        <v>800.791.7781</v>
      </c>
      <c r="F1096" s="17" t="str">
        <f>IFERROR(__xludf.DUMMYFUNCTION("""COMPUTED_VALUE"""),"shiv.pratap@ofbusiness.in")</f>
        <v>shiv.pratap@ofbusiness.in</v>
      </c>
      <c r="G1096" s="17"/>
      <c r="H1096" s="17"/>
    </row>
    <row r="1097">
      <c r="A1097" s="17" t="str">
        <f>IFERROR(__xludf.DUMMYFUNCTION("""COMPUTED_VALUE"""),"Ola Krutrim")</f>
        <v>Ola Krutrim</v>
      </c>
      <c r="B1097" s="17" t="str">
        <f>IFERROR(__xludf.DUMMYFUNCTION("""COMPUTED_VALUE"""),"Sabareesh Chittuluru")</f>
        <v>Sabareesh Chittuluru</v>
      </c>
      <c r="C1097" s="17" t="str">
        <f>IFERROR(__xludf.DUMMYFUNCTION("""COMPUTED_VALUE"""),"Lead Product Manager")</f>
        <v>Lead Product Manager</v>
      </c>
      <c r="D1097" s="27" t="str">
        <f>IFERROR(__xludf.DUMMYFUNCTION("""COMPUTED_VALUE"""),"https://www.linkedin.com/in/sabareesh-chittuluru/")</f>
        <v>https://www.linkedin.com/in/sabareesh-chittuluru/</v>
      </c>
      <c r="E1097" s="17" t="str">
        <f>IFERROR(__xludf.DUMMYFUNCTION("""COMPUTED_VALUE"""),"94144.23299")</f>
        <v>94144.23299</v>
      </c>
      <c r="F1097" s="17" t="str">
        <f>IFERROR(__xludf.DUMMYFUNCTION("""COMPUTED_VALUE"""),"sabareesh.chittuluru@olakrutrim.com")</f>
        <v>sabareesh.chittuluru@olakrutrim.com</v>
      </c>
      <c r="G1097" s="17" t="str">
        <f>IFERROR(__xludf.DUMMYFUNCTION("""COMPUTED_VALUE"""),"sabareesh25@gmail.com")</f>
        <v>sabareesh25@gmail.com</v>
      </c>
      <c r="H1097" s="17"/>
    </row>
    <row r="1098">
      <c r="A1098" s="17" t="str">
        <f>IFERROR(__xludf.DUMMYFUNCTION("""COMPUTED_VALUE"""),"Mindtickle")</f>
        <v>Mindtickle</v>
      </c>
      <c r="B1098" s="17" t="str">
        <f>IFERROR(__xludf.DUMMYFUNCTION("""COMPUTED_VALUE"""),"Shweta Doshi")</f>
        <v>Shweta Doshi</v>
      </c>
      <c r="C1098" s="17" t="str">
        <f>IFERROR(__xludf.DUMMYFUNCTION("""COMPUTED_VALUE"""),"Head of Product")</f>
        <v>Head of Product</v>
      </c>
      <c r="D1098" s="27" t="str">
        <f>IFERROR(__xludf.DUMMYFUNCTION("""COMPUTED_VALUE"""),"https://www.linkedin.com/in/shweta-doshi1/")</f>
        <v>https://www.linkedin.com/in/shweta-doshi1/</v>
      </c>
      <c r="E1098" s="17" t="str">
        <f>IFERROR(__xludf.DUMMYFUNCTION("""COMPUTED_VALUE"""),"973.400.1717")</f>
        <v>973.400.1717</v>
      </c>
      <c r="F1098" s="17" t="str">
        <f>IFERROR(__xludf.DUMMYFUNCTION("""COMPUTED_VALUE"""),"shweta.doshi@mindtickle.com")</f>
        <v>shweta.doshi@mindtickle.com</v>
      </c>
      <c r="G1098" s="17" t="str">
        <f>IFERROR(__xludf.DUMMYFUNCTION("""COMPUTED_VALUE"""),"shweta.doshi@bit.ly, shweta@nextleap.app")</f>
        <v>shweta.doshi@bit.ly, shweta@nextleap.app</v>
      </c>
      <c r="H1098" s="17" t="str">
        <f>IFERROR(__xludf.DUMMYFUNCTION("""COMPUTED_VALUE"""),"shwetadoshireads@gmail.com")</f>
        <v>shwetadoshireads@gmail.com</v>
      </c>
    </row>
    <row r="1099">
      <c r="A1099" s="17" t="str">
        <f>IFERROR(__xludf.DUMMYFUNCTION("""COMPUTED_VALUE"""),"Perfios")</f>
        <v>Perfios</v>
      </c>
      <c r="B1099" s="17" t="str">
        <f>IFERROR(__xludf.DUMMYFUNCTION("""COMPUTED_VALUE"""),"Krishna Chaitanya B")</f>
        <v>Krishna Chaitanya B</v>
      </c>
      <c r="C1099" s="17" t="str">
        <f>IFERROR(__xludf.DUMMYFUNCTION("""COMPUTED_VALUE"""),"CPO")</f>
        <v>CPO</v>
      </c>
      <c r="D1099" s="27" t="str">
        <f>IFERROR(__xludf.DUMMYFUNCTION("""COMPUTED_VALUE"""),"https://www.linkedin.com/in/bkrishnachaitanyafintech/")</f>
        <v>https://www.linkedin.com/in/bkrishnachaitanyafintech/</v>
      </c>
      <c r="E1099" s="17" t="str">
        <f>IFERROR(__xludf.DUMMYFUNCTION("""COMPUTED_VALUE"""),"917893993849, +91.98860.39444")</f>
        <v>917893993849, +91.98860.39444</v>
      </c>
      <c r="F1099" s="17" t="str">
        <f>IFERROR(__xludf.DUMMYFUNCTION("""COMPUTED_VALUE"""),"krishna.chaitanya@perfios.com")</f>
        <v>krishna.chaitanya@perfios.com</v>
      </c>
      <c r="G1099" s="17"/>
      <c r="H1099" s="17"/>
    </row>
    <row r="1100">
      <c r="A1100" s="17" t="str">
        <f>IFERROR(__xludf.DUMMYFUNCTION("""COMPUTED_VALUE"""),"Icertis")</f>
        <v>Icertis</v>
      </c>
      <c r="B1100" s="17" t="str">
        <f>IFERROR(__xludf.DUMMYFUNCTION("""COMPUTED_VALUE"""),"Mohit Bhonde")</f>
        <v>Mohit Bhonde</v>
      </c>
      <c r="C1100" s="17" t="str">
        <f>IFERROR(__xludf.DUMMYFUNCTION("""COMPUTED_VALUE"""),"Product Leader")</f>
        <v>Product Leader</v>
      </c>
      <c r="D1100" s="27" t="str">
        <f>IFERROR(__xludf.DUMMYFUNCTION("""COMPUTED_VALUE"""),"https://www.linkedin.com/in/mohitbhonde/")</f>
        <v>https://www.linkedin.com/in/mohitbhonde/</v>
      </c>
      <c r="E1100" s="17" t="str">
        <f>IFERROR(__xludf.DUMMYFUNCTION("""COMPUTED_VALUE"""),"919642658444")</f>
        <v>919642658444</v>
      </c>
      <c r="F1100" s="17" t="str">
        <f>IFERROR(__xludf.DUMMYFUNCTION("""COMPUTED_VALUE"""),"mohit.bhonde@icertis.com")</f>
        <v>mohit.bhonde@icertis.com</v>
      </c>
      <c r="G1100" s="17" t="str">
        <f>IFERROR(__xludf.DUMMYFUNCTION("""COMPUTED_VALUE"""),"mohit.bhonde@gmail.com")</f>
        <v>mohit.bhonde@gmail.com</v>
      </c>
      <c r="H1100" s="17"/>
    </row>
    <row r="1101">
      <c r="A1101" s="17" t="str">
        <f>IFERROR(__xludf.DUMMYFUNCTION("""COMPUTED_VALUE"""),"BillDesk")</f>
        <v>BillDesk</v>
      </c>
      <c r="B1101" s="17" t="str">
        <f>IFERROR(__xludf.DUMMYFUNCTION("""COMPUTED_VALUE"""),"Nishant Agarwal")</f>
        <v>Nishant Agarwal</v>
      </c>
      <c r="C1101" s="17" t="str">
        <f>IFERROR(__xludf.DUMMYFUNCTION("""COMPUTED_VALUE"""),"Product Leader")</f>
        <v>Product Leader</v>
      </c>
      <c r="D1101" s="27" t="str">
        <f>IFERROR(__xludf.DUMMYFUNCTION("""COMPUTED_VALUE"""),"https://www.linkedin.com/in/nishant-agarwal-b9080240/")</f>
        <v>https://www.linkedin.com/in/nishant-agarwal-b9080240/</v>
      </c>
      <c r="E1101" s="17" t="str">
        <f>IFERROR(__xludf.DUMMYFUNCTION("""COMPUTED_VALUE"""),"919706038588")</f>
        <v>919706038588</v>
      </c>
      <c r="F1101" s="17" t="str">
        <f>IFERROR(__xludf.DUMMYFUNCTION("""COMPUTED_VALUE"""),"nishant.agarwal@billdesk.com")</f>
        <v>nishant.agarwal@billdesk.com</v>
      </c>
      <c r="G1101" s="17" t="str">
        <f>IFERROR(__xludf.DUMMYFUNCTION("""COMPUTED_VALUE"""),"nishant.agarwal@hotmail.com")</f>
        <v>nishant.agarwal@hotmail.com</v>
      </c>
      <c r="H1101" s="17" t="str">
        <f>IFERROR(__xludf.DUMMYFUNCTION("""COMPUTED_VALUE"""),"nishubms@gmail.com")</f>
        <v>nishubms@gmail.com</v>
      </c>
    </row>
    <row r="1102">
      <c r="A1102" s="17" t="str">
        <f>IFERROR(__xludf.DUMMYFUNCTION("""COMPUTED_VALUE"""),"Soonicorn")</f>
        <v>Soonicorn</v>
      </c>
      <c r="B1102" s="17"/>
      <c r="C1102" s="17"/>
      <c r="D1102" s="17"/>
      <c r="E1102" s="17"/>
      <c r="F1102" s="17"/>
      <c r="G1102" s="17"/>
      <c r="H1102" s="17"/>
    </row>
    <row r="1103">
      <c r="A1103" s="17" t="str">
        <f>IFERROR(__xludf.DUMMYFUNCTION("""COMPUTED_VALUE"""),"GIVA")</f>
        <v>GIVA</v>
      </c>
      <c r="B1103" s="17" t="str">
        <f>IFERROR(__xludf.DUMMYFUNCTION("""COMPUTED_VALUE"""),"Vadlamuri Rathna Kishore")</f>
        <v>Vadlamuri Rathna Kishore</v>
      </c>
      <c r="C1103" s="17" t="str">
        <f>IFERROR(__xludf.DUMMYFUNCTION("""COMPUTED_VALUE"""),"Product")</f>
        <v>Product</v>
      </c>
      <c r="D1103" s="27" t="str">
        <f>IFERROR(__xludf.DUMMYFUNCTION("""COMPUTED_VALUE"""),"https://www.linkedin.com/in/vr-kishore/")</f>
        <v>https://www.linkedin.com/in/vr-kishore/</v>
      </c>
      <c r="E1103" s="17" t="str">
        <f>IFERROR(__xludf.DUMMYFUNCTION("""COMPUTED_VALUE"""),"78295.58887")</f>
        <v>78295.58887</v>
      </c>
      <c r="F1103" s="17" t="str">
        <f>IFERROR(__xludf.DUMMYFUNCTION("""COMPUTED_VALUE"""),"kishore@giva.co")</f>
        <v>kishore@giva.co</v>
      </c>
      <c r="G1103" s="17" t="str">
        <f>IFERROR(__xludf.DUMMYFUNCTION("""COMPUTED_VALUE"""),"rathnakishore.v2000@gmail.com")</f>
        <v>rathnakishore.v2000@gmail.com</v>
      </c>
      <c r="H1103" s="17"/>
    </row>
    <row r="1104">
      <c r="A1104" s="17" t="str">
        <f>IFERROR(__xludf.DUMMYFUNCTION("""COMPUTED_VALUE"""),"Housing")</f>
        <v>Housing</v>
      </c>
      <c r="B1104" s="17" t="str">
        <f>IFERROR(__xludf.DUMMYFUNCTION("""COMPUTED_VALUE"""),"Amitaditya Karmakar")</f>
        <v>Amitaditya Karmakar</v>
      </c>
      <c r="C1104" s="17" t="str">
        <f>IFERROR(__xludf.DUMMYFUNCTION("""COMPUTED_VALUE"""),"Product Leader")</f>
        <v>Product Leader</v>
      </c>
      <c r="D1104" s="27" t="str">
        <f>IFERROR(__xludf.DUMMYFUNCTION("""COMPUTED_VALUE"""),"https://www.linkedin.com/in/amitadityakarmakar/")</f>
        <v>https://www.linkedin.com/in/amitadityakarmakar/</v>
      </c>
      <c r="E1104" s="17" t="str">
        <f>IFERROR(__xludf.DUMMYFUNCTION("""COMPUTED_VALUE"""),"917676241341")</f>
        <v>917676241341</v>
      </c>
      <c r="F1104" s="17" t="str">
        <f>IFERROR(__xludf.DUMMYFUNCTION("""COMPUTED_VALUE"""),"amitaditya@housing.com")</f>
        <v>amitaditya@housing.com</v>
      </c>
      <c r="G1104" s="17"/>
      <c r="H1104" s="17"/>
    </row>
    <row r="1105">
      <c r="A1105" s="17" t="str">
        <f>IFERROR(__xludf.DUMMYFUNCTION("""COMPUTED_VALUE"""),"Mygate")</f>
        <v>Mygate</v>
      </c>
      <c r="B1105" s="17" t="str">
        <f>IFERROR(__xludf.DUMMYFUNCTION("""COMPUTED_VALUE"""),"Nitesh Tripathi")</f>
        <v>Nitesh Tripathi</v>
      </c>
      <c r="C1105" s="17" t="str">
        <f>IFERROR(__xludf.DUMMYFUNCTION("""COMPUTED_VALUE"""),"Product")</f>
        <v>Product</v>
      </c>
      <c r="D1105" s="27" t="str">
        <f>IFERROR(__xludf.DUMMYFUNCTION("""COMPUTED_VALUE"""),"https://www.linkedin.com/in/niteshtripathi/")</f>
        <v>https://www.linkedin.com/in/niteshtripathi/</v>
      </c>
      <c r="E1105" s="17" t="str">
        <f>IFERROR(__xludf.DUMMYFUNCTION("""COMPUTED_VALUE"""),"918436775133")</f>
        <v>918436775133</v>
      </c>
      <c r="F1105" s="17" t="str">
        <f>IFERROR(__xludf.DUMMYFUNCTION("""COMPUTED_VALUE"""),"nitesh.tripathi@mygate.in")</f>
        <v>nitesh.tripathi@mygate.in</v>
      </c>
      <c r="G1105" s="17"/>
      <c r="H1105" s="17"/>
    </row>
    <row r="1106">
      <c r="A1106" s="17" t="str">
        <f>IFERROR(__xludf.DUMMYFUNCTION("""COMPUTED_VALUE"""),"Porter")</f>
        <v>Porter</v>
      </c>
      <c r="B1106" s="17" t="str">
        <f>IFERROR(__xludf.DUMMYFUNCTION("""COMPUTED_VALUE"""),"Krishna Mohan Gadi")</f>
        <v>Krishna Mohan Gadi</v>
      </c>
      <c r="C1106" s="17" t="str">
        <f>IFERROR(__xludf.DUMMYFUNCTION("""COMPUTED_VALUE"""),"Head of product, ex-CPO at Vedantu")</f>
        <v>Head of product, ex-CPO at Vedantu</v>
      </c>
      <c r="D1106" s="27" t="str">
        <f>IFERROR(__xludf.DUMMYFUNCTION("""COMPUTED_VALUE"""),"https://www.linkedin.com/in/krishna-mohan-gadi/")</f>
        <v>https://www.linkedin.com/in/krishna-mohan-gadi/</v>
      </c>
      <c r="E1106" s="17" t="str">
        <f>IFERROR(__xludf.DUMMYFUNCTION("""COMPUTED_VALUE"""),"90522 63523")</f>
        <v>90522 63523</v>
      </c>
      <c r="F1106" s="17" t="str">
        <f>IFERROR(__xludf.DUMMYFUNCTION("""COMPUTED_VALUE"""),"krishna.gadi@porter.in")</f>
        <v>krishna.gadi@porter.in</v>
      </c>
      <c r="G1106" s="17" t="str">
        <f>IFERROR(__xludf.DUMMYFUNCTION("""COMPUTED_VALUE"""),"krishnamohan.gadi@gmail.com")</f>
        <v>krishnamohan.gadi@gmail.com</v>
      </c>
      <c r="H1106" s="17"/>
    </row>
    <row r="1107">
      <c r="A1107" s="17" t="str">
        <f>IFERROR(__xludf.DUMMYFUNCTION("""COMPUTED_VALUE"""),"Zupee")</f>
        <v>Zupee</v>
      </c>
      <c r="B1107" s="17" t="str">
        <f>IFERROR(__xludf.DUMMYFUNCTION("""COMPUTED_VALUE"""),"Maneesha Negi")</f>
        <v>Maneesha Negi</v>
      </c>
      <c r="C1107" s="17" t="str">
        <f>IFERROR(__xludf.DUMMYFUNCTION("""COMPUTED_VALUE"""),"Principal Product Manager")</f>
        <v>Principal Product Manager</v>
      </c>
      <c r="D1107" s="27" t="str">
        <f>IFERROR(__xludf.DUMMYFUNCTION("""COMPUTED_VALUE"""),"https://www.linkedin.com/in/maneeshanegi/")</f>
        <v>https://www.linkedin.com/in/maneeshanegi/</v>
      </c>
      <c r="E1107" s="17" t="str">
        <f>IFERROR(__xludf.DUMMYFUNCTION("""COMPUTED_VALUE"""),"919815049488, +91.99110.31310")</f>
        <v>919815049488, +91.99110.31310</v>
      </c>
      <c r="F1107" s="17" t="str">
        <f>IFERROR(__xludf.DUMMYFUNCTION("""COMPUTED_VALUE"""),"maneesha.negi@zupee.in")</f>
        <v>maneesha.negi@zupee.in</v>
      </c>
      <c r="G1107" s="17"/>
      <c r="H1107" s="17"/>
    </row>
    <row r="1108">
      <c r="A1108" s="17" t="str">
        <f>IFERROR(__xludf.DUMMYFUNCTION("""COMPUTED_VALUE"""),"WinZO")</f>
        <v>WinZO</v>
      </c>
      <c r="B1108" s="17" t="str">
        <f>IFERROR(__xludf.DUMMYFUNCTION("""COMPUTED_VALUE"""),"Angad Sehdev")</f>
        <v>Angad Sehdev</v>
      </c>
      <c r="C1108" s="17" t="str">
        <f>IFERROR(__xludf.DUMMYFUNCTION("""COMPUTED_VALUE"""),"Product")</f>
        <v>Product</v>
      </c>
      <c r="D1108" s="27" t="str">
        <f>IFERROR(__xludf.DUMMYFUNCTION("""COMPUTED_VALUE"""),"https://www.linkedin.com/in/angadss/")</f>
        <v>https://www.linkedin.com/in/angadss/</v>
      </c>
      <c r="E1108" s="17" t="str">
        <f>IFERROR(__xludf.DUMMYFUNCTION("""COMPUTED_VALUE"""),"917044151055, +91.91303.04295")</f>
        <v>917044151055, +91.91303.04295</v>
      </c>
      <c r="F1108" s="17" t="str">
        <f>IFERROR(__xludf.DUMMYFUNCTION("""COMPUTED_VALUE"""),"angad@winzogames.com")</f>
        <v>angad@winzogames.com</v>
      </c>
      <c r="G1108" s="17"/>
      <c r="H1108" s="17"/>
    </row>
    <row r="1109">
      <c r="A1109" s="17" t="str">
        <f>IFERROR(__xludf.DUMMYFUNCTION("""COMPUTED_VALUE"""),"Shadowfax")</f>
        <v>Shadowfax</v>
      </c>
      <c r="B1109" s="17" t="str">
        <f>IFERROR(__xludf.DUMMYFUNCTION("""COMPUTED_VALUE"""),"Sarthak Patnaik")</f>
        <v>Sarthak Patnaik</v>
      </c>
      <c r="C1109" s="17" t="str">
        <f>IFERROR(__xludf.DUMMYFUNCTION("""COMPUTED_VALUE"""),"Product Leader")</f>
        <v>Product Leader</v>
      </c>
      <c r="D1109" s="27" t="str">
        <f>IFERROR(__xludf.DUMMYFUNCTION("""COMPUTED_VALUE"""),"https://www.linkedin.com/in/sarthak-patnaik-56bbb424/")</f>
        <v>https://www.linkedin.com/in/sarthak-patnaik-56bbb424/</v>
      </c>
      <c r="E1109" s="17" t="str">
        <f>IFERROR(__xludf.DUMMYFUNCTION("""COMPUTED_VALUE"""),"919740833777, +91.80675.00106")</f>
        <v>919740833777, +91.80675.00106</v>
      </c>
      <c r="F1109" s="17" t="str">
        <f>IFERROR(__xludf.DUMMYFUNCTION("""COMPUTED_VALUE"""),"sarthak.patnaik@shadowfax.in")</f>
        <v>sarthak.patnaik@shadowfax.in</v>
      </c>
      <c r="G1109" s="17" t="str">
        <f>IFERROR(__xludf.DUMMYFUNCTION("""COMPUTED_VALUE"""),"sarthak123@gmail.com")</f>
        <v>sarthak123@gmail.com</v>
      </c>
      <c r="H1109" s="17"/>
    </row>
    <row r="1110">
      <c r="A1110" s="17" t="str">
        <f>IFERROR(__xludf.DUMMYFUNCTION("""COMPUTED_VALUE"""),"smallcase")</f>
        <v>smallcase</v>
      </c>
      <c r="B1110" s="17" t="str">
        <f>IFERROR(__xludf.DUMMYFUNCTION("""COMPUTED_VALUE"""),"Jatin Bhatia")</f>
        <v>Jatin Bhatia</v>
      </c>
      <c r="C1110" s="17" t="str">
        <f>IFERROR(__xludf.DUMMYFUNCTION("""COMPUTED_VALUE"""),"SVP Product")</f>
        <v>SVP Product</v>
      </c>
      <c r="D1110" s="27" t="str">
        <f>IFERROR(__xludf.DUMMYFUNCTION("""COMPUTED_VALUE"""),"https://www.linkedin.com/in/jatin-bhatia-45609353/")</f>
        <v>https://www.linkedin.com/in/jatin-bhatia-45609353/</v>
      </c>
      <c r="E1110" s="17" t="str">
        <f>IFERROR(__xludf.DUMMYFUNCTION("""COMPUTED_VALUE"""),"917276419361, +91.78993.78699")</f>
        <v>917276419361, +91.78993.78699</v>
      </c>
      <c r="F1110" s="17" t="str">
        <f>IFERROR(__xludf.DUMMYFUNCTION("""COMPUTED_VALUE"""),"jatin@smallcase.com")</f>
        <v>jatin@smallcase.com</v>
      </c>
      <c r="G1110" s="17" t="str">
        <f>IFERROR(__xludf.DUMMYFUNCTION("""COMPUTED_VALUE"""),"briskyteam@gmail.com")</f>
        <v>briskyteam@gmail.com</v>
      </c>
      <c r="H1110" s="17"/>
    </row>
    <row r="1111">
      <c r="A1111" s="17" t="str">
        <f>IFERROR(__xludf.DUMMYFUNCTION("""COMPUTED_VALUE"""),"Polygon")</f>
        <v>Polygon</v>
      </c>
      <c r="B1111" s="17" t="str">
        <f>IFERROR(__xludf.DUMMYFUNCTION("""COMPUTED_VALUE"""),"John Egan")</f>
        <v>John Egan</v>
      </c>
      <c r="C1111" s="17" t="str">
        <f>IFERROR(__xludf.DUMMYFUNCTION("""COMPUTED_VALUE"""),"CPO")</f>
        <v>CPO</v>
      </c>
      <c r="D1111" s="27" t="str">
        <f>IFERROR(__xludf.DUMMYFUNCTION("""COMPUTED_VALUE"""),"https://www.linkedin.com/in/john3gan/")</f>
        <v>https://www.linkedin.com/in/john3gan/</v>
      </c>
      <c r="E1111" s="17" t="str">
        <f>IFERROR(__xludf.DUMMYFUNCTION("""COMPUTED_VALUE"""),"98199.89954")</f>
        <v>98199.89954</v>
      </c>
      <c r="F1111" s="17" t="str">
        <f>IFERROR(__xludf.DUMMYFUNCTION("""COMPUTED_VALUE"""),"jegan@polygon.technology")</f>
        <v>jegan@polygon.technology</v>
      </c>
      <c r="G1111" s="17" t="str">
        <f>IFERROR(__xludf.DUMMYFUNCTION("""COMPUTED_VALUE"""),"dclanders2@gmail.com")</f>
        <v>dclanders2@gmail.com</v>
      </c>
      <c r="H1111" s="17"/>
    </row>
    <row r="1112">
      <c r="A1112" s="17" t="str">
        <f>IFERROR(__xludf.DUMMYFUNCTION("""COMPUTED_VALUE"""),"AppsForBharat")</f>
        <v>AppsForBharat</v>
      </c>
      <c r="B1112" s="17" t="str">
        <f>IFERROR(__xludf.DUMMYFUNCTION("""COMPUTED_VALUE"""),"Anuj Garg")</f>
        <v>Anuj Garg</v>
      </c>
      <c r="C1112" s="17" t="str">
        <f>IFERROR(__xludf.DUMMYFUNCTION("""COMPUTED_VALUE"""),"SPM")</f>
        <v>SPM</v>
      </c>
      <c r="D1112" s="27" t="str">
        <f>IFERROR(__xludf.DUMMYFUNCTION("""COMPUTED_VALUE"""),"https://www.linkedin.com/in/anujmgarg/")</f>
        <v>https://www.linkedin.com/in/anujmgarg/</v>
      </c>
      <c r="E1112" s="17"/>
      <c r="F1112" s="17" t="str">
        <f>IFERROR(__xludf.DUMMYFUNCTION("""COMPUTED_VALUE"""),"anuj@appsforbharat.com")</f>
        <v>anuj@appsforbharat.com</v>
      </c>
      <c r="G1112" s="17" t="str">
        <f>IFERROR(__xludf.DUMMYFUNCTION("""COMPUTED_VALUE"""),"anujgarg1991@gmail.com")</f>
        <v>anujgarg1991@gmail.com</v>
      </c>
      <c r="H1112" s="17"/>
    </row>
    <row r="1113">
      <c r="A1113" s="17" t="str">
        <f>IFERROR(__xludf.DUMMYFUNCTION("""COMPUTED_VALUE"""),"Furlenco")</f>
        <v>Furlenco</v>
      </c>
      <c r="B1113" s="17" t="str">
        <f>IFERROR(__xludf.DUMMYFUNCTION("""COMPUTED_VALUE"""),"Aahir Giri")</f>
        <v>Aahir Giri</v>
      </c>
      <c r="C1113" s="17" t="str">
        <f>IFERROR(__xludf.DUMMYFUNCTION("""COMPUTED_VALUE"""),"Head of Product")</f>
        <v>Head of Product</v>
      </c>
      <c r="D1113" s="27" t="str">
        <f>IFERROR(__xludf.DUMMYFUNCTION("""COMPUTED_VALUE"""),"https://www.linkedin.com/in/aahir/")</f>
        <v>https://www.linkedin.com/in/aahir/</v>
      </c>
      <c r="E1113" s="17"/>
      <c r="F1113" s="17" t="str">
        <f>IFERROR(__xludf.DUMMYFUNCTION("""COMPUTED_VALUE"""),"zaahir.giri@bit.ly")</f>
        <v>zaahir.giri@bit.ly</v>
      </c>
      <c r="G1113" s="17" t="str">
        <f>IFERROR(__xludf.DUMMYFUNCTION("""COMPUTED_VALUE"""),"aahir@furlenco.com")</f>
        <v>aahir@furlenco.com</v>
      </c>
      <c r="H1113" s="17" t="str">
        <f>IFERROR(__xludf.DUMMYFUNCTION("""COMPUTED_VALUE"""),"aahirgiri@gmail.com")</f>
        <v>aahirgiri@gmail.com</v>
      </c>
    </row>
    <row r="1114">
      <c r="A1114" s="17" t="str">
        <f>IFERROR(__xludf.DUMMYFUNCTION("""COMPUTED_VALUE"""),"Dexcom")</f>
        <v>Dexcom</v>
      </c>
      <c r="B1114" s="17" t="str">
        <f>IFERROR(__xludf.DUMMYFUNCTION("""COMPUTED_VALUE"""),"Raj Narasimhan")</f>
        <v>Raj Narasimhan</v>
      </c>
      <c r="C1114" s="17" t="str">
        <f>IFERROR(__xludf.DUMMYFUNCTION("""COMPUTED_VALUE"""),"CPO")</f>
        <v>CPO</v>
      </c>
      <c r="D1114" s="27" t="str">
        <f>IFERROR(__xludf.DUMMYFUNCTION("""COMPUTED_VALUE"""),"https://www.linkedin.com/in/raj-narasimhan-06732719/")</f>
        <v>https://www.linkedin.com/in/raj-narasimhan-06732719/</v>
      </c>
      <c r="E1114" s="17" t="str">
        <f>IFERROR(__xludf.DUMMYFUNCTION("""COMPUTED_VALUE""")," 262-314-6129, +86 150 0033 1450")</f>
        <v> 262-314-6129, +86 150 0033 1450</v>
      </c>
      <c r="F1114" s="17" t="str">
        <f>IFERROR(__xludf.DUMMYFUNCTION("""COMPUTED_VALUE"""),"raj.narasimhan@dexcom.com")</f>
        <v>raj.narasimhan@dexcom.com</v>
      </c>
      <c r="G1114" s="17" t="str">
        <f>IFERROR(__xludf.DUMMYFUNCTION("""COMPUTED_VALUE"""),"varshasai@gmail.com")</f>
        <v>varshasai@gmail.com</v>
      </c>
      <c r="H1114" s="17"/>
    </row>
    <row r="1115">
      <c r="A1115" s="17" t="str">
        <f>IFERROR(__xludf.DUMMYFUNCTION("""COMPUTED_VALUE"""),"Eclypse")</f>
        <v>Eclypse</v>
      </c>
      <c r="B1115" s="17" t="str">
        <f>IFERROR(__xludf.DUMMYFUNCTION("""COMPUTED_VALUE"""),"Garimella Pavan Teja")</f>
        <v>Garimella Pavan Teja</v>
      </c>
      <c r="C1115" s="17" t="str">
        <f>IFERROR(__xludf.DUMMYFUNCTION("""COMPUTED_VALUE"""),"CPO")</f>
        <v>CPO</v>
      </c>
      <c r="D1115" s="27" t="str">
        <f>IFERROR(__xludf.DUMMYFUNCTION("""COMPUTED_VALUE"""),"https://www.linkedin.com/in/garimellapavanteja/")</f>
        <v>https://www.linkedin.com/in/garimellapavanteja/</v>
      </c>
      <c r="E1115" s="17" t="str">
        <f>IFERROR(__xludf.DUMMYFUNCTION("""COMPUTED_VALUE"""),"7658958136")</f>
        <v>7658958136</v>
      </c>
      <c r="F1115" s="17" t="str">
        <f>IFERROR(__xludf.DUMMYFUNCTION("""COMPUTED_VALUE"""),"studypavanteja@gmail.com")</f>
        <v>studypavanteja@gmail.com</v>
      </c>
      <c r="G1115" s="17"/>
      <c r="H1115" s="17"/>
    </row>
    <row r="1116">
      <c r="A1116" s="17" t="str">
        <f>IFERROR(__xludf.DUMMYFUNCTION("""COMPUTED_VALUE"""),"Leucine")</f>
        <v>Leucine</v>
      </c>
      <c r="B1116" s="17" t="str">
        <f>IFERROR(__xludf.DUMMYFUNCTION("""COMPUTED_VALUE"""),"Mustaq Singh Bijral")</f>
        <v>Mustaq Singh Bijral</v>
      </c>
      <c r="C1116" s="17" t="str">
        <f>IFERROR(__xludf.DUMMYFUNCTION("""COMPUTED_VALUE"""),"Co-founder, CPO")</f>
        <v>Co-founder, CPO</v>
      </c>
      <c r="D1116" s="27" t="str">
        <f>IFERROR(__xludf.DUMMYFUNCTION("""COMPUTED_VALUE"""),"https://www.linkedin.com/in/mbijral/")</f>
        <v>https://www.linkedin.com/in/mbijral/</v>
      </c>
      <c r="E1116" s="17" t="str">
        <f>IFERROR(__xludf.DUMMYFUNCTION("""COMPUTED_VALUE"""),"97400 61498, +91 78897 76300")</f>
        <v>97400 61498, +91 78897 76300</v>
      </c>
      <c r="F1116" s="17" t="str">
        <f>IFERROR(__xludf.DUMMYFUNCTION("""COMPUTED_VALUE"""),"mustaq@leucinetech.com")</f>
        <v>mustaq@leucinetech.com</v>
      </c>
      <c r="G1116" s="17" t="str">
        <f>IFERROR(__xludf.DUMMYFUNCTION("""COMPUTED_VALUE"""),"shabegiit@live.in")</f>
        <v>shabegiit@live.in</v>
      </c>
      <c r="H1116" s="17" t="str">
        <f>IFERROR(__xludf.DUMMYFUNCTION("""COMPUTED_VALUE"""),"shabegiit@gmail.com")</f>
        <v>shabegiit@gmail.com</v>
      </c>
    </row>
    <row r="1117">
      <c r="A1117" s="17" t="str">
        <f>IFERROR(__xludf.DUMMYFUNCTION("""COMPUTED_VALUE"""),"Mudrex")</f>
        <v>Mudrex</v>
      </c>
      <c r="B1117" s="17" t="str">
        <f>IFERROR(__xludf.DUMMYFUNCTION("""COMPUTED_VALUE"""),"Alankar Saxena")</f>
        <v>Alankar Saxena</v>
      </c>
      <c r="C1117" s="17" t="str">
        <f>IFERROR(__xludf.DUMMYFUNCTION("""COMPUTED_VALUE"""),"Founder, CPO and CTO")</f>
        <v>Founder, CPO and CTO</v>
      </c>
      <c r="D1117" s="27" t="str">
        <f>IFERROR(__xludf.DUMMYFUNCTION("""COMPUTED_VALUE"""),"https://www.linkedin.com/in/saxenaalankar/")</f>
        <v>https://www.linkedin.com/in/saxenaalankar/</v>
      </c>
      <c r="E1117" s="17" t="str">
        <f>IFERROR(__xludf.DUMMYFUNCTION("""COMPUTED_VALUE"""),"92529 00527, +91 99209 40517")</f>
        <v>92529 00527, +91 99209 40517</v>
      </c>
      <c r="F1117" s="17" t="str">
        <f>IFERROR(__xludf.DUMMYFUNCTION("""COMPUTED_VALUE"""),"alankar@mudrex.com")</f>
        <v>alankar@mudrex.com</v>
      </c>
      <c r="G1117" s="17" t="str">
        <f>IFERROR(__xludf.DUMMYFUNCTION("""COMPUTED_VALUE"""),"alankar111@gmail.com")</f>
        <v>alankar111@gmail.com</v>
      </c>
      <c r="H1117" s="17" t="str">
        <f>IFERROR(__xludf.DUMMYFUNCTION("""COMPUTED_VALUE"""),"alankar423@gmail.com")</f>
        <v>alankar423@gmail.com</v>
      </c>
    </row>
    <row r="1118">
      <c r="A1118" s="27" t="str">
        <f>IFERROR(__xludf.DUMMYFUNCTION("""COMPUTED_VALUE"""),"Reverse.in")</f>
        <v>Reverse.in</v>
      </c>
      <c r="B1118" s="17" t="str">
        <f>IFERROR(__xludf.DUMMYFUNCTION("""COMPUTED_VALUE"""),"Akshit Middha")</f>
        <v>Akshit Middha</v>
      </c>
      <c r="C1118" s="17" t="str">
        <f>IFERROR(__xludf.DUMMYFUNCTION("""COMPUTED_VALUE"""),"Co-Founder and CPO")</f>
        <v>Co-Founder and CPO</v>
      </c>
      <c r="D1118" s="27" t="str">
        <f>IFERROR(__xludf.DUMMYFUNCTION("""COMPUTED_VALUE"""),"https://www.linkedin.com/in/akshit-middha-511876225/")</f>
        <v>https://www.linkedin.com/in/akshit-middha-511876225/</v>
      </c>
      <c r="E1118" s="17"/>
      <c r="F1118" s="17" t="str">
        <f>IFERROR(__xludf.DUMMYFUNCTION("""COMPUTED_VALUE"""),"akshit830middha1502@gmail.com")</f>
        <v>akshit830middha1502@gmail.com</v>
      </c>
      <c r="G1118" s="17"/>
      <c r="H1118" s="17"/>
    </row>
    <row r="1119">
      <c r="A1119" s="17" t="str">
        <f>IFERROR(__xludf.DUMMYFUNCTION("""COMPUTED_VALUE"""),"Stimuler")</f>
        <v>Stimuler</v>
      </c>
      <c r="B1119" s="17" t="str">
        <f>IFERROR(__xludf.DUMMYFUNCTION("""COMPUTED_VALUE"""),"Anesh Srivastav")</f>
        <v>Anesh Srivastav</v>
      </c>
      <c r="C1119" s="17" t="str">
        <f>IFERROR(__xludf.DUMMYFUNCTION("""COMPUTED_VALUE"""),"Co-Founder and CPO")</f>
        <v>Co-Founder and CPO</v>
      </c>
      <c r="D1119" s="27" t="str">
        <f>IFERROR(__xludf.DUMMYFUNCTION("""COMPUTED_VALUE"""),"https://www.linkedin.com/in/a-niche/")</f>
        <v>https://www.linkedin.com/in/a-niche/</v>
      </c>
      <c r="E1119" s="17"/>
      <c r="F1119" s="17" t="str">
        <f>IFERROR(__xludf.DUMMYFUNCTION("""COMPUTED_VALUE"""),"anesh@stimuler.tech")</f>
        <v>anesh@stimuler.tech</v>
      </c>
      <c r="G1119" s="17" t="str">
        <f>IFERROR(__xludf.DUMMYFUNCTION("""COMPUTED_VALUE"""),"aneshsriv29@gmail.com")</f>
        <v>aneshsriv29@gmail.com</v>
      </c>
      <c r="H1119" s="17"/>
    </row>
    <row r="1120">
      <c r="A1120" s="17" t="str">
        <f>IFERROR(__xludf.DUMMYFUNCTION("""COMPUTED_VALUE"""),"ProductChamps")</f>
        <v>ProductChamps</v>
      </c>
      <c r="B1120" s="17" t="str">
        <f>IFERROR(__xludf.DUMMYFUNCTION("""COMPUTED_VALUE"""),"Prashant Rao")</f>
        <v>Prashant Rao</v>
      </c>
      <c r="C1120" s="17" t="str">
        <f>IFERROR(__xludf.DUMMYFUNCTION("""COMPUTED_VALUE"""),"CPO")</f>
        <v>CPO</v>
      </c>
      <c r="D1120" s="27" t="str">
        <f>IFERROR(__xludf.DUMMYFUNCTION("""COMPUTED_VALUE"""),"https://www.linkedin.com/in/rpsy/")</f>
        <v>https://www.linkedin.com/in/rpsy/</v>
      </c>
      <c r="E1120" s="17"/>
      <c r="F1120" s="17" t="str">
        <f>IFERROR(__xludf.DUMMYFUNCTION("""COMPUTED_VALUE"""),"prashant@productchamps.com")</f>
        <v>prashant@productchamps.com</v>
      </c>
      <c r="G1120" s="17" t="str">
        <f>IFERROR(__xludf.DUMMYFUNCTION("""COMPUTED_VALUE"""),"rao@productchamps.com")</f>
        <v>rao@productchamps.com</v>
      </c>
      <c r="H1120" s="17" t="str">
        <f>IFERROR(__xludf.DUMMYFUNCTION("""COMPUTED_VALUE"""),"prashantrao008@gmail.com")</f>
        <v>prashantrao008@gmail.com</v>
      </c>
    </row>
    <row r="1121">
      <c r="A1121" s="17" t="str">
        <f>IFERROR(__xludf.DUMMYFUNCTION("""COMPUTED_VALUE"""),"Upwardly + Scripbox")</f>
        <v>Upwardly + Scripbox</v>
      </c>
      <c r="B1121" s="17" t="str">
        <f>IFERROR(__xludf.DUMMYFUNCTION("""COMPUTED_VALUE"""),"Prithvi Raj Tejavath")</f>
        <v>Prithvi Raj Tejavath</v>
      </c>
      <c r="C1121" s="17" t="str">
        <f>IFERROR(__xludf.DUMMYFUNCTION("""COMPUTED_VALUE"""),"CPO &amp; Co-founder")</f>
        <v>CPO &amp; Co-founder</v>
      </c>
      <c r="D1121" s="27" t="str">
        <f>IFERROR(__xludf.DUMMYFUNCTION("""COMPUTED_VALUE"""),"https://www.linkedin.com/in/prithvi-raj-tejavath-70586b/")</f>
        <v>https://www.linkedin.com/in/prithvi-raj-tejavath-70586b/</v>
      </c>
      <c r="E1121" s="17" t="str">
        <f>IFERROR(__xludf.DUMMYFUNCTION("""COMPUTED_VALUE"""),"98207 54293, +91 99991 78822")</f>
        <v>98207 54293, +91 99991 78822</v>
      </c>
      <c r="F1121" s="17" t="str">
        <f>IFERROR(__xludf.DUMMYFUNCTION("""COMPUTED_VALUE"""),"prithvi@upwardly.in")</f>
        <v>prithvi@upwardly.in</v>
      </c>
      <c r="G1121" s="17" t="str">
        <f>IFERROR(__xludf.DUMMYFUNCTION("""COMPUTED_VALUE"""),"prithvi.tejavath@jupiter.money")</f>
        <v>prithvi.tejavath@jupiter.money</v>
      </c>
      <c r="H1121" s="17" t="str">
        <f>IFERROR(__xludf.DUMMYFUNCTION("""COMPUTED_VALUE"""),"prithvi.raj@gmail.com, fokiprt@gmail.com")</f>
        <v>prithvi.raj@gmail.com, fokiprt@gmail.com</v>
      </c>
    </row>
    <row r="1122">
      <c r="A1122" s="17" t="str">
        <f>IFERROR(__xludf.DUMMYFUNCTION("""COMPUTED_VALUE"""),"Jocata")</f>
        <v>Jocata</v>
      </c>
      <c r="B1122" s="17" t="str">
        <f>IFERROR(__xludf.DUMMYFUNCTION("""COMPUTED_VALUE"""),"Karthigeyan S")</f>
        <v>Karthigeyan S</v>
      </c>
      <c r="C1122" s="17" t="str">
        <f>IFERROR(__xludf.DUMMYFUNCTION("""COMPUTED_VALUE"""),"Senior Director of Product Management")</f>
        <v>Senior Director of Product Management</v>
      </c>
      <c r="D1122" s="27" t="str">
        <f>IFERROR(__xludf.DUMMYFUNCTION("""COMPUTED_VALUE"""),"https://www.linkedin.com/in/karty/")</f>
        <v>https://www.linkedin.com/in/karty/</v>
      </c>
      <c r="E1122" s="17" t="str">
        <f>IFERROR(__xludf.DUMMYFUNCTION("""COMPUTED_VALUE"""),"99401 72982")</f>
        <v>99401 72982</v>
      </c>
      <c r="F1122" s="17" t="str">
        <f>IFERROR(__xludf.DUMMYFUNCTION("""COMPUTED_VALUE"""),"karthigeyan.s@icai.org")</f>
        <v>karthigeyan.s@icai.org</v>
      </c>
      <c r="G1122" s="17" t="str">
        <f>IFERROR(__xludf.DUMMYFUNCTION("""COMPUTED_VALUE"""),"kartyiyer@gmail.com")</f>
        <v>kartyiyer@gmail.com</v>
      </c>
      <c r="H1122" s="17" t="str">
        <f>IFERROR(__xludf.DUMMYFUNCTION("""COMPUTED_VALUE"""),"karty.iyer@gmail.com")</f>
        <v>karty.iyer@gmail.com</v>
      </c>
    </row>
    <row r="1123">
      <c r="A1123" s="17" t="str">
        <f>IFERROR(__xludf.DUMMYFUNCTION("""COMPUTED_VALUE"""),"Assessli")</f>
        <v>Assessli</v>
      </c>
      <c r="B1123" s="17" t="str">
        <f>IFERROR(__xludf.DUMMYFUNCTION("""COMPUTED_VALUE"""),"Aruna Dey")</f>
        <v>Aruna Dey</v>
      </c>
      <c r="C1123" s="17" t="str">
        <f>IFERROR(__xludf.DUMMYFUNCTION("""COMPUTED_VALUE"""),"Chief Product Officer")</f>
        <v>Chief Product Officer</v>
      </c>
      <c r="D1123" s="27" t="str">
        <f>IFERROR(__xludf.DUMMYFUNCTION("""COMPUTED_VALUE"""),"https://www.linkedin.com/in/aruna-dey/")</f>
        <v>https://www.linkedin.com/in/aruna-dey/</v>
      </c>
      <c r="E1123" s="17" t="str">
        <f>IFERROR(__xludf.DUMMYFUNCTION("""COMPUTED_VALUE"""),"8910509979")</f>
        <v>8910509979</v>
      </c>
      <c r="F1123" s="17" t="str">
        <f>IFERROR(__xludf.DUMMYFUNCTION("""COMPUTED_VALUE"""),"aruna@nasscom.in")</f>
        <v>aruna@nasscom.in</v>
      </c>
      <c r="G1123" s="17" t="str">
        <f>IFERROR(__xludf.DUMMYFUNCTION("""COMPUTED_VALUE"""),"aruna.dey@assessli.com")</f>
        <v>aruna.dey@assessli.com</v>
      </c>
      <c r="H1123" s="17" t="str">
        <f>IFERROR(__xludf.DUMMYFUNCTION("""COMPUTED_VALUE"""),"arunadey.oneoath@gmail.com")</f>
        <v>arunadey.oneoath@gmail.com</v>
      </c>
    </row>
    <row r="1124">
      <c r="A1124" s="17" t="str">
        <f>IFERROR(__xludf.DUMMYFUNCTION("""COMPUTED_VALUE"""),"Snipe")</f>
        <v>Snipe</v>
      </c>
      <c r="B1124" s="17" t="str">
        <f>IFERROR(__xludf.DUMMYFUNCTION("""COMPUTED_VALUE"""),"Mantraraj Naik")</f>
        <v>Mantraraj Naik</v>
      </c>
      <c r="C1124" s="17" t="str">
        <f>IFERROR(__xludf.DUMMYFUNCTION("""COMPUTED_VALUE"""),"Co-Founder and CPO")</f>
        <v>Co-Founder and CPO</v>
      </c>
      <c r="D1124" s="27" t="str">
        <f>IFERROR(__xludf.DUMMYFUNCTION("""COMPUTED_VALUE"""),"https://www.linkedin.com/in/mantrarajnaik/")</f>
        <v>https://www.linkedin.com/in/mantrarajnaik/</v>
      </c>
      <c r="E1124" s="17" t="str">
        <f>IFERROR(__xludf.DUMMYFUNCTION("""COMPUTED_VALUE"""),"98794 49343")</f>
        <v>98794 49343</v>
      </c>
      <c r="F1124" s="17"/>
      <c r="G1124" s="17"/>
      <c r="H1124" s="17"/>
    </row>
    <row r="1125">
      <c r="A1125" s="17" t="str">
        <f>IFERROR(__xludf.DUMMYFUNCTION("""COMPUTED_VALUE"""),"SHERO HOME FOOD")</f>
        <v>SHERO HOME FOOD</v>
      </c>
      <c r="B1125" s="17" t="str">
        <f>IFERROR(__xludf.DUMMYFUNCTION("""COMPUTED_VALUE"""),"Jayashree A")</f>
        <v>Jayashree A</v>
      </c>
      <c r="C1125" s="17" t="str">
        <f>IFERROR(__xludf.DUMMYFUNCTION("""COMPUTED_VALUE"""),"Co-Founder and CPO")</f>
        <v>Co-Founder and CPO</v>
      </c>
      <c r="D1125" s="27" t="str">
        <f>IFERROR(__xludf.DUMMYFUNCTION("""COMPUTED_VALUE"""),"https://www.linkedin.com/in/jayashree-a-18825148/")</f>
        <v>https://www.linkedin.com/in/jayashree-a-18825148/</v>
      </c>
      <c r="E1125" s="17"/>
      <c r="F1125" s="17" t="str">
        <f>IFERROR(__xludf.DUMMYFUNCTION("""COMPUTED_VALUE"""),"jayashreethilak@gmail.com")</f>
        <v>jayashreethilak@gmail.com</v>
      </c>
      <c r="G1125" s="17"/>
      <c r="H1125" s="17"/>
    </row>
    <row r="1126">
      <c r="A1126" s="17" t="str">
        <f>IFERROR(__xludf.DUMMYFUNCTION("""COMPUTED_VALUE"""),"HealthifyMe")</f>
        <v>HealthifyMe</v>
      </c>
      <c r="B1126" s="17" t="str">
        <f>IFERROR(__xludf.DUMMYFUNCTION("""COMPUTED_VALUE"""),"Anjan Umamaheswaran B")</f>
        <v>Anjan Umamaheswaran B</v>
      </c>
      <c r="C1126" s="17" t="str">
        <f>IFERROR(__xludf.DUMMYFUNCTION("""COMPUTED_VALUE"""),"Ex-CBO, CPO ")</f>
        <v>Ex-CBO, CPO </v>
      </c>
      <c r="D1126" s="27" t="str">
        <f>IFERROR(__xludf.DUMMYFUNCTION("""COMPUTED_VALUE"""),"https://www.linkedin.com/in/anjan-umamaheswaran-b-76b871124/")</f>
        <v>https://www.linkedin.com/in/anjan-umamaheswaran-b-76b871124/</v>
      </c>
      <c r="E1126" s="17"/>
      <c r="F1126" s="17" t="str">
        <f>IFERROR(__xludf.DUMMYFUNCTION("""COMPUTED_VALUE"""),"anjan@curiouscats.ai")</f>
        <v>anjan@curiouscats.ai</v>
      </c>
      <c r="G1126" s="17" t="str">
        <f>IFERROR(__xludf.DUMMYFUNCTION("""COMPUTED_VALUE"""),"anj2bbb@gmail.com")</f>
        <v>anj2bbb@gmail.com</v>
      </c>
      <c r="H1126" s="17"/>
    </row>
    <row r="1127">
      <c r="A1127" s="17" t="str">
        <f>IFERROR(__xludf.DUMMYFUNCTION("""COMPUTED_VALUE"""),"Aspire")</f>
        <v>Aspire</v>
      </c>
      <c r="B1127" s="17" t="str">
        <f>IFERROR(__xludf.DUMMYFUNCTION("""COMPUTED_VALUE"""),"Damien Passavent")</f>
        <v>Damien Passavent</v>
      </c>
      <c r="C1127" s="17" t="str">
        <f>IFERROR(__xludf.DUMMYFUNCTION("""COMPUTED_VALUE"""),"CPO")</f>
        <v>CPO</v>
      </c>
      <c r="D1127" s="27" t="str">
        <f>IFERROR(__xludf.DUMMYFUNCTION("""COMPUTED_VALUE"""),"https://www.linkedin.com/in/damien-passavent-a885a971/")</f>
        <v>https://www.linkedin.com/in/damien-passavent-a885a971/</v>
      </c>
      <c r="E1127" s="17"/>
      <c r="F1127" s="17" t="str">
        <f>IFERROR(__xludf.DUMMYFUNCTION("""COMPUTED_VALUE"""),"damien@aspireapp.com")</f>
        <v>damien@aspireapp.com</v>
      </c>
      <c r="G1127" s="17" t="str">
        <f>IFERROR(__xludf.DUMMYFUNCTION("""COMPUTED_VALUE"""),"damien.passavent@polytechnique.edu")</f>
        <v>damien.passavent@polytechnique.edu</v>
      </c>
      <c r="H1127" s="17"/>
    </row>
    <row r="1128">
      <c r="A1128" s="17" t="str">
        <f>IFERROR(__xludf.DUMMYFUNCTION("""COMPUTED_VALUE"""),"Keka")</f>
        <v>Keka</v>
      </c>
      <c r="B1128" s="17" t="str">
        <f>IFERROR(__xludf.DUMMYFUNCTION("""COMPUTED_VALUE"""),"Manish Mittal")</f>
        <v>Manish Mittal</v>
      </c>
      <c r="C1128" s="17" t="str">
        <f>IFERROR(__xludf.DUMMYFUNCTION("""COMPUTED_VALUE"""),"CPO")</f>
        <v>CPO</v>
      </c>
      <c r="D1128" s="27" t="str">
        <f>IFERROR(__xludf.DUMMYFUNCTION("""COMPUTED_VALUE"""),"https://www.linkedin.com/in/manishsmittal/")</f>
        <v>https://www.linkedin.com/in/manishsmittal/</v>
      </c>
      <c r="E1128" s="17" t="str">
        <f>IFERROR(__xludf.DUMMYFUNCTION("""COMPUTED_VALUE"""),"93120 36860, +91 95992 61219")</f>
        <v>93120 36860, +91 95992 61219</v>
      </c>
      <c r="F1128" s="17" t="str">
        <f>IFERROR(__xludf.DUMMYFUNCTION("""COMPUTED_VALUE"""),"manish.m@keka.com")</f>
        <v>manish.m@keka.com</v>
      </c>
      <c r="G1128" s="17" t="str">
        <f>IFERROR(__xludf.DUMMYFUNCTION("""COMPUTED_VALUE"""),"manishsm@gmail.com")</f>
        <v>manishsm@gmail.com</v>
      </c>
      <c r="H1128" s="17"/>
    </row>
    <row r="1129">
      <c r="A1129" s="17" t="str">
        <f>IFERROR(__xludf.DUMMYFUNCTION("""COMPUTED_VALUE"""),"Accredian")</f>
        <v>Accredian</v>
      </c>
      <c r="B1129" s="17" t="str">
        <f>IFERROR(__xludf.DUMMYFUNCTION("""COMPUTED_VALUE"""),"Suchit Majumdar")</f>
        <v>Suchit Majumdar</v>
      </c>
      <c r="C1129" s="17" t="str">
        <f>IFERROR(__xludf.DUMMYFUNCTION("""COMPUTED_VALUE"""),"CPO")</f>
        <v>CPO</v>
      </c>
      <c r="D1129" s="27" t="str">
        <f>IFERROR(__xludf.DUMMYFUNCTION("""COMPUTED_VALUE"""),"https://www.linkedin.com/in/suchitmajumdar/")</f>
        <v>https://www.linkedin.com/in/suchitmajumdar/</v>
      </c>
      <c r="E1129" s="17" t="str">
        <f>IFERROR(__xludf.DUMMYFUNCTION("""COMPUTED_VALUE"""),"96206 30714")</f>
        <v>96206 30714</v>
      </c>
      <c r="F1129" s="17" t="str">
        <f>IFERROR(__xludf.DUMMYFUNCTION("""COMPUTED_VALUE"""),"suchit@insaid.co")</f>
        <v>suchit@insaid.co</v>
      </c>
      <c r="G1129" s="17" t="str">
        <f>IFERROR(__xludf.DUMMYFUNCTION("""COMPUTED_VALUE"""),"sm3.friendz@gmail.com")</f>
        <v>sm3.friendz@gmail.com</v>
      </c>
      <c r="H1129" s="17" t="str">
        <f>IFERROR(__xludf.DUMMYFUNCTION("""COMPUTED_VALUE"""),"suchit.majumdar@gmail.com")</f>
        <v>suchit.majumdar@gmail.com</v>
      </c>
    </row>
    <row r="1130">
      <c r="A1130" s="17" t="str">
        <f>IFERROR(__xludf.DUMMYFUNCTION("""COMPUTED_VALUE"""),"axio")</f>
        <v>axio</v>
      </c>
      <c r="B1130" s="17" t="str">
        <f>IFERROR(__xludf.DUMMYFUNCTION("""COMPUTED_VALUE"""),"Jatin Bhasin")</f>
        <v>Jatin Bhasin</v>
      </c>
      <c r="C1130" s="17" t="str">
        <f>IFERROR(__xludf.DUMMYFUNCTION("""COMPUTED_VALUE"""),"CPO")</f>
        <v>CPO</v>
      </c>
      <c r="D1130" s="27" t="str">
        <f>IFERROR(__xludf.DUMMYFUNCTION("""COMPUTED_VALUE"""),"https://www.linkedin.com/in/bhasinjatin/")</f>
        <v>https://www.linkedin.com/in/bhasinjatin/</v>
      </c>
      <c r="E1130" s="17" t="str">
        <f>IFERROR(__xludf.DUMMYFUNCTION("""COMPUTED_VALUE"""),"99162 67475")</f>
        <v>99162 67475</v>
      </c>
      <c r="F1130" s="17" t="str">
        <f>IFERROR(__xludf.DUMMYFUNCTION("""COMPUTED_VALUE"""),"jatin.bhasin@axio.co.in")</f>
        <v>jatin.bhasin@axio.co.in</v>
      </c>
      <c r="G1130" s="17" t="str">
        <f>IFERROR(__xludf.DUMMYFUNCTION("""COMPUTED_VALUE"""),"jatin.bhasin07@gmail.com")</f>
        <v>jatin.bhasin07@gmail.com</v>
      </c>
      <c r="H1130" s="17" t="str">
        <f>IFERROR(__xludf.DUMMYFUNCTION("""COMPUTED_VALUE"""),"jatin@axio.co.in")</f>
        <v>jatin@axio.co.in</v>
      </c>
    </row>
    <row r="1131">
      <c r="A1131" s="17" t="str">
        <f>IFERROR(__xludf.DUMMYFUNCTION("""COMPUTED_VALUE"""),"Petpooja")</f>
        <v>Petpooja</v>
      </c>
      <c r="B1131" s="17" t="str">
        <f>IFERROR(__xludf.DUMMYFUNCTION("""COMPUTED_VALUE"""),"Pratik Vohera")</f>
        <v>Pratik Vohera</v>
      </c>
      <c r="C1131" s="17" t="str">
        <f>IFERROR(__xludf.DUMMYFUNCTION("""COMPUTED_VALUE"""),"Chief Product Technology Officer")</f>
        <v>Chief Product Technology Officer</v>
      </c>
      <c r="D1131" s="27" t="str">
        <f>IFERROR(__xludf.DUMMYFUNCTION("""COMPUTED_VALUE"""),"https://www.linkedin.com/in/pratik-vohera/")</f>
        <v>https://www.linkedin.com/in/pratik-vohera/</v>
      </c>
      <c r="E1131" s="17" t="str">
        <f>IFERROR(__xludf.DUMMYFUNCTION("""COMPUTED_VALUE"""),"99792 59610")</f>
        <v>99792 59610</v>
      </c>
      <c r="F1131" s="17" t="str">
        <f>IFERROR(__xludf.DUMMYFUNCTION("""COMPUTED_VALUE"""),"pratik.vohera@petpooja.com")</f>
        <v>pratik.vohera@petpooja.com</v>
      </c>
      <c r="G1131" s="17" t="str">
        <f>IFERROR(__xludf.DUMMYFUNCTION("""COMPUTED_VALUE"""),"pratikvohera@gmail.com")</f>
        <v>pratikvohera@gmail.com</v>
      </c>
      <c r="H1131" s="17"/>
    </row>
    <row r="1132">
      <c r="A1132" s="17" t="str">
        <f>IFERROR(__xludf.DUMMYFUNCTION("""COMPUTED_VALUE"""),"FITTR")</f>
        <v>FITTR</v>
      </c>
      <c r="B1132" s="17" t="str">
        <f>IFERROR(__xludf.DUMMYFUNCTION("""COMPUTED_VALUE"""),"Darsshan Sheth")</f>
        <v>Darsshan Sheth</v>
      </c>
      <c r="C1132" s="17" t="str">
        <f>IFERROR(__xludf.DUMMYFUNCTION("""COMPUTED_VALUE"""),"CPO")</f>
        <v>CPO</v>
      </c>
      <c r="D1132" s="27" t="str">
        <f>IFERROR(__xludf.DUMMYFUNCTION("""COMPUTED_VALUE"""),"https://www.linkedin.com/in/dbsheth/")</f>
        <v>https://www.linkedin.com/in/dbsheth/</v>
      </c>
      <c r="E1132" s="17" t="str">
        <f>IFERROR(__xludf.DUMMYFUNCTION("""COMPUTED_VALUE"""),"81056 27751")</f>
        <v>81056 27751</v>
      </c>
      <c r="F1132" s="17" t="str">
        <f>IFERROR(__xludf.DUMMYFUNCTION("""COMPUTED_VALUE"""),"darshan.sheth@fittr.com")</f>
        <v>darshan.sheth@fittr.com</v>
      </c>
      <c r="G1132" s="17" t="str">
        <f>IFERROR(__xludf.DUMMYFUNCTION("""COMPUTED_VALUE"""),"darsh.sheth@yahoo.co.in")</f>
        <v>darsh.sheth@yahoo.co.in</v>
      </c>
      <c r="H1132" s="17" t="str">
        <f>IFERROR(__xludf.DUMMYFUNCTION("""COMPUTED_VALUE"""),"darshan.sheth99@gmail.com")</f>
        <v>darshan.sheth99@gmail.com</v>
      </c>
    </row>
    <row r="1133">
      <c r="A1133" s="17" t="str">
        <f>IFERROR(__xludf.DUMMYFUNCTION("""COMPUTED_VALUE"""),"Yulu")</f>
        <v>Yulu</v>
      </c>
      <c r="B1133" s="17" t="str">
        <f>IFERROR(__xludf.DUMMYFUNCTION("""COMPUTED_VALUE"""),"Sandilya Konduri")</f>
        <v>Sandilya Konduri</v>
      </c>
      <c r="C1133" s="17" t="str">
        <f>IFERROR(__xludf.DUMMYFUNCTION("""COMPUTED_VALUE"""),"Ex Head of Product")</f>
        <v>Ex Head of Product</v>
      </c>
      <c r="D1133" s="27" t="str">
        <f>IFERROR(__xludf.DUMMYFUNCTION("""COMPUTED_VALUE"""),"https://www.linkedin.com/in/sandilyakonduri/")</f>
        <v>https://www.linkedin.com/in/sandilyakonduri/</v>
      </c>
      <c r="E1133" s="17"/>
      <c r="F1133" s="17" t="str">
        <f>IFERROR(__xludf.DUMMYFUNCTION("""COMPUTED_VALUE"""),"sandilya.konduri@yulu.bike")</f>
        <v>sandilya.konduri@yulu.bike</v>
      </c>
      <c r="G1133" s="17" t="str">
        <f>IFERROR(__xludf.DUMMYFUNCTION("""COMPUTED_VALUE"""),"hawks_sandy@yahoo.co.in")</f>
        <v>hawks_sandy@yahoo.co.in</v>
      </c>
      <c r="H1133" s="17" t="str">
        <f>IFERROR(__xludf.DUMMYFUNCTION("""COMPUTED_VALUE"""),"karsandilya@gmail.com")</f>
        <v>karsandilya@gmail.com</v>
      </c>
    </row>
    <row r="1134">
      <c r="A1134" s="17" t="str">
        <f>IFERROR(__xludf.DUMMYFUNCTION("""COMPUTED_VALUE"""),"Country Delight")</f>
        <v>Country Delight</v>
      </c>
      <c r="B1134" s="17" t="str">
        <f>IFERROR(__xludf.DUMMYFUNCTION("""COMPUTED_VALUE"""),"Umakrishna Kolli")</f>
        <v>Umakrishna Kolli</v>
      </c>
      <c r="C1134" s="17" t="str">
        <f>IFERROR(__xludf.DUMMYFUNCTION("""COMPUTED_VALUE"""),"Head of Product")</f>
        <v>Head of Product</v>
      </c>
      <c r="D1134" s="27" t="str">
        <f>IFERROR(__xludf.DUMMYFUNCTION("""COMPUTED_VALUE"""),"https://www.linkedin.com/in/kumakrishna/")</f>
        <v>https://www.linkedin.com/in/kumakrishna/</v>
      </c>
      <c r="E1134" s="17"/>
      <c r="F1134" s="17" t="str">
        <f>IFERROR(__xludf.DUMMYFUNCTION("""COMPUTED_VALUE"""),"umakrishna@countrydelight.in")</f>
        <v>umakrishna@countrydelight.in</v>
      </c>
      <c r="G1134" s="17" t="str">
        <f>IFERROR(__xludf.DUMMYFUNCTION("""COMPUTED_VALUE"""),"vmakittu.umakrishna8@gmail.com")</f>
        <v>vmakittu.umakrishna8@gmail.com</v>
      </c>
      <c r="H1134" s="17"/>
    </row>
    <row r="1135">
      <c r="A1135" s="17" t="str">
        <f>IFERROR(__xludf.DUMMYFUNCTION("""COMPUTED_VALUE"""),"Bombay Shaving Company")</f>
        <v>Bombay Shaving Company</v>
      </c>
      <c r="B1135" s="17" t="str">
        <f>IFERROR(__xludf.DUMMYFUNCTION("""COMPUTED_VALUE"""),"Varun Gupta")</f>
        <v>Varun Gupta</v>
      </c>
      <c r="C1135" s="17" t="str">
        <f>IFERROR(__xludf.DUMMYFUNCTION("""COMPUTED_VALUE"""),"Category Head (Trimmers) &amp; CGO")</f>
        <v>Category Head (Trimmers) &amp; CGO</v>
      </c>
      <c r="D1135" s="27" t="str">
        <f>IFERROR(__xludf.DUMMYFUNCTION("""COMPUTED_VALUE"""),"https://www.linkedin.com/in/vkg7/")</f>
        <v>https://www.linkedin.com/in/vkg7/</v>
      </c>
      <c r="E1135" s="17"/>
      <c r="F1135" s="17" t="str">
        <f>IFERROR(__xludf.DUMMYFUNCTION("""COMPUTED_VALUE"""),"varun@bombayshavingcompany.com")</f>
        <v>varun@bombayshavingcompany.com</v>
      </c>
      <c r="G1135" s="17" t="str">
        <f>IFERROR(__xludf.DUMMYFUNCTION("""COMPUTED_VALUE"""),"rv2nitjsr@gmail.com")</f>
        <v>rv2nitjsr@gmail.com</v>
      </c>
      <c r="H1135" s="17"/>
    </row>
    <row r="1136">
      <c r="A1136" s="17" t="str">
        <f>IFERROR(__xludf.DUMMYFUNCTION("""COMPUTED_VALUE"""),"Scripbox")</f>
        <v>Scripbox</v>
      </c>
      <c r="B1136" s="17" t="str">
        <f>IFERROR(__xludf.DUMMYFUNCTION("""COMPUTED_VALUE"""),"Krithika Muthukrishnan")</f>
        <v>Krithika Muthukrishnan</v>
      </c>
      <c r="C1136" s="17" t="str">
        <f>IFERROR(__xludf.DUMMYFUNCTION("""COMPUTED_VALUE"""),"Chief Product &amp; AI Officer")</f>
        <v>Chief Product &amp; AI Officer</v>
      </c>
      <c r="D1136" s="27" t="str">
        <f>IFERROR(__xludf.DUMMYFUNCTION("""COMPUTED_VALUE"""),"https://www.linkedin.com/in/krithikamuthukrishnan/")</f>
        <v>https://www.linkedin.com/in/krithikamuthukrishnan/</v>
      </c>
      <c r="E1136" s="17"/>
      <c r="F1136" s="17" t="str">
        <f>IFERROR(__xludf.DUMMYFUNCTION("""COMPUTED_VALUE"""),"krithika.muthukrishnan@scripbox.com")</f>
        <v>krithika.muthukrishnan@scripbox.com</v>
      </c>
      <c r="G1136" s="17" t="str">
        <f>IFERROR(__xludf.DUMMYFUNCTION("""COMPUTED_VALUE"""),"krithika.muthukrishnan@fmr.com")</f>
        <v>krithika.muthukrishnan@fmr.com</v>
      </c>
      <c r="H1136" s="17" t="str">
        <f>IFERROR(__xludf.DUMMYFUNCTION("""COMPUTED_VALUE"""),"kmuthukrishnan@gmail.com")</f>
        <v>kmuthukrishnan@gmail.com</v>
      </c>
    </row>
    <row r="1137">
      <c r="A1137" s="17" t="str">
        <f>IFERROR(__xludf.DUMMYFUNCTION("""COMPUTED_VALUE"""),"PharmEasy")</f>
        <v>PharmEasy</v>
      </c>
      <c r="B1137" s="17" t="str">
        <f>IFERROR(__xludf.DUMMYFUNCTION("""COMPUTED_VALUE"""),"Ankit Gupta")</f>
        <v>Ankit Gupta</v>
      </c>
      <c r="C1137" s="17" t="str">
        <f>IFERROR(__xludf.DUMMYFUNCTION("""COMPUTED_VALUE"""),"CPO")</f>
        <v>CPO</v>
      </c>
      <c r="D1137" s="27" t="str">
        <f>IFERROR(__xludf.DUMMYFUNCTION("""COMPUTED_VALUE"""),"https://www.linkedin.com/in/ankeetgupta/")</f>
        <v>https://www.linkedin.com/in/ankeetgupta/</v>
      </c>
      <c r="E1137" s="17"/>
      <c r="F1137" s="17" t="str">
        <f>IFERROR(__xludf.DUMMYFUNCTION("""COMPUTED_VALUE"""),"ankit.gupt@gmail.com")</f>
        <v>ankit.gupt@gmail.com</v>
      </c>
      <c r="G1137" s="17" t="str">
        <f>IFERROR(__xludf.DUMMYFUNCTION("""COMPUTED_VALUE"""),"iaankitg@gmail.com")</f>
        <v>iaankitg@gmail.com</v>
      </c>
      <c r="H1137" s="17"/>
    </row>
    <row r="1138">
      <c r="A1138" s="17" t="str">
        <f>IFERROR(__xludf.DUMMYFUNCTION("""COMPUTED_VALUE"""),"INDmoney")</f>
        <v>INDmoney</v>
      </c>
      <c r="B1138" s="17" t="str">
        <f>IFERROR(__xludf.DUMMYFUNCTION("""COMPUTED_VALUE"""),"Kartikay Aggarwal")</f>
        <v>Kartikay Aggarwal</v>
      </c>
      <c r="C1138" s="17" t="str">
        <f>IFERROR(__xludf.DUMMYFUNCTION("""COMPUTED_VALUE"""),"Director of Product")</f>
        <v>Director of Product</v>
      </c>
      <c r="D1138" s="27" t="str">
        <f>IFERROR(__xludf.DUMMYFUNCTION("""COMPUTED_VALUE"""),"https://www.linkedin.com/in/kartikay-aggarwal-3ab035124/")</f>
        <v>https://www.linkedin.com/in/kartikay-aggarwal-3ab035124/</v>
      </c>
      <c r="E1138" s="17"/>
      <c r="F1138" s="17" t="str">
        <f>IFERROR(__xludf.DUMMYFUNCTION("""COMPUTED_VALUE"""),"kartikay@indwealth.in")</f>
        <v>kartikay@indwealth.in</v>
      </c>
      <c r="G1138" s="17" t="str">
        <f>IFERROR(__xludf.DUMMYFUNCTION("""COMPUTED_VALUE"""),"kartikay7777@gmail.com")</f>
        <v>kartikay7777@gmail.com</v>
      </c>
      <c r="H1138" s="17"/>
    </row>
    <row r="1139">
      <c r="A1139" s="17" t="str">
        <f>IFERROR(__xludf.DUMMYFUNCTION("""COMPUTED_VALUE"""),"Practo")</f>
        <v>Practo</v>
      </c>
      <c r="B1139" s="17" t="str">
        <f>IFERROR(__xludf.DUMMYFUNCTION("""COMPUTED_VALUE"""),"Sarang Sharma")</f>
        <v>Sarang Sharma</v>
      </c>
      <c r="C1139" s="17" t="str">
        <f>IFERROR(__xludf.DUMMYFUNCTION("""COMPUTED_VALUE"""),"Product Head")</f>
        <v>Product Head</v>
      </c>
      <c r="D1139" s="27" t="str">
        <f>IFERROR(__xludf.DUMMYFUNCTION("""COMPUTED_VALUE"""),"https://www.linkedin.com/in/sarang-sharma-91791111/")</f>
        <v>https://www.linkedin.com/in/sarang-sharma-91791111/</v>
      </c>
      <c r="E1139" s="17"/>
      <c r="F1139" s="17" t="str">
        <f>IFERROR(__xludf.DUMMYFUNCTION("""COMPUTED_VALUE"""),"sarang.sharma@practo.com")</f>
        <v>sarang.sharma@practo.com</v>
      </c>
      <c r="G1139" s="17" t="str">
        <f>IFERROR(__xludf.DUMMYFUNCTION("""COMPUTED_VALUE"""),"mr.sarangsharma@gmail.com")</f>
        <v>mr.sarangsharma@gmail.com</v>
      </c>
      <c r="H1139" s="17"/>
    </row>
    <row r="1140">
      <c r="A1140" s="17" t="str">
        <f>IFERROR(__xludf.DUMMYFUNCTION("""COMPUTED_VALUE"""),"Atomberg Technologies")</f>
        <v>Atomberg Technologies</v>
      </c>
      <c r="B1140" s="17" t="str">
        <f>IFERROR(__xludf.DUMMYFUNCTION("""COMPUTED_VALUE"""),"Gaurav Gupta")</f>
        <v>Gaurav Gupta</v>
      </c>
      <c r="C1140" s="17" t="str">
        <f>IFERROR(__xludf.DUMMYFUNCTION("""COMPUTED_VALUE"""),"Head of Product Development")</f>
        <v>Head of Product Development</v>
      </c>
      <c r="D1140" s="27" t="str">
        <f>IFERROR(__xludf.DUMMYFUNCTION("""COMPUTED_VALUE"""),"https://www.linkedin.com/in/gaurav-gupta-6097564/")</f>
        <v>https://www.linkedin.com/in/gaurav-gupta-6097564/</v>
      </c>
      <c r="E1140" s="17"/>
      <c r="F1140" s="17" t="str">
        <f>IFERROR(__xludf.DUMMYFUNCTION("""COMPUTED_VALUE"""),"gupta.gaurav@atomberg.com")</f>
        <v>gupta.gaurav@atomberg.com</v>
      </c>
      <c r="G1140" s="17" t="str">
        <f>IFERROR(__xludf.DUMMYFUNCTION("""COMPUTED_VALUE"""),"ggaurav83@gmail.com")</f>
        <v>ggaurav83@gmail.com</v>
      </c>
      <c r="H1140" s="17" t="str">
        <f>IFERROR(__xludf.DUMMYFUNCTION("""COMPUTED_VALUE"""),"ggaurav_2003@yahoo.co.in")</f>
        <v>ggaurav_2003@yahoo.co.in</v>
      </c>
    </row>
    <row r="1141">
      <c r="A1141" s="17" t="str">
        <f>IFERROR(__xludf.DUMMYFUNCTION("""COMPUTED_VALUE"""),"OneAssist")</f>
        <v>OneAssist</v>
      </c>
      <c r="B1141" s="17" t="str">
        <f>IFERROR(__xludf.DUMMYFUNCTION("""COMPUTED_VALUE"""),"Aman Prakash")</f>
        <v>Aman Prakash</v>
      </c>
      <c r="C1141" s="17" t="str">
        <f>IFERROR(__xludf.DUMMYFUNCTION("""COMPUTED_VALUE"""),"Chief Product &amp; Marketing Officer")</f>
        <v>Chief Product &amp; Marketing Officer</v>
      </c>
      <c r="D1141" s="27" t="str">
        <f>IFERROR(__xludf.DUMMYFUNCTION("""COMPUTED_VALUE"""),"https://www.linkedin.com/in/aman-prakash-40b39942/")</f>
        <v>https://www.linkedin.com/in/aman-prakash-40b39942/</v>
      </c>
      <c r="E1141" s="17"/>
      <c r="F1141" s="17" t="str">
        <f>IFERROR(__xludf.DUMMYFUNCTION("""COMPUTED_VALUE"""),"aman.prakash@oneassist.in")</f>
        <v>aman.prakash@oneassist.in</v>
      </c>
      <c r="G1141" s="17" t="str">
        <f>IFERROR(__xludf.DUMMYFUNCTION("""COMPUTED_VALUE"""),"amanprakash.nayak@gmail.com")</f>
        <v>amanprakash.nayak@gmail.com</v>
      </c>
      <c r="H1141" s="17"/>
    </row>
    <row r="1142">
      <c r="A1142" s="17" t="str">
        <f>IFERROR(__xludf.DUMMYFUNCTION("""COMPUTED_VALUE"""),"Mosaic Wellness")</f>
        <v>Mosaic Wellness</v>
      </c>
      <c r="B1142" s="17" t="str">
        <f>IFERROR(__xludf.DUMMYFUNCTION("""COMPUTED_VALUE"""),"Shouvik Ghosh Roy")</f>
        <v>Shouvik Ghosh Roy</v>
      </c>
      <c r="C1142" s="17" t="str">
        <f>IFERROR(__xludf.DUMMYFUNCTION("""COMPUTED_VALUE"""),"Chief Technology &amp; Product Officer")</f>
        <v>Chief Technology &amp; Product Officer</v>
      </c>
      <c r="D1142" s="27" t="str">
        <f>IFERROR(__xludf.DUMMYFUNCTION("""COMPUTED_VALUE"""),"https://www.linkedin.com/in/shouvikgr/")</f>
        <v>https://www.linkedin.com/in/shouvikgr/</v>
      </c>
      <c r="E1142" s="17"/>
      <c r="F1142" s="17" t="str">
        <f>IFERROR(__xludf.DUMMYFUNCTION("""COMPUTED_VALUE"""),"shouvik@mosaicwellness.in")</f>
        <v>shouvik@mosaicwellness.in</v>
      </c>
      <c r="G1142" s="17" t="str">
        <f>IFERROR(__xludf.DUMMYFUNCTION("""COMPUTED_VALUE"""),"shouvik.gr@gmail.com")</f>
        <v>shouvik.gr@gmail.com</v>
      </c>
      <c r="H1142" s="17"/>
    </row>
    <row r="1143">
      <c r="A1143" s="17" t="str">
        <f>IFERROR(__xludf.DUMMYFUNCTION("""COMPUTED_VALUE"""),"Chalo")</f>
        <v>Chalo</v>
      </c>
      <c r="B1143" s="17" t="str">
        <f>IFERROR(__xludf.DUMMYFUNCTION("""COMPUTED_VALUE"""),"Sanket Bhatt")</f>
        <v>Sanket Bhatt</v>
      </c>
      <c r="C1143" s="17" t="str">
        <f>IFERROR(__xludf.DUMMYFUNCTION("""COMPUTED_VALUE"""),"AVP Product")</f>
        <v>AVP Product</v>
      </c>
      <c r="D1143" s="27" t="str">
        <f>IFERROR(__xludf.DUMMYFUNCTION("""COMPUTED_VALUE"""),"https://www.linkedin.com/in/sankbhatt/")</f>
        <v>https://www.linkedin.com/in/sankbhatt/</v>
      </c>
      <c r="E1143" s="17"/>
      <c r="F1143" s="17" t="str">
        <f>IFERROR(__xludf.DUMMYFUNCTION("""COMPUTED_VALUE"""),"sanket@chalo.com")</f>
        <v>sanket@chalo.com</v>
      </c>
      <c r="G1143" s="17" t="str">
        <f>IFERROR(__xludf.DUMMYFUNCTION("""COMPUTED_VALUE"""),"sankbhatt@gmail.com")</f>
        <v>sankbhatt@gmail.com</v>
      </c>
      <c r="H1143" s="17"/>
    </row>
    <row r="1144">
      <c r="A1144" s="17" t="str">
        <f>IFERROR(__xludf.DUMMYFUNCTION("""COMPUTED_VALUE"""),"Jupiter")</f>
        <v>Jupiter</v>
      </c>
      <c r="B1144" s="17" t="str">
        <f>IFERROR(__xludf.DUMMYFUNCTION("""COMPUTED_VALUE"""),"Abhishek Choudhari")</f>
        <v>Abhishek Choudhari</v>
      </c>
      <c r="C1144" s="17" t="str">
        <f>IFERROR(__xludf.DUMMYFUNCTION("""COMPUTED_VALUE"""),"VP Product")</f>
        <v>VP Product</v>
      </c>
      <c r="D1144" s="27" t="str">
        <f>IFERROR(__xludf.DUMMYFUNCTION("""COMPUTED_VALUE"""),"https://www.linkedin.com/in/abhishekchoudhari/?trk=pub-pbmap")</f>
        <v>https://www.linkedin.com/in/abhishekchoudhari/?trk=pub-pbmap</v>
      </c>
      <c r="E1144" s="17"/>
      <c r="F1144" s="17" t="str">
        <f>IFERROR(__xludf.DUMMYFUNCTION("""COMPUTED_VALUE"""),"abhishek.choudhari@jupiter.money")</f>
        <v>abhishek.choudhari@jupiter.money</v>
      </c>
      <c r="G1144" s="17" t="str">
        <f>IFERROR(__xludf.DUMMYFUNCTION("""COMPUTED_VALUE"""),"choudhari_abhishek@hotmail.com")</f>
        <v>choudhari_abhishek@hotmail.com</v>
      </c>
      <c r="H1144" s="17" t="str">
        <f>IFERROR(__xludf.DUMMYFUNCTION("""COMPUTED_VALUE"""),"choudhari.abhishek26@gmail.com")</f>
        <v>choudhari.abhishek26@gmail.com</v>
      </c>
    </row>
    <row r="1145">
      <c r="A1145" s="17" t="str">
        <f>IFERROR(__xludf.DUMMYFUNCTION("""COMPUTED_VALUE"""),"LoadShare Networks Pvt Ltd")</f>
        <v>LoadShare Networks Pvt Ltd</v>
      </c>
      <c r="B1145" s="17" t="str">
        <f>IFERROR(__xludf.DUMMYFUNCTION("""COMPUTED_VALUE"""),"Pramod Nair")</f>
        <v>Pramod Nair</v>
      </c>
      <c r="C1145" s="17" t="str">
        <f>IFERROR(__xludf.DUMMYFUNCTION("""COMPUTED_VALUE"""),"Co-founder/CTPO")</f>
        <v>Co-founder/CTPO</v>
      </c>
      <c r="D1145" s="27" t="str">
        <f>IFERROR(__xludf.DUMMYFUNCTION("""COMPUTED_VALUE"""),"https://www.linkedin.com/in/pramodpnair/")</f>
        <v>https://www.linkedin.com/in/pramodpnair/</v>
      </c>
      <c r="E1145" s="17"/>
      <c r="F1145" s="17" t="str">
        <f>IFERROR(__xludf.DUMMYFUNCTION("""COMPUTED_VALUE"""),"pramod@loadshare.net")</f>
        <v>pramod@loadshare.net</v>
      </c>
      <c r="G1145" s="17" t="str">
        <f>IFERROR(__xludf.DUMMYFUNCTION("""COMPUTED_VALUE"""),"pramod@loadshare.net")</f>
        <v>pramod@loadshare.net</v>
      </c>
      <c r="H1145" s="17" t="str">
        <f>IFERROR(__xludf.DUMMYFUNCTION("""COMPUTED_VALUE"""),"p.pramod.nair@gmail.com")</f>
        <v>p.pramod.nair@gmail.com</v>
      </c>
    </row>
    <row r="1146">
      <c r="A1146" s="17" t="str">
        <f>IFERROR(__xludf.DUMMYFUNCTION("""COMPUTED_VALUE"""),"Whatfix")</f>
        <v>Whatfix</v>
      </c>
      <c r="B1146" s="17" t="str">
        <f>IFERROR(__xludf.DUMMYFUNCTION("""COMPUTED_VALUE"""),"Kapil Ashok Jaiswal")</f>
        <v>Kapil Ashok Jaiswal</v>
      </c>
      <c r="C1146" s="17" t="str">
        <f>IFERROR(__xludf.DUMMYFUNCTION("""COMPUTED_VALUE"""),"Head of Products")</f>
        <v>Head of Products</v>
      </c>
      <c r="D1146" s="27" t="str">
        <f>IFERROR(__xludf.DUMMYFUNCTION("""COMPUTED_VALUE"""),"https://www.linkedin.com/in/kapilajaiswal/")</f>
        <v>https://www.linkedin.com/in/kapilajaiswal/</v>
      </c>
      <c r="E1146" s="17"/>
      <c r="F1146" s="17" t="str">
        <f>IFERROR(__xludf.DUMMYFUNCTION("""COMPUTED_VALUE"""),"kapil.jaiswal@whatfix.com")</f>
        <v>kapil.jaiswal@whatfix.com</v>
      </c>
      <c r="G1146" s="17" t="str">
        <f>IFERROR(__xludf.DUMMYFUNCTION("""COMPUTED_VALUE"""),"kapilashok@huawei.com")</f>
        <v>kapilashok@huawei.com</v>
      </c>
      <c r="H1146" s="17" t="str">
        <f>IFERROR(__xludf.DUMMYFUNCTION("""COMPUTED_VALUE"""),"hello.simono@gmail.com")</f>
        <v>hello.simono@gmail.com</v>
      </c>
    </row>
    <row r="1147">
      <c r="A1147" s="17" t="str">
        <f>IFERROR(__xludf.DUMMYFUNCTION("""COMPUTED_VALUE"""),"Freight Tiger")</f>
        <v>Freight Tiger</v>
      </c>
      <c r="B1147" s="17" t="str">
        <f>IFERROR(__xludf.DUMMYFUNCTION("""COMPUTED_VALUE"""),"Rajesh Sudhakaran")</f>
        <v>Rajesh Sudhakaran</v>
      </c>
      <c r="C1147" s="17" t="str">
        <f>IFERROR(__xludf.DUMMYFUNCTION("""COMPUTED_VALUE"""),"VP of Product")</f>
        <v>VP of Product</v>
      </c>
      <c r="D1147" s="27" t="str">
        <f>IFERROR(__xludf.DUMMYFUNCTION("""COMPUTED_VALUE"""),"https://www.linkedin.com/in/rajesh-sudhakaran-7823a029/")</f>
        <v>https://www.linkedin.com/in/rajesh-sudhakaran-7823a029/</v>
      </c>
      <c r="E1147" s="17"/>
      <c r="F1147" s="17" t="str">
        <f>IFERROR(__xludf.DUMMYFUNCTION("""COMPUTED_VALUE"""),"rajesh.s@freighttiger.com")</f>
        <v>rajesh.s@freighttiger.com</v>
      </c>
      <c r="G1147" s="17" t="str">
        <f>IFERROR(__xludf.DUMMYFUNCTION("""COMPUTED_VALUE"""),"seeerajesh@gmail.com")</f>
        <v>seeerajesh@gmail.com</v>
      </c>
      <c r="H1147" s="17"/>
    </row>
    <row r="1148">
      <c r="A1148" s="17" t="str">
        <f>IFERROR(__xludf.DUMMYFUNCTION("""COMPUTED_VALUE"""),"Isprava &amp; Lohono Stays")</f>
        <v>Isprava &amp; Lohono Stays</v>
      </c>
      <c r="B1148" s="17" t="str">
        <f>IFERROR(__xludf.DUMMYFUNCTION("""COMPUTED_VALUE"""),"Mithil Srivastav")</f>
        <v>Mithil Srivastav</v>
      </c>
      <c r="C1148" s="17" t="str">
        <f>IFERROR(__xludf.DUMMYFUNCTION("""COMPUTED_VALUE"""),"VP- Product")</f>
        <v>VP- Product</v>
      </c>
      <c r="D1148" s="27" t="str">
        <f>IFERROR(__xludf.DUMMYFUNCTION("""COMPUTED_VALUE"""),"https://www.linkedin.com/in/mithilsrivastav/")</f>
        <v>https://www.linkedin.com/in/mithilsrivastav/</v>
      </c>
      <c r="E1148" s="17"/>
      <c r="F1148" s="17" t="str">
        <f>IFERROR(__xludf.DUMMYFUNCTION("""COMPUTED_VALUE"""),"mithil.srivastav@lohono.com")</f>
        <v>mithil.srivastav@lohono.com</v>
      </c>
      <c r="G1148" s="17" t="str">
        <f>IFERROR(__xludf.DUMMYFUNCTION("""COMPUTED_VALUE"""),"mithilsrivastav@gmail.com")</f>
        <v>mithilsrivastav@gmail.com</v>
      </c>
      <c r="H1148" s="17"/>
    </row>
    <row r="1149">
      <c r="A1149" s="17" t="str">
        <f>IFERROR(__xludf.DUMMYFUNCTION("""COMPUTED_VALUE"""),"Seclore")</f>
        <v>Seclore</v>
      </c>
      <c r="B1149" s="17" t="str">
        <f>IFERROR(__xludf.DUMMYFUNCTION("""COMPUTED_VALUE"""),"Shikhar Jain")</f>
        <v>Shikhar Jain</v>
      </c>
      <c r="C1149" s="17" t="str">
        <f>IFERROR(__xludf.DUMMYFUNCTION("""COMPUTED_VALUE"""),"Senior Product Manager")</f>
        <v>Senior Product Manager</v>
      </c>
      <c r="D1149" s="27" t="str">
        <f>IFERROR(__xludf.DUMMYFUNCTION("""COMPUTED_VALUE"""),"https://www.linkedin.com/in/shikharjain10/")</f>
        <v>https://www.linkedin.com/in/shikharjain10/</v>
      </c>
      <c r="E1149" s="17"/>
      <c r="F1149" s="17" t="str">
        <f>IFERROR(__xludf.DUMMYFUNCTION("""COMPUTED_VALUE"""),"shikhar.jain@seclore.com")</f>
        <v>shikhar.jain@seclore.com</v>
      </c>
      <c r="G1149" s="17" t="str">
        <f>IFERROR(__xludf.DUMMYFUNCTION("""COMPUTED_VALUE"""),"shikharjain10@gmail.com")</f>
        <v>shikharjain10@gmail.com</v>
      </c>
      <c r="H1149" s="17"/>
    </row>
    <row r="1150">
      <c r="A1150" s="17" t="str">
        <f>IFERROR(__xludf.DUMMYFUNCTION("""COMPUTED_VALUE"""),"Adda Education")</f>
        <v>Adda Education</v>
      </c>
      <c r="B1150" s="17" t="str">
        <f>IFERROR(__xludf.DUMMYFUNCTION("""COMPUTED_VALUE"""),"Pankaj K.")</f>
        <v>Pankaj K.</v>
      </c>
      <c r="C1150" s="17" t="str">
        <f>IFERROR(__xludf.DUMMYFUNCTION("""COMPUTED_VALUE"""),"Head of Product, Design, Analytics and AI")</f>
        <v>Head of Product, Design, Analytics and AI</v>
      </c>
      <c r="D1150" s="27" t="str">
        <f>IFERROR(__xludf.DUMMYFUNCTION("""COMPUTED_VALUE"""),"https://www.linkedin.com/in/pkumarie11/")</f>
        <v>https://www.linkedin.com/in/pkumarie11/</v>
      </c>
      <c r="E1150" s="17"/>
      <c r="F1150" s="17" t="str">
        <f>IFERROR(__xludf.DUMMYFUNCTION("""COMPUTED_VALUE"""),"pankaj@adda247.com")</f>
        <v>pankaj@adda247.com</v>
      </c>
      <c r="G1150" s="17" t="str">
        <f>IFERROR(__xludf.DUMMYFUNCTION("""COMPUTED_VALUE"""),"dream.lancy4u@gmail.com")</f>
        <v>dream.lancy4u@gmail.com</v>
      </c>
      <c r="H1150" s="17" t="str">
        <f>IFERROR(__xludf.DUMMYFUNCTION("""COMPUTED_VALUE"""),"pkumar.ie2011@gmail.com")</f>
        <v>pkumar.ie2011@gmail.com</v>
      </c>
    </row>
    <row r="1151">
      <c r="A1151" s="17" t="str">
        <f>IFERROR(__xludf.DUMMYFUNCTION("""COMPUTED_VALUE"""),"The Sleep Company")</f>
        <v>The Sleep Company</v>
      </c>
      <c r="B1151" s="17" t="str">
        <f>IFERROR(__xludf.DUMMYFUNCTION("""COMPUTED_VALUE"""),"Nirav Lalan")</f>
        <v>Nirav Lalan</v>
      </c>
      <c r="C1151" s="17" t="str">
        <f>IFERROR(__xludf.DUMMYFUNCTION("""COMPUTED_VALUE"""),"CGO")</f>
        <v>CGO</v>
      </c>
      <c r="D1151" s="27" t="str">
        <f>IFERROR(__xludf.DUMMYFUNCTION("""COMPUTED_VALUE"""),"https://www.linkedin.com/in/nirav-lalan-2152a226/")</f>
        <v>https://www.linkedin.com/in/nirav-lalan-2152a226/</v>
      </c>
      <c r="E1151" s="17"/>
      <c r="F1151" s="17" t="str">
        <f>IFERROR(__xludf.DUMMYFUNCTION("""COMPUTED_VALUE"""),"niravjlalan@gmail.com")</f>
        <v>niravjlalan@gmail.com</v>
      </c>
      <c r="G1151" s="17" t="str">
        <f>IFERROR(__xludf.DUMMYFUNCTION("""COMPUTED_VALUE"""),"lalannirav@yahoo.co.in")</f>
        <v>lalannirav@yahoo.co.in</v>
      </c>
      <c r="H1151" s="17"/>
    </row>
    <row r="1152">
      <c r="A1152" s="17" t="str">
        <f>IFERROR(__xludf.DUMMYFUNCTION("""COMPUTED_VALUE"""),"BeatO")</f>
        <v>BeatO</v>
      </c>
      <c r="B1152" s="17" t="str">
        <f>IFERROR(__xludf.DUMMYFUNCTION("""COMPUTED_VALUE"""),"Amit Gupta")</f>
        <v>Amit Gupta</v>
      </c>
      <c r="C1152" s="17" t="str">
        <f>IFERROR(__xludf.DUMMYFUNCTION("""COMPUTED_VALUE"""),"CPO")</f>
        <v>CPO</v>
      </c>
      <c r="D1152" s="27" t="str">
        <f>IFERROR(__xludf.DUMMYFUNCTION("""COMPUTED_VALUE"""),"https://www.linkedin.com/in/amitguptaz/")</f>
        <v>https://www.linkedin.com/in/amitguptaz/</v>
      </c>
      <c r="E1152" s="17"/>
      <c r="F1152" s="17" t="str">
        <f>IFERROR(__xludf.DUMMYFUNCTION("""COMPUTED_VALUE"""),"amit.gupta@beatoapp.com")</f>
        <v>amit.gupta@beatoapp.com</v>
      </c>
      <c r="G1152" s="17" t="str">
        <f>IFERROR(__xludf.DUMMYFUNCTION("""COMPUTED_VALUE"""),"amit@amitguptaz.com")</f>
        <v>amit@amitguptaz.com</v>
      </c>
      <c r="H1152" s="17"/>
    </row>
    <row r="1153">
      <c r="A1153" s="17" t="str">
        <f>IFERROR(__xludf.DUMMYFUNCTION("""COMPUTED_VALUE"""),"RedcliffeLabs Scale")</f>
        <v>RedcliffeLabs Scale</v>
      </c>
      <c r="B1153" s="17" t="str">
        <f>IFERROR(__xludf.DUMMYFUNCTION("""COMPUTED_VALUE"""),"Ish Kapoor")</f>
        <v>Ish Kapoor</v>
      </c>
      <c r="C1153" s="17" t="str">
        <f>IFERROR(__xludf.DUMMYFUNCTION("""COMPUTED_VALUE"""),"Product")</f>
        <v>Product</v>
      </c>
      <c r="D1153" s="27" t="str">
        <f>IFERROR(__xludf.DUMMYFUNCTION("""COMPUTED_VALUE"""),"https://www.linkedin.com/in/ishkapoor2000/")</f>
        <v>https://www.linkedin.com/in/ishkapoor2000/</v>
      </c>
      <c r="E1153" s="17"/>
      <c r="F1153" s="17" t="str">
        <f>IFERROR(__xludf.DUMMYFUNCTION("""COMPUTED_VALUE"""),"ish.kapoor@redcliffelabs.com")</f>
        <v>ish.kapoor@redcliffelabs.com</v>
      </c>
      <c r="G1153" s="17" t="str">
        <f>IFERROR(__xludf.DUMMYFUNCTION("""COMPUTED_VALUE"""),"ishkapoor2000@gmail.com")</f>
        <v>ishkapoor2000@gmail.com</v>
      </c>
      <c r="H1153" s="17"/>
    </row>
    <row r="1154">
      <c r="A1154" s="17" t="str">
        <f>IFERROR(__xludf.DUMMYFUNCTION("""COMPUTED_VALUE"""),"Ultraviolette Automotive")</f>
        <v>Ultraviolette Automotive</v>
      </c>
      <c r="B1154" s="17" t="str">
        <f>IFERROR(__xludf.DUMMYFUNCTION("""COMPUTED_VALUE"""),"Vinayak Bhat")</f>
        <v>Vinayak Bhat</v>
      </c>
      <c r="C1154" s="17" t="str">
        <f>IFERROR(__xludf.DUMMYFUNCTION("""COMPUTED_VALUE"""),"Chief Product Officer")</f>
        <v>Chief Product Officer</v>
      </c>
      <c r="D1154" s="27" t="str">
        <f>IFERROR(__xludf.DUMMYFUNCTION("""COMPUTED_VALUE"""),"https://www.linkedin.com/in/vinayak-bhat-70a40a24/")</f>
        <v>https://www.linkedin.com/in/vinayak-bhat-70a40a24/</v>
      </c>
      <c r="E1154" s="17"/>
      <c r="F1154" s="17" t="str">
        <f>IFERROR(__xludf.DUMMYFUNCTION("""COMPUTED_VALUE"""),"vinayak@ultraviolette.com")</f>
        <v>vinayak@ultraviolette.com</v>
      </c>
      <c r="G1154" s="322" t="str">
        <f>IFERROR(__xludf.DUMMYFUNCTION("""COMPUTED_VALUE"""),"Vinayak Bhat")</f>
        <v>Vinayak Bhat</v>
      </c>
      <c r="H1154" s="17"/>
    </row>
    <row r="1155">
      <c r="A1155" s="17" t="str">
        <f>IFERROR(__xludf.DUMMYFUNCTION("""COMPUTED_VALUE"""),"wakefit")</f>
        <v>wakefit</v>
      </c>
      <c r="B1155" s="17" t="str">
        <f>IFERROR(__xludf.DUMMYFUNCTION("""COMPUTED_VALUE"""),"Vasantha kumar S.")</f>
        <v>Vasantha kumar S.</v>
      </c>
      <c r="C1155" s="17" t="str">
        <f>IFERROR(__xludf.DUMMYFUNCTION("""COMPUTED_VALUE"""),"Head of Product, Design &amp; User Research")</f>
        <v>Head of Product, Design &amp; User Research</v>
      </c>
      <c r="D1155" s="27" t="str">
        <f>IFERROR(__xludf.DUMMYFUNCTION("""COMPUTED_VALUE"""),"https://www.linkedin.com/in/vasanthakumars1/")</f>
        <v>https://www.linkedin.com/in/vasanthakumars1/</v>
      </c>
      <c r="E1155" s="17"/>
      <c r="F1155" s="17" t="str">
        <f>IFERROR(__xludf.DUMMYFUNCTION("""COMPUTED_VALUE"""),"vasanthpandi@gmail.com")</f>
        <v>vasanthpandi@gmail.com</v>
      </c>
      <c r="G1155" s="17"/>
      <c r="H1155" s="17"/>
    </row>
    <row r="1156">
      <c r="A1156" s="17" t="str">
        <f>IFERROR(__xludf.DUMMYFUNCTION("""COMPUTED_VALUE"""),"SpotDraft")</f>
        <v>SpotDraft</v>
      </c>
      <c r="B1156" s="17" t="str">
        <f>IFERROR(__xludf.DUMMYFUNCTION("""COMPUTED_VALUE"""),"Rohith Salim")</f>
        <v>Rohith Salim</v>
      </c>
      <c r="C1156" s="17" t="str">
        <f>IFERROR(__xludf.DUMMYFUNCTION("""COMPUTED_VALUE"""),"Co-founder &amp; Chief Product Officer")</f>
        <v>Co-founder &amp; Chief Product Officer</v>
      </c>
      <c r="D1156" s="27" t="str">
        <f>IFERROR(__xludf.DUMMYFUNCTION("""COMPUTED_VALUE"""),"https://www.linkedin.com/in/rohith-salim/")</f>
        <v>https://www.linkedin.com/in/rohith-salim/</v>
      </c>
      <c r="E1156" s="17"/>
      <c r="F1156" s="17" t="str">
        <f>IFERROR(__xludf.DUMMYFUNCTION("""COMPUTED_VALUE"""),"rohith.salim@spotdraft.com")</f>
        <v>rohith.salim@spotdraft.com</v>
      </c>
      <c r="G1156" s="17" t="str">
        <f>IFERROR(__xludf.DUMMYFUNCTION("""COMPUTED_VALUE"""),"rohith.salim@spotdraft.com")</f>
        <v>rohith.salim@spotdraft.com</v>
      </c>
      <c r="H1156" s="17" t="str">
        <f>IFERROR(__xludf.DUMMYFUNCTION("""COMPUTED_VALUE"""),"rohitsalim@gmail.com")</f>
        <v>rohitsalim@gmail.com</v>
      </c>
    </row>
    <row r="1157">
      <c r="A1157" s="17" t="str">
        <f>IFERROR(__xludf.DUMMYFUNCTION("""COMPUTED_VALUE"""),"Battery Smart")</f>
        <v>Battery Smart</v>
      </c>
      <c r="B1157" s="17" t="str">
        <f>IFERROR(__xludf.DUMMYFUNCTION("""COMPUTED_VALUE"""),"Vaibhav Sambre")</f>
        <v>Vaibhav Sambre</v>
      </c>
      <c r="C1157" s="17" t="str">
        <f>IFERROR(__xludf.DUMMYFUNCTION("""COMPUTED_VALUE"""),"VP Product")</f>
        <v>VP Product</v>
      </c>
      <c r="D1157" s="27" t="str">
        <f>IFERROR(__xludf.DUMMYFUNCTION("""COMPUTED_VALUE"""),"https://www.linkedin.com/in/vaibhav-sambre/")</f>
        <v>https://www.linkedin.com/in/vaibhav-sambre/</v>
      </c>
      <c r="E1157" s="17"/>
      <c r="F1157" s="17" t="str">
        <f>IFERROR(__xludf.DUMMYFUNCTION("""COMPUTED_VALUE"""),"vaibhav.sambre@batterysmart.in")</f>
        <v>vaibhav.sambre@batterysmart.in</v>
      </c>
      <c r="G1157" s="17" t="str">
        <f>IFERROR(__xludf.DUMMYFUNCTION("""COMPUTED_VALUE"""),"vaibhav.chemistry@gmail.com")</f>
        <v>vaibhav.chemistry@gmail.com</v>
      </c>
      <c r="H1157" s="17"/>
    </row>
    <row r="1158">
      <c r="A1158" s="27" t="str">
        <f>IFERROR(__xludf.DUMMYFUNCTION("""COMPUTED_VALUE"""),"Observe.ai")</f>
        <v>Observe.ai</v>
      </c>
      <c r="B1158" s="17" t="str">
        <f>IFERROR(__xludf.DUMMYFUNCTION("""COMPUTED_VALUE"""),"Kolin Koehl")</f>
        <v>Kolin Koehl</v>
      </c>
      <c r="C1158" s="17" t="str">
        <f>IFERROR(__xludf.DUMMYFUNCTION("""COMPUTED_VALUE"""),"VP of Product")</f>
        <v>VP of Product</v>
      </c>
      <c r="D1158" s="27" t="str">
        <f>IFERROR(__xludf.DUMMYFUNCTION("""COMPUTED_VALUE"""),"https://www.linkedin.com/in/kolinkoehl/")</f>
        <v>https://www.linkedin.com/in/kolinkoehl/</v>
      </c>
      <c r="E1158" s="17"/>
      <c r="F1158" s="17" t="str">
        <f>IFERROR(__xludf.DUMMYFUNCTION("""COMPUTED_VALUE"""),"kolin.koehl@observe.ai")</f>
        <v>kolin.koehl@observe.ai</v>
      </c>
      <c r="G1158" s="17" t="str">
        <f>IFERROR(__xludf.DUMMYFUNCTION("""COMPUTED_VALUE"""),"kolinkoehl@gmail.com")</f>
        <v>kolinkoehl@gmail.com</v>
      </c>
      <c r="H1158" s="17"/>
    </row>
    <row r="1159">
      <c r="A1159" s="17" t="str">
        <f>IFERROR(__xludf.DUMMYFUNCTION("""COMPUTED_VALUE"""),"CtrlS")</f>
        <v>CtrlS</v>
      </c>
      <c r="B1159" s="17" t="str">
        <f>IFERROR(__xludf.DUMMYFUNCTION("""COMPUTED_VALUE"""),"Siddharth Singh")</f>
        <v>Siddharth Singh</v>
      </c>
      <c r="C1159" s="17" t="str">
        <f>IFERROR(__xludf.DUMMYFUNCTION("""COMPUTED_VALUE"""),"SVP &amp; CMO")</f>
        <v>SVP &amp; CMO</v>
      </c>
      <c r="D1159" s="27" t="str">
        <f>IFERROR(__xludf.DUMMYFUNCTION("""COMPUTED_VALUE"""),"https://www.linkedin.com/in/onlysid/")</f>
        <v>https://www.linkedin.com/in/onlysid/</v>
      </c>
      <c r="E1159" s="17"/>
      <c r="F1159" s="17" t="str">
        <f>IFERROR(__xludf.DUMMYFUNCTION("""COMPUTED_VALUE"""),"onlysiddharth@hotmail.com")</f>
        <v>onlysiddharth@hotmail.com</v>
      </c>
      <c r="G1159" s="17"/>
      <c r="H1159" s="17"/>
    </row>
    <row r="1160">
      <c r="A1160" s="17" t="str">
        <f>IFERROR(__xludf.DUMMYFUNCTION("""COMPUTED_VALUE"""),"Servify")</f>
        <v>Servify</v>
      </c>
      <c r="B1160" s="17" t="str">
        <f>IFERROR(__xludf.DUMMYFUNCTION("""COMPUTED_VALUE"""),"Himanshu Doshi")</f>
        <v>Himanshu Doshi</v>
      </c>
      <c r="C1160" s="17" t="str">
        <f>IFERROR(__xludf.DUMMYFUNCTION("""COMPUTED_VALUE"""),"CPTO")</f>
        <v>CPTO</v>
      </c>
      <c r="D1160" s="27" t="str">
        <f>IFERROR(__xludf.DUMMYFUNCTION("""COMPUTED_VALUE"""),"https://www.linkedin.com/in/himdoshi/")</f>
        <v>https://www.linkedin.com/in/himdoshi/</v>
      </c>
      <c r="E1160" s="17"/>
      <c r="F1160" s="17" t="str">
        <f>IFERROR(__xludf.DUMMYFUNCTION("""COMPUTED_VALUE"""),"himanshudoshi@yahoo.com")</f>
        <v>himanshudoshi@yahoo.com</v>
      </c>
      <c r="G1160" s="17"/>
      <c r="H1160" s="17"/>
    </row>
    <row r="1161">
      <c r="A1161" s="17" t="str">
        <f>IFERROR(__xludf.DUMMYFUNCTION("""COMPUTED_VALUE"""),"CityMall")</f>
        <v>CityMall</v>
      </c>
      <c r="B1161" s="17" t="str">
        <f>IFERROR(__xludf.DUMMYFUNCTION("""COMPUTED_VALUE"""),"Pulkit Jain")</f>
        <v>Pulkit Jain</v>
      </c>
      <c r="C1161" s="17" t="str">
        <f>IFERROR(__xludf.DUMMYFUNCTION("""COMPUTED_VALUE"""),"Business Head")</f>
        <v>Business Head</v>
      </c>
      <c r="D1161" s="27" t="str">
        <f>IFERROR(__xludf.DUMMYFUNCTION("""COMPUTED_VALUE"""),"https://www.linkedin.com/in/pulkit-jain-9797999/")</f>
        <v>https://www.linkedin.com/in/pulkit-jain-9797999/</v>
      </c>
      <c r="E1161" s="17"/>
      <c r="F1161" s="17" t="str">
        <f>IFERROR(__xludf.DUMMYFUNCTION("""COMPUTED_VALUE"""),"pulkitjain@citymall.live")</f>
        <v>pulkitjain@citymall.live</v>
      </c>
      <c r="G1161" s="17" t="str">
        <f>IFERROR(__xludf.DUMMYFUNCTION("""COMPUTED_VALUE"""),"pulkit@unilever.com")</f>
        <v>pulkit@unilever.com</v>
      </c>
      <c r="H1161" s="17" t="str">
        <f>IFERROR(__xludf.DUMMYFUNCTION("""COMPUTED_VALUE"""),"pulkjain@gmail.com")</f>
        <v>pulkjain@gmail.com</v>
      </c>
    </row>
    <row r="1162">
      <c r="A1162" s="17" t="str">
        <f>IFERROR(__xludf.DUMMYFUNCTION("""COMPUTED_VALUE"""),"Park+")</f>
        <v>Park+</v>
      </c>
      <c r="B1162" s="17" t="str">
        <f>IFERROR(__xludf.DUMMYFUNCTION("""COMPUTED_VALUE"""),"Saurabh Mishra")</f>
        <v>Saurabh Mishra</v>
      </c>
      <c r="C1162" s="17" t="str">
        <f>IFERROR(__xludf.DUMMYFUNCTION("""COMPUTED_VALUE"""),"Head of Product")</f>
        <v>Head of Product</v>
      </c>
      <c r="D1162" s="27" t="str">
        <f>IFERROR(__xludf.DUMMYFUNCTION("""COMPUTED_VALUE"""),"https://www.linkedin.com/in/saurabhmishra280492/")</f>
        <v>https://www.linkedin.com/in/saurabhmishra280492/</v>
      </c>
      <c r="E1162" s="17"/>
      <c r="F1162" s="17" t="str">
        <f>IFERROR(__xludf.DUMMYFUNCTION("""COMPUTED_VALUE"""),"saurabhmishra280492@gmail.com")</f>
        <v>saurabhmishra280492@gmail.com</v>
      </c>
      <c r="G1162" s="17"/>
      <c r="H1162" s="17"/>
    </row>
    <row r="1163">
      <c r="A1163" s="17" t="str">
        <f>IFERROR(__xludf.DUMMYFUNCTION("""COMPUTED_VALUE"""),"Cadent ")</f>
        <v>Cadent </v>
      </c>
      <c r="B1163" s="17" t="str">
        <f>IFERROR(__xludf.DUMMYFUNCTION("""COMPUTED_VALUE"""),"Eoin Townsend")</f>
        <v>Eoin Townsend</v>
      </c>
      <c r="C1163" s="17" t="str">
        <f>IFERROR(__xludf.DUMMYFUNCTION("""COMPUTED_VALUE"""),"Chief Product Officer")</f>
        <v>Chief Product Officer</v>
      </c>
      <c r="D1163" s="27" t="str">
        <f>IFERROR(__xludf.DUMMYFUNCTION("""COMPUTED_VALUE"""),"https://www.linkedin.com/in/etownsend/")</f>
        <v>https://www.linkedin.com/in/etownsend/</v>
      </c>
      <c r="E1163" s="17"/>
      <c r="F1163" s="17" t="str">
        <f>IFERROR(__xludf.DUMMYFUNCTION("""COMPUTED_VALUE"""),"etownsend@cadent.tv")</f>
        <v>etownsend@cadent.tv</v>
      </c>
      <c r="G1163" s="17" t="str">
        <f>IFERROR(__xludf.DUMMYFUNCTION("""COMPUTED_VALUE"""),"eoin@cde2.com")</f>
        <v>eoin@cde2.com</v>
      </c>
      <c r="H1163" s="17" t="str">
        <f>IFERROR(__xludf.DUMMYFUNCTION("""COMPUTED_VALUE"""),"eoin@cde2.com")</f>
        <v>eoin@cde2.com</v>
      </c>
    </row>
    <row r="1164">
      <c r="A1164" s="17" t="str">
        <f>IFERROR(__xludf.DUMMYFUNCTION("""COMPUTED_VALUE"""),"AgroStar")</f>
        <v>AgroStar</v>
      </c>
      <c r="B1164" s="17" t="str">
        <f>IFERROR(__xludf.DUMMYFUNCTION("""COMPUTED_VALUE"""),"Darpan Pathar")</f>
        <v>Darpan Pathar</v>
      </c>
      <c r="C1164" s="17" t="str">
        <f>IFERROR(__xludf.DUMMYFUNCTION("""COMPUTED_VALUE"""),"Associate Director - Product")</f>
        <v>Associate Director - Product</v>
      </c>
      <c r="D1164" s="27" t="str">
        <f>IFERROR(__xludf.DUMMYFUNCTION("""COMPUTED_VALUE"""),"https://www.linkedin.com/in/darpan-pathar-30bb77a0/")</f>
        <v>https://www.linkedin.com/in/darpan-pathar-30bb77a0/</v>
      </c>
      <c r="E1164" s="17"/>
      <c r="F1164" s="17" t="str">
        <f>IFERROR(__xludf.DUMMYFUNCTION("""COMPUTED_VALUE"""),"darpan.pathar@agrostar.in")</f>
        <v>darpan.pathar@agrostar.in</v>
      </c>
      <c r="G1164" s="17"/>
      <c r="H1164" s="17"/>
    </row>
    <row r="1165">
      <c r="A1165" s="27" t="str">
        <f>IFERROR(__xludf.DUMMYFUNCTION("""COMPUTED_VALUE"""),"BankBazaar.com")</f>
        <v>BankBazaar.com</v>
      </c>
      <c r="B1165" s="17" t="str">
        <f>IFERROR(__xludf.DUMMYFUNCTION("""COMPUTED_VALUE"""),"Rati Shetty")</f>
        <v>Rati Shetty</v>
      </c>
      <c r="C1165" s="17" t="str">
        <f>IFERROR(__xludf.DUMMYFUNCTION("""COMPUTED_VALUE"""),"Chief Product Officer")</f>
        <v>Chief Product Officer</v>
      </c>
      <c r="D1165" s="27" t="str">
        <f>IFERROR(__xludf.DUMMYFUNCTION("""COMPUTED_VALUE"""),"https://www.linkedin.com/in/ratirajkumar/")</f>
        <v>https://www.linkedin.com/in/ratirajkumar/</v>
      </c>
      <c r="E1165" s="17"/>
      <c r="F1165" s="17" t="str">
        <f>IFERROR(__xludf.DUMMYFUNCTION("""COMPUTED_VALUE"""),"rati.shetty@bankbazaar.com")</f>
        <v>rati.shetty@bankbazaar.com</v>
      </c>
      <c r="G1165" s="17" t="str">
        <f>IFERROR(__xludf.DUMMYFUNCTION("""COMPUTED_VALUE"""),"ratirajkumar@gmail.com")</f>
        <v>ratirajkumar@gmail.com</v>
      </c>
      <c r="H1165" s="17"/>
    </row>
    <row r="1166">
      <c r="A1166" s="17" t="str">
        <f>IFERROR(__xludf.DUMMYFUNCTION("""COMPUTED_VALUE"""),"Wayground (formerly Quizizz)")</f>
        <v>Wayground (formerly Quizizz)</v>
      </c>
      <c r="B1166" s="17" t="str">
        <f>IFERROR(__xludf.DUMMYFUNCTION("""COMPUTED_VALUE"""),"Ravitheja Tetali")</f>
        <v>Ravitheja Tetali</v>
      </c>
      <c r="C1166" s="17" t="str">
        <f>IFERROR(__xludf.DUMMYFUNCTION("""COMPUTED_VALUE"""),"Head of Product")</f>
        <v>Head of Product</v>
      </c>
      <c r="D1166" s="27" t="str">
        <f>IFERROR(__xludf.DUMMYFUNCTION("""COMPUTED_VALUE"""),"https://www.linkedin.com/in/ravitheja-tetali/?originalSubdomain=in")</f>
        <v>https://www.linkedin.com/in/ravitheja-tetali/?originalSubdomain=in</v>
      </c>
      <c r="E1166" s="17"/>
      <c r="F1166" s="17" t="str">
        <f>IFERROR(__xludf.DUMMYFUNCTION("""COMPUTED_VALUE"""),"ravithejatetali@gmail.com")</f>
        <v>ravithejatetali@gmail.com</v>
      </c>
      <c r="G1166" s="17"/>
      <c r="H1166" s="17"/>
    </row>
    <row r="1167">
      <c r="A1167" s="17" t="str">
        <f>IFERROR(__xludf.DUMMYFUNCTION("""COMPUTED_VALUE"""),"FarMart")</f>
        <v>FarMart</v>
      </c>
      <c r="B1167" s="17" t="str">
        <f>IFERROR(__xludf.DUMMYFUNCTION("""COMPUTED_VALUE"""),"Sukhpreet Sekhon")</f>
        <v>Sukhpreet Sekhon</v>
      </c>
      <c r="C1167" s="17" t="str">
        <f>IFERROR(__xludf.DUMMYFUNCTION("""COMPUTED_VALUE"""),"Head of Product")</f>
        <v>Head of Product</v>
      </c>
      <c r="D1167" s="27" t="str">
        <f>IFERROR(__xludf.DUMMYFUNCTION("""COMPUTED_VALUE"""),"https://www.linkedin.com/in/sukhpreetsekhon/")</f>
        <v>https://www.linkedin.com/in/sukhpreetsekhon/</v>
      </c>
      <c r="E1167" s="17"/>
      <c r="F1167" s="17" t="str">
        <f>IFERROR(__xludf.DUMMYFUNCTION("""COMPUTED_VALUE"""),"sukhpreet.sekhon@farmart.co")</f>
        <v>sukhpreet.sekhon@farmart.co</v>
      </c>
      <c r="G1167" s="17" t="str">
        <f>IFERROR(__xludf.DUMMYFUNCTION("""COMPUTED_VALUE"""),"sekhon_5@hotmail.com")</f>
        <v>sekhon_5@hotmail.com</v>
      </c>
      <c r="H1167" s="17" t="str">
        <f>IFERROR(__xludf.DUMMYFUNCTION("""COMPUTED_VALUE"""),"sukhpreetssekhon@gmail.com")</f>
        <v>sukhpreetssekhon@gmail.com</v>
      </c>
    </row>
    <row r="1168">
      <c r="A1168" s="17" t="str">
        <f>IFERROR(__xludf.DUMMYFUNCTION("""COMPUTED_VALUE"""),"DeHaat")</f>
        <v>DeHaat</v>
      </c>
      <c r="B1168" s="17" t="str">
        <f>IFERROR(__xludf.DUMMYFUNCTION("""COMPUTED_VALUE"""),"Satish Kumar")</f>
        <v>Satish Kumar</v>
      </c>
      <c r="C1168" s="17" t="str">
        <f>IFERROR(__xludf.DUMMYFUNCTION("""COMPUTED_VALUE"""),"Senior Product Manager")</f>
        <v>Senior Product Manager</v>
      </c>
      <c r="D1168" s="27" t="str">
        <f>IFERROR(__xludf.DUMMYFUNCTION("""COMPUTED_VALUE"""),"https://www.linkedin.com/in/satish-kumar-b04491b6/")</f>
        <v>https://www.linkedin.com/in/satish-kumar-b04491b6/</v>
      </c>
      <c r="E1168" s="17"/>
      <c r="F1168" s="17" t="str">
        <f>IFERROR(__xludf.DUMMYFUNCTION("""COMPUTED_VALUE"""),"satish.kumar@agrevolution.in")</f>
        <v>satish.kumar@agrevolution.in</v>
      </c>
      <c r="G1168" s="17" t="str">
        <f>IFERROR(__xludf.DUMMYFUNCTION("""COMPUTED_VALUE"""),"satish.kumar.cer13@itbhu.ac.in")</f>
        <v>satish.kumar.cer13@itbhu.ac.in</v>
      </c>
      <c r="H1168" s="17" t="str">
        <f>IFERROR(__xludf.DUMMYFUNCTION("""COMPUTED_VALUE"""),"kumar.satish@athancare.com")</f>
        <v>kumar.satish@athancare.com</v>
      </c>
    </row>
    <row r="1169">
      <c r="A1169" s="17" t="str">
        <f>IFERROR(__xludf.DUMMYFUNCTION("""COMPUTED_VALUE"""),"Uni Cards")</f>
        <v>Uni Cards</v>
      </c>
      <c r="B1169" s="17" t="str">
        <f>IFERROR(__xludf.DUMMYFUNCTION("""COMPUTED_VALUE"""),"Paryushan Jain")</f>
        <v>Paryushan Jain</v>
      </c>
      <c r="C1169" s="17" t="str">
        <f>IFERROR(__xludf.DUMMYFUNCTION("""COMPUTED_VALUE"""),"Senior Director and Head of Product")</f>
        <v>Senior Director and Head of Product</v>
      </c>
      <c r="D1169" s="27" t="str">
        <f>IFERROR(__xludf.DUMMYFUNCTION("""COMPUTED_VALUE"""),"https://www.linkedin.com/in/paryushan/")</f>
        <v>https://www.linkedin.com/in/paryushan/</v>
      </c>
      <c r="E1169" s="17"/>
      <c r="F1169" s="17" t="str">
        <f>IFERROR(__xludf.DUMMYFUNCTION("""COMPUTED_VALUE"""),"paryushan@uni.cards")</f>
        <v>paryushan@uni.cards</v>
      </c>
      <c r="G1169" s="17" t="str">
        <f>IFERROR(__xludf.DUMMYFUNCTION("""COMPUTED_VALUE"""),"paryushanjain@gmail.com")</f>
        <v>paryushanjain@gmail.com</v>
      </c>
      <c r="H1169" s="17"/>
    </row>
    <row r="1170">
      <c r="A1170" s="17" t="str">
        <f>IFERROR(__xludf.DUMMYFUNCTION("""COMPUTED_VALUE"""),"absolute")</f>
        <v>absolute</v>
      </c>
      <c r="B1170" s="17"/>
      <c r="C1170" s="17"/>
      <c r="D1170" s="17"/>
      <c r="E1170" s="17"/>
      <c r="F1170" s="17"/>
      <c r="G1170" s="17"/>
      <c r="H1170" s="17"/>
    </row>
    <row r="1171">
      <c r="A1171" s="17" t="str">
        <f>IFERROR(__xludf.DUMMYFUNCTION("""COMPUTED_VALUE"""),"AEQUS")</f>
        <v>AEQUS</v>
      </c>
      <c r="B1171" s="17" t="str">
        <f>IFERROR(__xludf.DUMMYFUNCTION("""COMPUTED_VALUE"""),"Ananda Das")</f>
        <v>Ananda Das</v>
      </c>
      <c r="C1171" s="17" t="str">
        <f>IFERROR(__xludf.DUMMYFUNCTION("""COMPUTED_VALUE"""),"VP")</f>
        <v>VP</v>
      </c>
      <c r="D1171" s="27" t="str">
        <f>IFERROR(__xludf.DUMMYFUNCTION("""COMPUTED_VALUE"""),"https://www.linkedin.com/in/ananda-das-179631222/")</f>
        <v>https://www.linkedin.com/in/ananda-das-179631222/</v>
      </c>
      <c r="E1171" s="17"/>
      <c r="F1171" s="17" t="str">
        <f>IFERROR(__xludf.DUMMYFUNCTION("""COMPUTED_VALUE"""),"ananda.das@aequs.com")</f>
        <v>ananda.das@aequs.com</v>
      </c>
      <c r="G1171" s="17"/>
      <c r="H1171" s="17"/>
    </row>
    <row r="1172">
      <c r="A1172" s="27" t="str">
        <f>IFERROR(__xludf.DUMMYFUNCTION("""COMPUTED_VALUE"""),"arya.ag")</f>
        <v>arya.ag</v>
      </c>
      <c r="B1172" s="17" t="str">
        <f>IFERROR(__xludf.DUMMYFUNCTION("""COMPUTED_VALUE"""),"Anupam Goswami")</f>
        <v>Anupam Goswami</v>
      </c>
      <c r="C1172" s="17" t="str">
        <f>IFERROR(__xludf.DUMMYFUNCTION("""COMPUTED_VALUE"""),"Head - Product, Policy and Credit")</f>
        <v>Head - Product, Policy and Credit</v>
      </c>
      <c r="D1172" s="27" t="str">
        <f>IFERROR(__xludf.DUMMYFUNCTION("""COMPUTED_VALUE"""),"https://www.linkedin.com/in/anupam-goswami-b4552a50/")</f>
        <v>https://www.linkedin.com/in/anupam-goswami-b4552a50/</v>
      </c>
      <c r="E1172" s="17"/>
      <c r="F1172" s="17" t="str">
        <f>IFERROR(__xludf.DUMMYFUNCTION("""COMPUTED_VALUE"""),"anupamgabs@gmail.com")</f>
        <v>anupamgabs@gmail.com</v>
      </c>
      <c r="G1172" s="17"/>
      <c r="H1172" s="17"/>
    </row>
    <row r="1173">
      <c r="A1173" s="17" t="str">
        <f>IFERROR(__xludf.DUMMYFUNCTION("""COMPUTED_VALUE"""),"Atlan")</f>
        <v>Atlan</v>
      </c>
      <c r="B1173" s="17" t="str">
        <f>IFERROR(__xludf.DUMMYFUNCTION("""COMPUTED_VALUE"""),"Sharif Karmally")</f>
        <v>Sharif Karmally</v>
      </c>
      <c r="C1173" s="17" t="str">
        <f>IFERROR(__xludf.DUMMYFUNCTION("""COMPUTED_VALUE"""),"VP, Product &amp; Corporate Marketing at Atlan")</f>
        <v>VP, Product &amp; Corporate Marketing at Atlan</v>
      </c>
      <c r="D1173" s="27" t="str">
        <f>IFERROR(__xludf.DUMMYFUNCTION("""COMPUTED_VALUE"""),"https://docs.google.com/spreadsheets/d/1K0r-iS3ENApVSoc8czAbupc0wyEwIO2_tmU18WB2mNk/edit?gid=1720762204#gid=1720762204")</f>
        <v>https://docs.google.com/spreadsheets/d/1K0r-iS3ENApVSoc8czAbupc0wyEwIO2_tmU18WB2mNk/edit?gid=1720762204#gid=1720762204</v>
      </c>
      <c r="E1173" s="17"/>
      <c r="F1173" s="17" t="str">
        <f>IFERROR(__xludf.DUMMYFUNCTION("""COMPUTED_VALUE"""),"skarmally.hba2009@ivey.ca")</f>
        <v>skarmally.hba2009@ivey.ca</v>
      </c>
      <c r="G1173" s="17" t="str">
        <f>IFERROR(__xludf.DUMMYFUNCTION("""COMPUTED_VALUE"""),"sharif.karmally@atlan.com")</f>
        <v>sharif.karmally@atlan.com</v>
      </c>
      <c r="H1173" s="17"/>
    </row>
    <row r="1174">
      <c r="A1174" s="17" t="str">
        <f>IFERROR(__xludf.DUMMYFUNCTION("""COMPUTED_VALUE"""),"awfis")</f>
        <v>awfis</v>
      </c>
      <c r="B1174" s="17" t="str">
        <f>IFERROR(__xludf.DUMMYFUNCTION("""COMPUTED_VALUE"""),"Rohit Manghnani")</f>
        <v>Rohit Manghnani</v>
      </c>
      <c r="C1174" s="17" t="str">
        <f>IFERROR(__xludf.DUMMYFUNCTION("""COMPUTED_VALUE"""),"Chief Product Officer + New Revenue Streams")</f>
        <v>Chief Product Officer + New Revenue Streams</v>
      </c>
      <c r="D1174" s="27" t="str">
        <f>IFERROR(__xludf.DUMMYFUNCTION("""COMPUTED_VALUE"""),"https://www.linkedin.com/in/rohitmanghnani/?originalSubdomain=in")</f>
        <v>https://www.linkedin.com/in/rohitmanghnani/?originalSubdomain=in</v>
      </c>
      <c r="E1174" s="17"/>
      <c r="F1174" s="17" t="str">
        <f>IFERROR(__xludf.DUMMYFUNCTION("""COMPUTED_VALUE"""),"rohit.manghnani@gmail.com")</f>
        <v>rohit.manghnani@gmail.com</v>
      </c>
      <c r="G1174" s="17" t="str">
        <f>IFERROR(__xludf.DUMMYFUNCTION("""COMPUTED_VALUE"""),"rohit_manghnani@yahoo.com")</f>
        <v>rohit_manghnani@yahoo.com</v>
      </c>
      <c r="H1174" s="17" t="str">
        <f>IFERROR(__xludf.DUMMYFUNCTION("""COMPUTED_VALUE"""),"rohit.manghnani@awfis.com")</f>
        <v>rohit.manghnani@awfis.com</v>
      </c>
    </row>
    <row r="1175">
      <c r="A1175" s="17" t="str">
        <f>IFERROR(__xludf.DUMMYFUNCTION("""COMPUTED_VALUE"""),"AYE [Aye Finance]")</f>
        <v>AYE [Aye Finance]</v>
      </c>
      <c r="B1175" s="17" t="str">
        <f>IFERROR(__xludf.DUMMYFUNCTION("""COMPUTED_VALUE"""),"Sovan Satyaprakash")</f>
        <v>Sovan Satyaprakash</v>
      </c>
      <c r="C1175" s="17" t="str">
        <f>IFERROR(__xludf.DUMMYFUNCTION("""COMPUTED_VALUE"""),"Head - Product &amp; Strategy at Aye Finance Ltd.")</f>
        <v>Head - Product &amp; Strategy at Aye Finance Ltd.</v>
      </c>
      <c r="D1175" s="27" t="str">
        <f>IFERROR(__xludf.DUMMYFUNCTION("""COMPUTED_VALUE"""),"https://www.linkedin.com/in/sovan-satyaprakash-73040818/")</f>
        <v>https://www.linkedin.com/in/sovan-satyaprakash-73040818/</v>
      </c>
      <c r="E1175" s="17"/>
      <c r="F1175" s="17" t="str">
        <f>IFERROR(__xludf.DUMMYFUNCTION("""COMPUTED_VALUE"""),"sovansatyaprakash@gmail.com")</f>
        <v>sovansatyaprakash@gmail.com</v>
      </c>
      <c r="G1175" s="17" t="str">
        <f>IFERROR(__xludf.DUMMYFUNCTION("""COMPUTED_VALUE"""),"sovan.satyaprakash@ayefin.com")</f>
        <v>sovan.satyaprakash@ayefin.com</v>
      </c>
      <c r="H1175" s="17"/>
    </row>
    <row r="1176">
      <c r="A1176" s="17" t="str">
        <f>IFERROR(__xludf.DUMMYFUNCTION("""COMPUTED_VALUE"""),"BLUESTONE")</f>
        <v>BLUESTONE</v>
      </c>
      <c r="B1176" s="17" t="str">
        <f>IFERROR(__xludf.DUMMYFUNCTION("""COMPUTED_VALUE"""),"Mikhil Raj")</f>
        <v>Mikhil Raj</v>
      </c>
      <c r="C1176" s="17" t="str">
        <f>IFERROR(__xludf.DUMMYFUNCTION("""COMPUTED_VALUE"""),"CPO")</f>
        <v>CPO</v>
      </c>
      <c r="D1176" s="27" t="str">
        <f>IFERROR(__xludf.DUMMYFUNCTION("""COMPUTED_VALUE"""),"https://www.linkedin.com/in/mikhilraj/")</f>
        <v>https://www.linkedin.com/in/mikhilraj/</v>
      </c>
      <c r="E1176" s="17"/>
      <c r="F1176" s="17" t="str">
        <f>IFERROR(__xludf.DUMMYFUNCTION("""COMPUTED_VALUE"""),"mikhil.raj@frontrow.co.in")</f>
        <v>mikhil.raj@frontrow.co.in</v>
      </c>
      <c r="G1176" s="17" t="str">
        <f>IFERROR(__xludf.DUMMYFUNCTION("""COMPUTED_VALUE"""),"mikhil.raj@bluestone.com")</f>
        <v>mikhil.raj@bluestone.com</v>
      </c>
      <c r="H1176" s="17"/>
    </row>
    <row r="1177">
      <c r="A1177" s="17" t="str">
        <f>IFERROR(__xludf.DUMMYFUNCTION("""COMPUTED_VALUE"""),"BookMyShow")</f>
        <v>BookMyShow</v>
      </c>
      <c r="B1177" s="17" t="str">
        <f>IFERROR(__xludf.DUMMYFUNCTION("""COMPUTED_VALUE"""),"Debopam Basu")</f>
        <v>Debopam Basu</v>
      </c>
      <c r="C1177" s="17" t="str">
        <f>IFERROR(__xludf.DUMMYFUNCTION("""COMPUTED_VALUE"""),"VP &amp; Head, Product Manage")</f>
        <v>VP &amp; Head, Product Manage</v>
      </c>
      <c r="D1177" s="27" t="str">
        <f>IFERROR(__xludf.DUMMYFUNCTION("""COMPUTED_VALUE"""),"https://www.linkedin.com/in/debopambasu/")</f>
        <v>https://www.linkedin.com/in/debopambasu/</v>
      </c>
      <c r="E1177" s="17"/>
      <c r="F1177" s="17" t="str">
        <f>IFERROR(__xludf.DUMMYFUNCTION("""COMPUTED_VALUE"""),"debopam.basu@gmail.com")</f>
        <v>debopam.basu@gmail.com</v>
      </c>
      <c r="G1177" s="17" t="str">
        <f>IFERROR(__xludf.DUMMYFUNCTION("""COMPUTED_VALUE"""),"debopam.basu@bookmyshow.com")</f>
        <v>debopam.basu@bookmyshow.com</v>
      </c>
      <c r="H1177" s="17"/>
    </row>
    <row r="1178">
      <c r="A1178" s="17" t="str">
        <f>IFERROR(__xludf.DUMMYFUNCTION("""COMPUTED_VALUE"""),"BrightCHAMPS")</f>
        <v>BrightCHAMPS</v>
      </c>
      <c r="B1178" s="17" t="str">
        <f>IFERROR(__xludf.DUMMYFUNCTION("""COMPUTED_VALUE"""),"Souradeep Paul")</f>
        <v>Souradeep Paul</v>
      </c>
      <c r="C1178" s="17" t="str">
        <f>IFERROR(__xludf.DUMMYFUNCTION("""COMPUTED_VALUE"""),"Director ")</f>
        <v>Director </v>
      </c>
      <c r="D1178" s="27" t="str">
        <f>IFERROR(__xludf.DUMMYFUNCTION("""COMPUTED_VALUE"""),"https://www.linkedin.com/in/souradeeppaul/")</f>
        <v>https://www.linkedin.com/in/souradeeppaul/</v>
      </c>
      <c r="E1178" s="17"/>
      <c r="F1178" s="17" t="str">
        <f>IFERROR(__xludf.DUMMYFUNCTION("""COMPUTED_VALUE"""),"souradeep.paul@gmail.com")</f>
        <v>souradeep.paul@gmail.com</v>
      </c>
      <c r="G1178" s="17" t="str">
        <f>IFERROR(__xludf.DUMMYFUNCTION("""COMPUTED_VALUE"""),"s.paul@brightchamps.com")</f>
        <v>s.paul@brightchamps.com</v>
      </c>
      <c r="H1178" s="17" t="str">
        <f>IFERROR(__xludf.DUMMYFUNCTION("""COMPUTED_VALUE"""),"paul@anthillcreations.org")</f>
        <v>paul@anthillcreations.org</v>
      </c>
    </row>
    <row r="1179">
      <c r="A1179" s="17" t="str">
        <f>IFERROR(__xludf.DUMMYFUNCTION("""COMPUTED_VALUE"""),"Captain Fresh")</f>
        <v>Captain Fresh</v>
      </c>
      <c r="B1179" s="17" t="str">
        <f>IFERROR(__xludf.DUMMYFUNCTION("""COMPUTED_VALUE"""),"Abhineet Kumar")</f>
        <v>Abhineet Kumar</v>
      </c>
      <c r="C1179" s="17" t="str">
        <f>IFERROR(__xludf.DUMMYFUNCTION("""COMPUTED_VALUE"""),"Chief of Staff")</f>
        <v>Chief of Staff</v>
      </c>
      <c r="D1179" s="27" t="str">
        <f>IFERROR(__xludf.DUMMYFUNCTION("""COMPUTED_VALUE"""),"https://www.linkedin.com/in/abhineet-kumar-6444b455/")</f>
        <v>https://www.linkedin.com/in/abhineet-kumar-6444b455/</v>
      </c>
      <c r="E1179" s="17"/>
      <c r="F1179" s="17" t="str">
        <f>IFERROR(__xludf.DUMMYFUNCTION("""COMPUTED_VALUE"""),"abhineetk540@gmail.com")</f>
        <v>abhineetk540@gmail.com</v>
      </c>
      <c r="G1179" s="17" t="str">
        <f>IFERROR(__xludf.DUMMYFUNCTION("""COMPUTED_VALUE"""),"abhineet@captainfresh.in")</f>
        <v>abhineet@captainfresh.in</v>
      </c>
      <c r="H1179" s="17"/>
    </row>
    <row r="1180">
      <c r="A1180" s="17" t="str">
        <f>IFERROR(__xludf.DUMMYFUNCTION("""COMPUTED_VALUE"""),"Cashfree Payments")</f>
        <v>Cashfree Payments</v>
      </c>
      <c r="B1180" s="17" t="str">
        <f>IFERROR(__xludf.DUMMYFUNCTION("""COMPUTED_VALUE"""),"Nitin Pulyani")</f>
        <v>Nitin Pulyani</v>
      </c>
      <c r="C1180" s="17" t="str">
        <f>IFERROR(__xludf.DUMMYFUNCTION("""COMPUTED_VALUE"""),"SVP and Head of Product")</f>
        <v>SVP and Head of Product</v>
      </c>
      <c r="D1180" s="27" t="str">
        <f>IFERROR(__xludf.DUMMYFUNCTION("""COMPUTED_VALUE"""),"https://www.linkedin.com/in/nitinpulyani/")</f>
        <v>https://www.linkedin.com/in/nitinpulyani/</v>
      </c>
      <c r="E1180" s="17"/>
      <c r="F1180" s="17" t="str">
        <f>IFERROR(__xludf.DUMMYFUNCTION("""COMPUTED_VALUE"""),"nitin.pulyani@gmail.com")</f>
        <v>nitin.pulyani@gmail.com</v>
      </c>
      <c r="G1180" s="17" t="str">
        <f>IFERROR(__xludf.DUMMYFUNCTION("""COMPUTED_VALUE"""),"nitin.pulyani@cashfree.com")</f>
        <v>nitin.pulyani@cashfree.com</v>
      </c>
      <c r="H1180" s="17"/>
    </row>
    <row r="1181">
      <c r="A1181" s="27" t="str">
        <f>IFERROR(__xludf.DUMMYFUNCTION("""COMPUTED_VALUE"""),"CASHIFY.in")</f>
        <v>CASHIFY.in</v>
      </c>
      <c r="B1181" s="17" t="str">
        <f>IFERROR(__xludf.DUMMYFUNCTION("""COMPUTED_VALUE"""),"Ashish Hooda")</f>
        <v>Ashish Hooda</v>
      </c>
      <c r="C1181" s="17" t="str">
        <f>IFERROR(__xludf.DUMMYFUNCTION("""COMPUTED_VALUE"""),"AVP, Product")</f>
        <v>AVP, Product</v>
      </c>
      <c r="D1181" s="27" t="str">
        <f>IFERROR(__xludf.DUMMYFUNCTION("""COMPUTED_VALUE"""),"https://www.linkedin.com/in/ashishhooda/")</f>
        <v>https://www.linkedin.com/in/ashishhooda/</v>
      </c>
      <c r="E1181" s="17"/>
      <c r="F1181" s="17" t="str">
        <f>IFERROR(__xludf.DUMMYFUNCTION("""COMPUTED_VALUE"""),"ashishhooda22@yahoo.in")</f>
        <v>ashishhooda22@yahoo.in</v>
      </c>
      <c r="G1181" s="17" t="str">
        <f>IFERROR(__xludf.DUMMYFUNCTION("""COMPUTED_VALUE"""),"ashish@cashify.in")</f>
        <v>ashish@cashify.in</v>
      </c>
      <c r="H1181" s="17"/>
    </row>
    <row r="1182">
      <c r="A1182" s="17" t="str">
        <f>IFERROR(__xludf.DUMMYFUNCTION("""COMPUTED_VALUE"""),"cuemath")</f>
        <v>cuemath</v>
      </c>
      <c r="B1182" s="17" t="str">
        <f>IFERROR(__xludf.DUMMYFUNCTION("""COMPUTED_VALUE"""),"Vaibhav Sawhney")</f>
        <v>Vaibhav Sawhney</v>
      </c>
      <c r="C1182" s="17" t="str">
        <f>IFERROR(__xludf.DUMMYFUNCTION("""COMPUTED_VALUE"""),"Head of Product")</f>
        <v>Head of Product</v>
      </c>
      <c r="D1182" s="27" t="str">
        <f>IFERROR(__xludf.DUMMYFUNCTION("""COMPUTED_VALUE"""),"https://www.linkedin.com/in/vaibhavsawhney/")</f>
        <v>https://www.linkedin.com/in/vaibhavsawhney/</v>
      </c>
      <c r="E1182" s="17"/>
      <c r="F1182" s="17" t="str">
        <f>IFERROR(__xludf.DUMMYFUNCTION("""COMPUTED_VALUE"""),"vaibhav.sawhney@cuemath.com")</f>
        <v>vaibhav.sawhney@cuemath.com</v>
      </c>
      <c r="G1182" s="17"/>
      <c r="H1182" s="17"/>
    </row>
    <row r="1183">
      <c r="A1183" s="17" t="str">
        <f>IFERROR(__xludf.DUMMYFUNCTION("""COMPUTED_VALUE"""),"Accel")</f>
        <v>Accel</v>
      </c>
      <c r="B1183" s="17" t="str">
        <f>IFERROR(__xludf.DUMMYFUNCTION("""COMPUTED_VALUE"""),"Rahul Nath")</f>
        <v>Rahul Nath</v>
      </c>
      <c r="C1183" s="17" t="str">
        <f>IFERROR(__xludf.DUMMYFUNCTION("""COMPUTED_VALUE"""),"CPO")</f>
        <v>CPO</v>
      </c>
      <c r="D1183" s="27" t="str">
        <f>IFERROR(__xludf.DUMMYFUNCTION("""COMPUTED_VALUE"""),"https://www.linkedin.com/in/rahulnath18/")</f>
        <v>https://www.linkedin.com/in/rahulnath18/</v>
      </c>
      <c r="E1183" s="17"/>
      <c r="F1183" s="17" t="str">
        <f>IFERROR(__xludf.DUMMYFUNCTION("""COMPUTED_VALUE"""),"rahul.nath@gmail.com")</f>
        <v>rahul.nath@gmail.com</v>
      </c>
      <c r="G1183" s="17" t="str">
        <f>IFERROR(__xludf.DUMMYFUNCTION("""COMPUTED_VALUE"""),"rahul@thenudge.org")</f>
        <v>rahul@thenudge.org</v>
      </c>
      <c r="H1183" s="17" t="str">
        <f>IFERROR(__xludf.DUMMYFUNCTION("""COMPUTED_VALUE"""),"rahul.nath@accel.com")</f>
        <v>rahul.nath@accel.com</v>
      </c>
    </row>
    <row r="1184">
      <c r="A1184" s="17" t="str">
        <f>IFERROR(__xludf.DUMMYFUNCTION("""COMPUTED_VALUE"""),"PushOwl")</f>
        <v>PushOwl</v>
      </c>
      <c r="B1184" s="17" t="str">
        <f>IFERROR(__xludf.DUMMYFUNCTION("""COMPUTED_VALUE"""),"Puru Govind")</f>
        <v>Puru Govind</v>
      </c>
      <c r="C1184" s="17" t="str">
        <f>IFERROR(__xludf.DUMMYFUNCTION("""COMPUTED_VALUE"""),"CEO")</f>
        <v>CEO</v>
      </c>
      <c r="D1184" s="27" t="str">
        <f>IFERROR(__xludf.DUMMYFUNCTION("""COMPUTED_VALUE"""),"https://www.linkedin.com/in/purugovind/")</f>
        <v>https://www.linkedin.com/in/purugovind/</v>
      </c>
      <c r="E1184" s="17"/>
      <c r="F1184" s="17" t="str">
        <f>IFERROR(__xludf.DUMMYFUNCTION("""COMPUTED_VALUE"""),"puru@pushowl.com")</f>
        <v>puru@pushowl.com</v>
      </c>
      <c r="G1184" s="17" t="str">
        <f>IFERROR(__xludf.DUMMYFUNCTION("""COMPUTED_VALUE"""),"puru.govind@gmail.com")</f>
        <v>puru.govind@gmail.com</v>
      </c>
      <c r="H1184" s="17"/>
    </row>
    <row r="1185">
      <c r="A1185" s="17" t="str">
        <f>IFERROR(__xludf.DUMMYFUNCTION("""COMPUTED_VALUE"""),"FarEye")</f>
        <v>FarEye</v>
      </c>
      <c r="B1185" s="17" t="str">
        <f>IFERROR(__xludf.DUMMYFUNCTION("""COMPUTED_VALUE"""),"Gaurav Srivastava")</f>
        <v>Gaurav Srivastava</v>
      </c>
      <c r="C1185" s="17" t="str">
        <f>IFERROR(__xludf.DUMMYFUNCTION("""COMPUTED_VALUE"""),"CPTO ")</f>
        <v>CPTO </v>
      </c>
      <c r="D1185" s="27" t="str">
        <f>IFERROR(__xludf.DUMMYFUNCTION("""COMPUTED_VALUE"""),"https://www.linkedin.com/in/gaurav-srivastava-9a67ba1b/")</f>
        <v>https://www.linkedin.com/in/gaurav-srivastava-9a67ba1b/</v>
      </c>
      <c r="E1185" s="17"/>
      <c r="F1185" s="17" t="str">
        <f>IFERROR(__xludf.DUMMYFUNCTION("""COMPUTED_VALUE"""),"gaurav.srivastava@getfareye.com")</f>
        <v>gaurav.srivastava@getfareye.com</v>
      </c>
      <c r="G1185" s="17" t="str">
        <f>IFERROR(__xludf.DUMMYFUNCTION("""COMPUTED_VALUE"""),"gaurav@roboticwares.com")</f>
        <v>gaurav@roboticwares.com</v>
      </c>
      <c r="H1185" s="17"/>
    </row>
    <row r="1186">
      <c r="A1186" s="17" t="str">
        <f>IFERROR(__xludf.DUMMYFUNCTION("""COMPUTED_VALUE"""),"Fi")</f>
        <v>Fi</v>
      </c>
      <c r="B1186" s="17" t="str">
        <f>IFERROR(__xludf.DUMMYFUNCTION("""COMPUTED_VALUE"""),"Darrell Stone")</f>
        <v>Darrell Stone</v>
      </c>
      <c r="C1186" s="17" t="str">
        <f>IFERROR(__xludf.DUMMYFUNCTION("""COMPUTED_VALUE"""),"VP of PRoduct")</f>
        <v>VP of PRoduct</v>
      </c>
      <c r="D1186" s="27" t="str">
        <f>IFERROR(__xludf.DUMMYFUNCTION("""COMPUTED_VALUE"""),"https://www.linkedin.com/in/darrellstone3/")</f>
        <v>https://www.linkedin.com/in/darrellstone3/</v>
      </c>
      <c r="E1186" s="17"/>
      <c r="F1186" s="17" t="str">
        <f>IFERROR(__xludf.DUMMYFUNCTION("""COMPUTED_VALUE"""),"darrellstone3@gmail.com")</f>
        <v>darrellstone3@gmail.com</v>
      </c>
      <c r="G1186" s="17"/>
      <c r="H1186" s="17"/>
    </row>
    <row r="1187">
      <c r="A1187" s="17" t="str">
        <f>IFERROR(__xludf.DUMMYFUNCTION("""COMPUTED_VALUE"""),"Fibe")</f>
        <v>Fibe</v>
      </c>
      <c r="B1187" s="17" t="str">
        <f>IFERROR(__xludf.DUMMYFUNCTION("""COMPUTED_VALUE"""),"Balakrishnan Narayanan")</f>
        <v>Balakrishnan Narayanan</v>
      </c>
      <c r="C1187" s="17" t="str">
        <f>IFERROR(__xludf.DUMMYFUNCTION("""COMPUTED_VALUE"""),"CPO")</f>
        <v>CPO</v>
      </c>
      <c r="D1187" s="27" t="str">
        <f>IFERROR(__xludf.DUMMYFUNCTION("""COMPUTED_VALUE"""),"https://www.linkedin.com/in/balakrishnan-narayanan-271879150/")</f>
        <v>https://www.linkedin.com/in/balakrishnan-narayanan-271879150/</v>
      </c>
      <c r="E1187" s="17"/>
      <c r="F1187" s="17" t="str">
        <f>IFERROR(__xludf.DUMMYFUNCTION("""COMPUTED_VALUE"""),"balakrishnarayan@outlook.com")</f>
        <v>balakrishnarayan@outlook.com</v>
      </c>
      <c r="G1187" s="17"/>
      <c r="H1187" s="17"/>
    </row>
    <row r="1188">
      <c r="A1188" s="17" t="str">
        <f>IFERROR(__xludf.DUMMYFUNCTION("""COMPUTED_VALUE"""),"Fino")</f>
        <v>Fino</v>
      </c>
      <c r="B1188" s="17" t="str">
        <f>IFERROR(__xludf.DUMMYFUNCTION("""COMPUTED_VALUE"""),"Rohit Sharrma")</f>
        <v>Rohit Sharrma</v>
      </c>
      <c r="C1188" s="17" t="str">
        <f>IFERROR(__xludf.DUMMYFUNCTION("""COMPUTED_VALUE"""),"Product Head- Digital Payments")</f>
        <v>Product Head- Digital Payments</v>
      </c>
      <c r="D1188" s="17" t="str">
        <f>IFERROR(__xludf.DUMMYFUNCTION("""COMPUTED_VALUE"""),"https://www.linkedin.com/in/rohit-sharrma-pmp®-psm-i-54b23a25/")</f>
        <v>https://www.linkedin.com/in/rohit-sharrma-pmp®-psm-i-54b23a25/</v>
      </c>
      <c r="E1188" s="17"/>
      <c r="F1188" s="17" t="str">
        <f>IFERROR(__xludf.DUMMYFUNCTION("""COMPUTED_VALUE"""),"reach.rohit87@gmail.com")</f>
        <v>reach.rohit87@gmail.com</v>
      </c>
      <c r="G1188" s="17" t="str">
        <f>IFERROR(__xludf.DUMMYFUNCTION("""COMPUTED_VALUE"""),"s.rohit@finobank.com")</f>
        <v>s.rohit@finobank.com</v>
      </c>
      <c r="H1188" s="17"/>
    </row>
    <row r="1189">
      <c r="A1189" s="17" t="str">
        <f>IFERROR(__xludf.DUMMYFUNCTION("""COMPUTED_VALUE"""),"GreyOrange")</f>
        <v>GreyOrange</v>
      </c>
      <c r="B1189" s="17" t="str">
        <f>IFERROR(__xludf.DUMMYFUNCTION("""COMPUTED_VALUE"""),"Ankur Mishra")</f>
        <v>Ankur Mishra</v>
      </c>
      <c r="C1189" s="17" t="str">
        <f>IFERROR(__xludf.DUMMYFUNCTION("""COMPUTED_VALUE"""),"Head of PM")</f>
        <v>Head of PM</v>
      </c>
      <c r="D1189" s="27" t="str">
        <f>IFERROR(__xludf.DUMMYFUNCTION("""COMPUTED_VALUE"""),"https://www.linkedin.com/in/ankurmshra/")</f>
        <v>https://www.linkedin.com/in/ankurmshra/</v>
      </c>
      <c r="E1189" s="17"/>
      <c r="F1189" s="17" t="str">
        <f>IFERROR(__xludf.DUMMYFUNCTION("""COMPUTED_VALUE"""),"ankur_mishra92b@yahoo.co.in")</f>
        <v>ankur_mishra92b@yahoo.co.in</v>
      </c>
      <c r="G1189" s="17" t="str">
        <f>IFERROR(__xludf.DUMMYFUNCTION("""COMPUTED_VALUE"""),"ankurmshra@gmail.com")</f>
        <v>ankurmshra@gmail.com</v>
      </c>
      <c r="H1189" s="17"/>
    </row>
    <row r="1190">
      <c r="A1190" s="17" t="str">
        <f>IFERROR(__xludf.DUMMYFUNCTION("""COMPUTED_VALUE"""),"HackerRank")</f>
        <v>HackerRank</v>
      </c>
      <c r="B1190" s="17" t="str">
        <f>IFERROR(__xludf.DUMMYFUNCTION("""COMPUTED_VALUE"""),"Darshan Suresh")</f>
        <v>Darshan Suresh</v>
      </c>
      <c r="C1190" s="17" t="str">
        <f>IFERROR(__xludf.DUMMYFUNCTION("""COMPUTED_VALUE"""),"Director of Product Management")</f>
        <v>Director of Product Management</v>
      </c>
      <c r="D1190" s="27" t="str">
        <f>IFERROR(__xludf.DUMMYFUNCTION("""COMPUTED_VALUE"""),"https://www.linkedin.com/in/darshan-suresh-99a60642/")</f>
        <v>https://www.linkedin.com/in/darshan-suresh-99a60642/</v>
      </c>
      <c r="E1190" s="17"/>
      <c r="F1190" s="17" t="str">
        <f>IFERROR(__xludf.DUMMYFUNCTION("""COMPUTED_VALUE"""),"darshanps1987@gmail.com")</f>
        <v>darshanps1987@gmail.com</v>
      </c>
      <c r="G1190" s="17" t="str">
        <f>IFERROR(__xludf.DUMMYFUNCTION("""COMPUTED_VALUE"""),"darshan@hackerrank.com")</f>
        <v>darshan@hackerrank.com</v>
      </c>
      <c r="H1190" s="17"/>
    </row>
    <row r="1191">
      <c r="A1191" s="17" t="str">
        <f>IFERROR(__xludf.DUMMYFUNCTION("""COMPUTED_VALUE"""),"One Guardian Brands")</f>
        <v>One Guardian Brands</v>
      </c>
      <c r="B1191" s="17" t="str">
        <f>IFERROR(__xludf.DUMMYFUNCTION("""COMPUTED_VALUE"""),"Manish Goyal")</f>
        <v>Manish Goyal</v>
      </c>
      <c r="C1191" s="17" t="str">
        <f>IFERROR(__xludf.DUMMYFUNCTION("""COMPUTED_VALUE"""),"CPTO")</f>
        <v>CPTO</v>
      </c>
      <c r="D1191" s="27" t="str">
        <f>IFERROR(__xludf.DUMMYFUNCTION("""COMPUTED_VALUE"""),"https://www.linkedin.com/in/goyalmanish/")</f>
        <v>https://www.linkedin.com/in/goyalmanish/</v>
      </c>
      <c r="E1191" s="17"/>
      <c r="F1191" s="17" t="str">
        <f>IFERROR(__xludf.DUMMYFUNCTION("""COMPUTED_VALUE"""),"goyalmanish@gmail.com")</f>
        <v>goyalmanish@gmail.com</v>
      </c>
      <c r="G1191" s="17" t="str">
        <f>IFERROR(__xludf.DUMMYFUNCTION("""COMPUTED_VALUE"""),"manish.goyal@mylofamily.com")</f>
        <v>manish.goyal@mylofamily.com</v>
      </c>
      <c r="H1191" s="17"/>
    </row>
    <row r="1192">
      <c r="A1192" s="17" t="str">
        <f>IFERROR(__xludf.DUMMYFUNCTION("""COMPUTED_VALUE"""),"HomeLane")</f>
        <v>HomeLane</v>
      </c>
      <c r="B1192" s="17" t="str">
        <f>IFERROR(__xludf.DUMMYFUNCTION("""COMPUTED_VALUE"""),"Abhishek Gupta")</f>
        <v>Abhishek Gupta</v>
      </c>
      <c r="C1192" s="17" t="str">
        <f>IFERROR(__xludf.DUMMYFUNCTION("""COMPUTED_VALUE"""),"VP / Head of Product &amp; Technology")</f>
        <v>VP / Head of Product &amp; Technology</v>
      </c>
      <c r="D1192" s="27" t="str">
        <f>IFERROR(__xludf.DUMMYFUNCTION("""COMPUTED_VALUE"""),"https://www.linkedin.com/in/abhishekguptas/")</f>
        <v>https://www.linkedin.com/in/abhishekguptas/</v>
      </c>
      <c r="E1192" s="17"/>
      <c r="F1192" s="17" t="str">
        <f>IFERROR(__xludf.DUMMYFUNCTION("""COMPUTED_VALUE"""),"imabhishekgupta@gmail.com")</f>
        <v>imabhishekgupta@gmail.com</v>
      </c>
      <c r="G1192" s="17" t="str">
        <f>IFERROR(__xludf.DUMMYFUNCTION("""COMPUTED_VALUE"""),"abhishek.gupta@headstrong.com")</f>
        <v>abhishek.gupta@headstrong.com</v>
      </c>
      <c r="H1192" s="17"/>
    </row>
    <row r="1193">
      <c r="A1193" s="17" t="str">
        <f>IFERROR(__xludf.DUMMYFUNCTION("""COMPUTED_VALUE"""),"ideaForge")</f>
        <v>ideaForge</v>
      </c>
      <c r="B1193" s="17" t="str">
        <f>IFERROR(__xludf.DUMMYFUNCTION("""COMPUTED_VALUE"""),"Ezhilan Nanmaran")</f>
        <v>Ezhilan Nanmaran</v>
      </c>
      <c r="C1193" s="17" t="str">
        <f>IFERROR(__xludf.DUMMYFUNCTION("""COMPUTED_VALUE"""),"CPO")</f>
        <v>CPO</v>
      </c>
      <c r="D1193" s="27" t="str">
        <f>IFERROR(__xludf.DUMMYFUNCTION("""COMPUTED_VALUE"""),"https://www.linkedin.com/in/ezhilan/")</f>
        <v>https://www.linkedin.com/in/ezhilan/</v>
      </c>
      <c r="E1193" s="17"/>
      <c r="F1193" s="17" t="str">
        <f>IFERROR(__xludf.DUMMYFUNCTION("""COMPUTED_VALUE"""),"ezhilan.n@gmail.com")</f>
        <v>ezhilan.n@gmail.com</v>
      </c>
      <c r="G1193" s="17" t="str">
        <f>IFERROR(__xludf.DUMMYFUNCTION("""COMPUTED_VALUE"""),"n_ezhilan@yahoo.com")</f>
        <v>n_ezhilan@yahoo.com</v>
      </c>
      <c r="H1193" s="17"/>
    </row>
    <row r="1194">
      <c r="A1194" s="17" t="str">
        <f>IFERROR(__xludf.DUMMYFUNCTION("""COMPUTED_VALUE"""),"Infibeam Avenues")</f>
        <v>Infibeam Avenues</v>
      </c>
      <c r="B1194" s="17" t="str">
        <f>IFERROR(__xludf.DUMMYFUNCTION("""COMPUTED_VALUE"""),"Manu Vikram Singh")</f>
        <v>Manu Vikram Singh</v>
      </c>
      <c r="C1194" s="17" t="str">
        <f>IFERROR(__xludf.DUMMYFUNCTION("""COMPUTED_VALUE"""),"CPO")</f>
        <v>CPO</v>
      </c>
      <c r="D1194" s="27" t="str">
        <f>IFERROR(__xludf.DUMMYFUNCTION("""COMPUTED_VALUE"""),"https://www.linkedin.com/in/mvs12/")</f>
        <v>https://www.linkedin.com/in/mvs12/</v>
      </c>
      <c r="E1194" s="17"/>
      <c r="F1194" s="17" t="str">
        <f>IFERROR(__xludf.DUMMYFUNCTION("""COMPUTED_VALUE"""),"manu@ia.ooo")</f>
        <v>manu@ia.ooo</v>
      </c>
      <c r="G1194" s="17"/>
      <c r="H1194" s="17"/>
    </row>
    <row r="1195">
      <c r="A1195" s="17" t="str">
        <f>IFERROR(__xludf.DUMMYFUNCTION("""COMPUTED_VALUE"""),"LAMBDATEST")</f>
        <v>LAMBDATEST</v>
      </c>
      <c r="B1195" s="17" t="str">
        <f>IFERROR(__xludf.DUMMYFUNCTION("""COMPUTED_VALUE"""),"Mayank Bhola")</f>
        <v>Mayank Bhola</v>
      </c>
      <c r="C1195" s="17" t="str">
        <f>IFERROR(__xludf.DUMMYFUNCTION("""COMPUTED_VALUE"""),"Co-Founder and Head of Products")</f>
        <v>Co-Founder and Head of Products</v>
      </c>
      <c r="D1195" s="27" t="str">
        <f>IFERROR(__xludf.DUMMYFUNCTION("""COMPUTED_VALUE"""),"https://www.linkedin.com/in/mayankbhola/")</f>
        <v>https://www.linkedin.com/in/mayankbhola/</v>
      </c>
      <c r="E1195" s="17"/>
      <c r="F1195" s="17" t="str">
        <f>IFERROR(__xludf.DUMMYFUNCTION("""COMPUTED_VALUE"""),"mayankb@lambdatest.com")</f>
        <v>mayankb@lambdatest.com</v>
      </c>
      <c r="G1195" s="17" t="str">
        <f>IFERROR(__xludf.DUMMYFUNCTION("""COMPUTED_VALUE"""),"mayankbhola@gmail.com")</f>
        <v>mayankbhola@gmail.com</v>
      </c>
      <c r="H1195" s="17"/>
    </row>
    <row r="1196">
      <c r="A1196" s="17" t="str">
        <f>IFERROR(__xludf.DUMMYFUNCTION("""COMPUTED_VALUE"""),"LOGINEXT")</f>
        <v>LOGINEXT</v>
      </c>
      <c r="B1196" s="17" t="str">
        <f>IFERROR(__xludf.DUMMYFUNCTION("""COMPUTED_VALUE"""),"Naveen K.")</f>
        <v>Naveen K.</v>
      </c>
      <c r="C1196" s="17" t="str">
        <f>IFERROR(__xludf.DUMMYFUNCTION("""COMPUTED_VALUE"""),"AVP - Product Management")</f>
        <v>AVP - Product Management</v>
      </c>
      <c r="D1196" s="27" t="str">
        <f>IFERROR(__xludf.DUMMYFUNCTION("""COMPUTED_VALUE"""),"https://www.linkedin.com/in/naveen-k-3b269778/")</f>
        <v>https://www.linkedin.com/in/naveen-k-3b269778/</v>
      </c>
      <c r="E1196" s="17"/>
      <c r="F1196" s="17"/>
      <c r="G1196" s="17"/>
      <c r="H1196" s="17"/>
    </row>
    <row r="1197">
      <c r="A1197" s="17" t="str">
        <f>IFERROR(__xludf.DUMMYFUNCTION("""COMPUTED_VALUE"""),"M2P")</f>
        <v>M2P</v>
      </c>
      <c r="B1197" s="17" t="str">
        <f>IFERROR(__xludf.DUMMYFUNCTION("""COMPUTED_VALUE"""),"Bharat Srinivasarangan")</f>
        <v>Bharat Srinivasarangan</v>
      </c>
      <c r="C1197" s="17" t="str">
        <f>IFERROR(__xludf.DUMMYFUNCTION("""COMPUTED_VALUE"""),"Senior VP- Product")</f>
        <v>Senior VP- Product</v>
      </c>
      <c r="D1197" s="27" t="str">
        <f>IFERROR(__xludf.DUMMYFUNCTION("""COMPUTED_VALUE"""),"https://www.linkedin.com/in/7bharats/")</f>
        <v>https://www.linkedin.com/in/7bharats/</v>
      </c>
      <c r="E1197" s="17"/>
      <c r="F1197" s="17" t="str">
        <f>IFERROR(__xludf.DUMMYFUNCTION("""COMPUTED_VALUE"""),"bharat.sriniv@gmail.com")</f>
        <v>bharat.sriniv@gmail.com</v>
      </c>
      <c r="G1197" s="17" t="str">
        <f>IFERROR(__xludf.DUMMYFUNCTION("""COMPUTED_VALUE"""),"7bharats@iimahd.ernet.in")</f>
        <v>7bharats@iimahd.ernet.in</v>
      </c>
      <c r="H1197" s="17"/>
    </row>
    <row r="1198">
      <c r="A1198" s="27" t="str">
        <f>IFERROR(__xludf.DUMMYFUNCTION("""COMPUTED_VALUE"""),"Neuron7.ai")</f>
        <v>Neuron7.ai</v>
      </c>
      <c r="B1198" s="17" t="str">
        <f>IFERROR(__xludf.DUMMYFUNCTION("""COMPUTED_VALUE"""),"Vinay Saini")</f>
        <v>Vinay Saini</v>
      </c>
      <c r="C1198" s="17" t="str">
        <f>IFERROR(__xludf.DUMMYFUNCTION("""COMPUTED_VALUE"""),"Head, Customer &amp; Product")</f>
        <v>Head, Customer &amp; Product</v>
      </c>
      <c r="D1198" s="27" t="str">
        <f>IFERROR(__xludf.DUMMYFUNCTION("""COMPUTED_VALUE"""),"https://www.linkedin.com/in/sainivinay/")</f>
        <v>https://www.linkedin.com/in/sainivinay/</v>
      </c>
      <c r="E1198" s="17"/>
      <c r="F1198" s="17" t="str">
        <f>IFERROR(__xludf.DUMMYFUNCTION("""COMPUTED_VALUE"""),"vinaysaini@gmail.com")</f>
        <v>vinaysaini@gmail.com</v>
      </c>
      <c r="G1198" s="17" t="str">
        <f>IFERROR(__xludf.DUMMYFUNCTION("""COMPUTED_VALUE"""),"vinaysaini@hotmail.com")</f>
        <v>vinaysaini@hotmail.com</v>
      </c>
      <c r="H1198" s="17" t="str">
        <f>IFERROR(__xludf.DUMMYFUNCTION("""COMPUTED_VALUE"""),"vinay.saini@neuron7.ai")</f>
        <v>vinay.saini@neuron7.ai</v>
      </c>
    </row>
    <row r="1199">
      <c r="A1199" s="17" t="str">
        <f>IFERROR(__xludf.DUMMYFUNCTION("""COMPUTED_VALUE"""),"Niyo")</f>
        <v>Niyo</v>
      </c>
      <c r="B1199" s="17" t="str">
        <f>IFERROR(__xludf.DUMMYFUNCTION("""COMPUTED_VALUE"""),"Priyank Barthwal")</f>
        <v>Priyank Barthwal</v>
      </c>
      <c r="C1199" s="17" t="str">
        <f>IFERROR(__xludf.DUMMYFUNCTION("""COMPUTED_VALUE"""),"Product Director")</f>
        <v>Product Director</v>
      </c>
      <c r="D1199" s="27" t="str">
        <f>IFERROR(__xludf.DUMMYFUNCTION("""COMPUTED_VALUE"""),"https://www.linkedin.com/in/priyankbarthwal/")</f>
        <v>https://www.linkedin.com/in/priyankbarthwal/</v>
      </c>
      <c r="E1199" s="17"/>
      <c r="F1199" s="17" t="str">
        <f>IFERROR(__xludf.DUMMYFUNCTION("""COMPUTED_VALUE"""),"priyankbarthwal@gmail.com")</f>
        <v>priyankbarthwal@gmail.com</v>
      </c>
      <c r="G1199" s="17" t="str">
        <f>IFERROR(__xludf.DUMMYFUNCTION("""COMPUTED_VALUE"""),"priyank_barthwal@yahoo.com")</f>
        <v>priyank_barthwal@yahoo.com</v>
      </c>
      <c r="H1199" s="17" t="str">
        <f>IFERROR(__xludf.DUMMYFUNCTION("""COMPUTED_VALUE"""),"priyankbarthwal@goniyo.com")</f>
        <v>priyankbarthwal@goniyo.com</v>
      </c>
    </row>
    <row r="1200">
      <c r="A1200" s="17" t="str">
        <f>IFERROR(__xludf.DUMMYFUNCTION("""COMPUTED_VALUE"""),"PayMate")</f>
        <v>PayMate</v>
      </c>
      <c r="B1200" s="17" t="str">
        <f>IFERROR(__xludf.DUMMYFUNCTION("""COMPUTED_VALUE"""),"Ashutosh Verma")</f>
        <v>Ashutosh Verma</v>
      </c>
      <c r="C1200" s="17" t="str">
        <f>IFERROR(__xludf.DUMMYFUNCTION("""COMPUTED_VALUE"""),"ex-SVP")</f>
        <v>ex-SVP</v>
      </c>
      <c r="D1200" s="27" t="str">
        <f>IFERROR(__xludf.DUMMYFUNCTION("""COMPUTED_VALUE"""),"https://www.linkedin.com/in/aashutoshverma/")</f>
        <v>https://www.linkedin.com/in/aashutoshverma/</v>
      </c>
      <c r="E1200" s="17"/>
      <c r="F1200" s="17" t="str">
        <f>IFERROR(__xludf.DUMMYFUNCTION("""COMPUTED_VALUE"""),"aashutosh.verma@gmail.com")</f>
        <v>aashutosh.verma@gmail.com</v>
      </c>
      <c r="G1200" s="17"/>
      <c r="H1200" s="17"/>
    </row>
    <row r="1201">
      <c r="A1201" s="17" t="str">
        <f>IFERROR(__xludf.DUMMYFUNCTION("""COMPUTED_VALUE"""),"Infinite Locus")</f>
        <v>Infinite Locus</v>
      </c>
      <c r="B1201" s="17" t="str">
        <f>IFERROR(__xludf.DUMMYFUNCTION("""COMPUTED_VALUE"""),"Deepak Sharma")</f>
        <v>Deepak Sharma</v>
      </c>
      <c r="C1201" s="17" t="str">
        <f>IFERROR(__xludf.DUMMYFUNCTION("""COMPUTED_VALUE"""),"CPO")</f>
        <v>CPO</v>
      </c>
      <c r="D1201" s="27" t="str">
        <f>IFERROR(__xludf.DUMMYFUNCTION("""COMPUTED_VALUE"""),"https://www.linkedin.com/in/deepunk/")</f>
        <v>https://www.linkedin.com/in/deepunk/</v>
      </c>
      <c r="E1201" s="17"/>
      <c r="F1201" s="17" t="str">
        <f>IFERROR(__xludf.DUMMYFUNCTION("""COMPUTED_VALUE"""),"deepak@infinitelocus.com")</f>
        <v>deepak@infinitelocus.com</v>
      </c>
      <c r="G1201" s="17" t="str">
        <f>IFERROR(__xludf.DUMMYFUNCTION("""COMPUTED_VALUE"""),"deepak.s@pepperfry.com")</f>
        <v>deepak.s@pepperfry.com</v>
      </c>
      <c r="H1201" s="17" t="str">
        <f>IFERROR(__xludf.DUMMYFUNCTION("""COMPUTED_VALUE"""),"me@deepak-sharma.in")</f>
        <v>me@deepak-sharma.in</v>
      </c>
    </row>
    <row r="1202">
      <c r="A1202" s="17" t="str">
        <f>IFERROR(__xludf.DUMMYFUNCTION("""COMPUTED_VALUE"""),"Refyne")</f>
        <v>Refyne</v>
      </c>
      <c r="B1202" s="17" t="str">
        <f>IFERROR(__xludf.DUMMYFUNCTION("""COMPUTED_VALUE"""),"Ishan Vyas")</f>
        <v>Ishan Vyas</v>
      </c>
      <c r="C1202" s="17" t="str">
        <f>IFERROR(__xludf.DUMMYFUNCTION("""COMPUTED_VALUE"""),"Head of Products")</f>
        <v>Head of Products</v>
      </c>
      <c r="D1202" s="27" t="str">
        <f>IFERROR(__xludf.DUMMYFUNCTION("""COMPUTED_VALUE"""),"https://www.linkedin.com/in/ishanvyas/")</f>
        <v>https://www.linkedin.com/in/ishanvyas/</v>
      </c>
      <c r="E1202" s="17" t="str">
        <f>IFERROR(__xludf.DUMMYFUNCTION("""COMPUTED_VALUE"""),"9752587946")</f>
        <v>9752587946</v>
      </c>
      <c r="F1202" s="17" t="str">
        <f>IFERROR(__xludf.DUMMYFUNCTION("""COMPUTED_VALUE"""),"ishan@aspricot.com")</f>
        <v>ishan@aspricot.com</v>
      </c>
      <c r="G1202" s="17"/>
      <c r="H1202" s="17"/>
    </row>
    <row r="1203">
      <c r="A1203" s="17" t="str">
        <f>IFERROR(__xludf.DUMMYFUNCTION("""COMPUTED_VALUE"""),"RenewBuy")</f>
        <v>RenewBuy</v>
      </c>
      <c r="B1203" s="17" t="str">
        <f>IFERROR(__xludf.DUMMYFUNCTION("""COMPUTED_VALUE"""),"Harish Kurudi")</f>
        <v>Harish Kurudi</v>
      </c>
      <c r="C1203" s="17" t="str">
        <f>IFERROR(__xludf.DUMMYFUNCTION("""COMPUTED_VALUE"""),"VP- Products")</f>
        <v>VP- Products</v>
      </c>
      <c r="D1203" s="27" t="str">
        <f>IFERROR(__xludf.DUMMYFUNCTION("""COMPUTED_VALUE"""),"https://www.linkedin.com/in/harishkurudi/")</f>
        <v>https://www.linkedin.com/in/harishkurudi/</v>
      </c>
      <c r="E1203" s="17"/>
      <c r="F1203" s="17" t="str">
        <f>IFERROR(__xludf.DUMMYFUNCTION("""COMPUTED_VALUE"""),"hkurudi@gmail.com")</f>
        <v>hkurudi@gmail.com</v>
      </c>
      <c r="G1203" s="17"/>
      <c r="H1203" s="17"/>
    </row>
    <row r="1204">
      <c r="A1204" s="27" t="str">
        <f>IFERROR(__xludf.DUMMYFUNCTION("""COMPUTED_VALUE"""),"IKSA.ai")</f>
        <v>IKSA.ai</v>
      </c>
      <c r="B1204" s="17" t="str">
        <f>IFERROR(__xludf.DUMMYFUNCTION("""COMPUTED_VALUE"""),"Thobith Abraham")</f>
        <v>Thobith Abraham</v>
      </c>
      <c r="C1204" s="17" t="str">
        <f>IFERROR(__xludf.DUMMYFUNCTION("""COMPUTED_VALUE"""),"Head of Product")</f>
        <v>Head of Product</v>
      </c>
      <c r="D1204" s="27" t="str">
        <f>IFERROR(__xludf.DUMMYFUNCTION("""COMPUTED_VALUE"""),"https://www.linkedin.com/in/thobithabraham/")</f>
        <v>https://www.linkedin.com/in/thobithabraham/</v>
      </c>
      <c r="E1204" s="17"/>
      <c r="F1204" s="17" t="str">
        <f>IFERROR(__xludf.DUMMYFUNCTION("""COMPUTED_VALUE"""),"thobithabraham@gmail.com")</f>
        <v>thobithabraham@gmail.com</v>
      </c>
      <c r="G1204" s="17"/>
      <c r="H1204" s="17"/>
    </row>
    <row r="1205">
      <c r="A1205" s="17" t="str">
        <f>IFERROR(__xludf.DUMMYFUNCTION("""COMPUTED_VALUE"""),"routemobile")</f>
        <v>routemobile</v>
      </c>
      <c r="B1205" s="17" t="str">
        <f>IFERROR(__xludf.DUMMYFUNCTION("""COMPUTED_VALUE"""),"Milind Pathak")</f>
        <v>Milind Pathak</v>
      </c>
      <c r="C1205" s="17" t="str">
        <f>IFERROR(__xludf.DUMMYFUNCTION("""COMPUTED_VALUE"""),"EVP of Product")</f>
        <v>EVP of Product</v>
      </c>
      <c r="D1205" s="27" t="str">
        <f>IFERROR(__xludf.DUMMYFUNCTION("""COMPUTED_VALUE"""),"https://www.linkedin.com/in/milindpathak/")</f>
        <v>https://www.linkedin.com/in/milindpathak/</v>
      </c>
      <c r="E1205" s="17"/>
      <c r="F1205" s="17" t="str">
        <f>IFERROR(__xludf.DUMMYFUNCTION("""COMPUTED_VALUE"""),"patindian@gmail.com")</f>
        <v>patindian@gmail.com</v>
      </c>
      <c r="G1205" s="17" t="str">
        <f>IFERROR(__xludf.DUMMYFUNCTION("""COMPUTED_VALUE"""),"patindian@gmail.com")</f>
        <v>patindian@gmail.com</v>
      </c>
      <c r="H1205" s="17"/>
    </row>
    <row r="1206">
      <c r="A1206" s="17" t="str">
        <f>IFERROR(__xludf.DUMMYFUNCTION("""COMPUTED_VALUE"""),"Capital One India")</f>
        <v>Capital One India</v>
      </c>
      <c r="B1206" s="17" t="str">
        <f>IFERROR(__xludf.DUMMYFUNCTION("""COMPUTED_VALUE"""),"Japan Doshi")</f>
        <v>Japan Doshi</v>
      </c>
      <c r="C1206" s="17" t="str">
        <f>IFERROR(__xludf.DUMMYFUNCTION("""COMPUTED_VALUE"""),"Head of Tech and PRoduct")</f>
        <v>Head of Tech and PRoduct</v>
      </c>
      <c r="D1206" s="27" t="str">
        <f>IFERROR(__xludf.DUMMYFUNCTION("""COMPUTED_VALUE"""),"https://www.linkedin.com/in/japan-doshi-a432171/")</f>
        <v>https://www.linkedin.com/in/japan-doshi-a432171/</v>
      </c>
      <c r="E1206" s="17"/>
      <c r="F1206" s="17" t="str">
        <f>IFERROR(__xludf.DUMMYFUNCTION("""COMPUTED_VALUE"""),"japandoshi@gmail.com")</f>
        <v>japandoshi@gmail.com</v>
      </c>
      <c r="G1206" s="17" t="str">
        <f>IFERROR(__xludf.DUMMYFUNCTION("""COMPUTED_VALUE"""),"japan.doshi@capitalone.com")</f>
        <v>japan.doshi@capitalone.com</v>
      </c>
      <c r="H1206" s="17"/>
    </row>
    <row r="1207">
      <c r="A1207" s="17" t="str">
        <f>IFERROR(__xludf.DUMMYFUNCTION("""COMPUTED_VALUE"""),"SIMPLE")</f>
        <v>SIMPLE</v>
      </c>
      <c r="B1207" s="17" t="str">
        <f>IFERROR(__xludf.DUMMYFUNCTION("""COMPUTED_VALUE"""),"Pankaj Sable")</f>
        <v>Pankaj Sable</v>
      </c>
      <c r="C1207" s="17" t="str">
        <f>IFERROR(__xludf.DUMMYFUNCTION("""COMPUTED_VALUE"""),"CPO")</f>
        <v>CPO</v>
      </c>
      <c r="D1207" s="27" t="str">
        <f>IFERROR(__xludf.DUMMYFUNCTION("""COMPUTED_VALUE"""),"https://www.linkedin.com/in/pankaj-sable-a12734122/")</f>
        <v>https://www.linkedin.com/in/pankaj-sable-a12734122/</v>
      </c>
      <c r="E1207" s="17"/>
      <c r="F1207" s="17" t="str">
        <f>IFERROR(__xludf.DUMMYFUNCTION("""COMPUTED_VALUE"""),"pankajhs1997@gmail.com")</f>
        <v>pankajhs1997@gmail.com</v>
      </c>
      <c r="G1207" s="17" t="str">
        <f>IFERROR(__xludf.DUMMYFUNCTION("""COMPUTED_VALUE"""),"pankaj.sable@simpleenergy.in")</f>
        <v>pankaj.sable@simpleenergy.in</v>
      </c>
      <c r="H1207" s="17"/>
    </row>
    <row r="1208">
      <c r="A1208" s="17" t="str">
        <f>IFERROR(__xludf.DUMMYFUNCTION("""COMPUTED_VALUE"""),"Stader")</f>
        <v>Stader</v>
      </c>
      <c r="B1208" s="17" t="str">
        <f>IFERROR(__xludf.DUMMYFUNCTION("""COMPUTED_VALUE"""),"Kunal Chopra")</f>
        <v>Kunal Chopra</v>
      </c>
      <c r="C1208" s="17" t="str">
        <f>IFERROR(__xludf.DUMMYFUNCTION("""COMPUTED_VALUE"""),"Head of PRoduct")</f>
        <v>Head of PRoduct</v>
      </c>
      <c r="D1208" s="27" t="str">
        <f>IFERROR(__xludf.DUMMYFUNCTION("""COMPUTED_VALUE"""),"https://www.linkedin.com/in/kunalchopra1995/")</f>
        <v>https://www.linkedin.com/in/kunalchopra1995/</v>
      </c>
      <c r="E1208" s="17"/>
      <c r="F1208" s="17" t="str">
        <f>IFERROR(__xludf.DUMMYFUNCTION("""COMPUTED_VALUE"""),"kunalchopra12343@gmail.com")</f>
        <v>kunalchopra12343@gmail.com</v>
      </c>
      <c r="G1208" s="17" t="str">
        <f>IFERROR(__xludf.DUMMYFUNCTION("""COMPUTED_VALUE"""),"kunal@staderlabs.com")</f>
        <v>kunal@staderlabs.com</v>
      </c>
      <c r="H1208" s="17"/>
    </row>
    <row r="1209">
      <c r="A1209" s="17" t="str">
        <f>IFERROR(__xludf.DUMMYFUNCTION("""COMPUTED_VALUE"""),"stanza living")</f>
        <v>stanza living</v>
      </c>
      <c r="B1209" s="17" t="str">
        <f>IFERROR(__xludf.DUMMYFUNCTION("""COMPUTED_VALUE"""),"Anik Khandelwal")</f>
        <v>Anik Khandelwal</v>
      </c>
      <c r="C1209" s="17" t="str">
        <f>IFERROR(__xludf.DUMMYFUNCTION("""COMPUTED_VALUE"""),"Head of Product")</f>
        <v>Head of Product</v>
      </c>
      <c r="D1209" s="27" t="str">
        <f>IFERROR(__xludf.DUMMYFUNCTION("""COMPUTED_VALUE"""),"https://www.linkedin.com/in/anikk/")</f>
        <v>https://www.linkedin.com/in/anikk/</v>
      </c>
      <c r="E1209" s="17"/>
      <c r="F1209" s="17" t="str">
        <f>IFERROR(__xludf.DUMMYFUNCTION("""COMPUTED_VALUE"""),"anik.khandelwal@gmail.com")</f>
        <v>anik.khandelwal@gmail.com</v>
      </c>
      <c r="G1209" s="17" t="str">
        <f>IFERROR(__xludf.DUMMYFUNCTION("""COMPUTED_VALUE"""),"anik.khandelwal@stanzaliving.com")</f>
        <v>anik.khandelwal@stanzaliving.com</v>
      </c>
      <c r="H1209" s="17"/>
    </row>
    <row r="1210">
      <c r="A1210" s="17" t="str">
        <f>IFERROR(__xludf.DUMMYFUNCTION("""COMPUTED_VALUE"""),"stashfin")</f>
        <v>stashfin</v>
      </c>
      <c r="B1210" s="17" t="str">
        <f>IFERROR(__xludf.DUMMYFUNCTION("""COMPUTED_VALUE"""),"Anubhav Agarwal")</f>
        <v>Anubhav Agarwal</v>
      </c>
      <c r="C1210" s="17" t="str">
        <f>IFERROR(__xludf.DUMMYFUNCTION("""COMPUTED_VALUE"""),"Senior VP, Product Technology &amp; Businesses")</f>
        <v>Senior VP, Product Technology &amp; Businesses</v>
      </c>
      <c r="D1210" s="27" t="str">
        <f>IFERROR(__xludf.DUMMYFUNCTION("""COMPUTED_VALUE"""),"https://www.linkedin.com/in/anubhavit/")</f>
        <v>https://www.linkedin.com/in/anubhavit/</v>
      </c>
      <c r="E1210" s="17"/>
      <c r="F1210" s="17" t="str">
        <f>IFERROR(__xludf.DUMMYFUNCTION("""COMPUTED_VALUE"""),"anubhavit@gmail.com")</f>
        <v>anubhavit@gmail.com</v>
      </c>
      <c r="G1210" s="17" t="str">
        <f>IFERROR(__xludf.DUMMYFUNCTION("""COMPUTED_VALUE"""),"anubhav.agarwal@stashfin.com")</f>
        <v>anubhav.agarwal@stashfin.com</v>
      </c>
      <c r="H1210" s="17"/>
    </row>
    <row r="1211">
      <c r="A1211" s="17" t="str">
        <f>IFERROR(__xludf.DUMMYFUNCTION("""COMPUTED_VALUE"""),"waycool")</f>
        <v>waycool</v>
      </c>
      <c r="B1211" s="17" t="str">
        <f>IFERROR(__xludf.DUMMYFUNCTION("""COMPUTED_VALUE"""),"Sudheer Devall")</f>
        <v>Sudheer Devall</v>
      </c>
      <c r="C1211" s="17" t="str">
        <f>IFERROR(__xludf.DUMMYFUNCTION("""COMPUTED_VALUE"""),"Product Head")</f>
        <v>Product Head</v>
      </c>
      <c r="D1211" s="17"/>
      <c r="E1211" s="17"/>
      <c r="F1211" s="17"/>
      <c r="G1211" s="17"/>
      <c r="H1211" s="17"/>
    </row>
    <row r="1212">
      <c r="A1212" s="17" t="str">
        <f>IFERROR(__xludf.DUMMYFUNCTION("""COMPUTED_VALUE"""),"Finxact")</f>
        <v>Finxact</v>
      </c>
      <c r="B1212" s="17" t="str">
        <f>IFERROR(__xludf.DUMMYFUNCTION("""COMPUTED_VALUE"""),"Satish Mohan")</f>
        <v>Satish Mohan</v>
      </c>
      <c r="C1212" s="17" t="str">
        <f>IFERROR(__xludf.DUMMYFUNCTION("""COMPUTED_VALUE"""),"VP")</f>
        <v>VP</v>
      </c>
      <c r="D1212" s="27" t="str">
        <f>IFERROR(__xludf.DUMMYFUNCTION("""COMPUTED_VALUE"""),"https://www.linkedin.com/in/sathish-mohan-257b2a3/")</f>
        <v>https://www.linkedin.com/in/sathish-mohan-257b2a3/</v>
      </c>
      <c r="E1212" s="17"/>
      <c r="F1212" s="17" t="str">
        <f>IFERROR(__xludf.DUMMYFUNCTION("""COMPUTED_VALUE"""),"sathishnm@gmail.com")</f>
        <v>sathishnm@gmail.com</v>
      </c>
      <c r="G1212" s="17" t="str">
        <f>IFERROR(__xludf.DUMMYFUNCTION("""COMPUTED_VALUE"""),"ms@fiserv.com")</f>
        <v>ms@fiserv.com</v>
      </c>
      <c r="H1212" s="17"/>
    </row>
    <row r="1213">
      <c r="A1213" s="17" t="str">
        <f>IFERROR(__xludf.DUMMYFUNCTION("""COMPUTED_VALUE"""),"Anthropic")</f>
        <v>Anthropic</v>
      </c>
      <c r="B1213" s="17" t="str">
        <f>IFERROR(__xludf.DUMMYFUNCTION("""COMPUTED_VALUE"""),"Mike Krieger")</f>
        <v>Mike Krieger</v>
      </c>
      <c r="C1213" s="17" t="str">
        <f>IFERROR(__xludf.DUMMYFUNCTION("""COMPUTED_VALUE"""),"CPO")</f>
        <v>CPO</v>
      </c>
      <c r="D1213" s="27" t="str">
        <f>IFERROR(__xludf.DUMMYFUNCTION("""COMPUTED_VALUE"""),"https://www.linkedin.com/in/mikekrieger/")</f>
        <v>https://www.linkedin.com/in/mikekrieger/</v>
      </c>
      <c r="E1213" s="17"/>
      <c r="F1213" s="17" t="str">
        <f>IFERROR(__xludf.DUMMYFUNCTION("""COMPUTED_VALUE"""),"mikekrieger@gmail.com")</f>
        <v>mikekrieger@gmail.com</v>
      </c>
      <c r="G1213" s="17" t="str">
        <f>IFERROR(__xludf.DUMMYFUNCTION("""COMPUTED_VALUE"""),"mkrieger@anthropic.com")</f>
        <v>mkrieger@anthropic.com</v>
      </c>
      <c r="H1213" s="17"/>
    </row>
    <row r="1214">
      <c r="A1214" s="17" t="str">
        <f>IFERROR(__xludf.DUMMYFUNCTION("""COMPUTED_VALUE"""),"Toast")</f>
        <v>Toast</v>
      </c>
      <c r="B1214" s="17" t="str">
        <f>IFERROR(__xludf.DUMMYFUNCTION("""COMPUTED_VALUE"""),"Alok Agrawal")</f>
        <v>Alok Agrawal</v>
      </c>
      <c r="C1214" s="17" t="str">
        <f>IFERROR(__xludf.DUMMYFUNCTION("""COMPUTED_VALUE"""),"Director of Product")</f>
        <v>Director of Product</v>
      </c>
      <c r="D1214" s="27" t="str">
        <f>IFERROR(__xludf.DUMMYFUNCTION("""COMPUTED_VALUE"""),"https://www.linkedin.com/in/imalokagrawal/")</f>
        <v>https://www.linkedin.com/in/imalokagrawal/</v>
      </c>
      <c r="E1214" s="17"/>
      <c r="F1214" s="17" t="str">
        <f>IFERROR(__xludf.DUMMYFUNCTION("""COMPUTED_VALUE"""),"imalokagrawal@gmail.com")</f>
        <v>imalokagrawal@gmail.com</v>
      </c>
      <c r="G1214" s="17" t="str">
        <f>IFERROR(__xludf.DUMMYFUNCTION("""COMPUTED_VALUE"""),"alok.agrawal@toasttab.com")</f>
        <v>alok.agrawal@toasttab.com</v>
      </c>
      <c r="H1214" s="17"/>
    </row>
    <row r="1215">
      <c r="A1215" s="17" t="str">
        <f>IFERROR(__xludf.DUMMYFUNCTION("""COMPUTED_VALUE"""),"Mondelez International")</f>
        <v>Mondelez International</v>
      </c>
      <c r="B1215" s="17"/>
      <c r="C1215" s="17"/>
      <c r="D1215" s="17"/>
      <c r="E1215" s="17"/>
      <c r="F1215" s="17"/>
      <c r="G1215" s="17"/>
      <c r="H1215" s="17"/>
    </row>
    <row r="1216">
      <c r="A1216" s="17" t="str">
        <f>IFERROR(__xludf.DUMMYFUNCTION("""COMPUTED_VALUE"""),"Clari")</f>
        <v>Clari</v>
      </c>
      <c r="B1216" s="17" t="str">
        <f>IFERROR(__xludf.DUMMYFUNCTION("""COMPUTED_VALUE"""),"Ankan Banerjee")</f>
        <v>Ankan Banerjee</v>
      </c>
      <c r="C1216" s="17" t="str">
        <f>IFERROR(__xludf.DUMMYFUNCTION("""COMPUTED_VALUE"""),"Head of Product, India")</f>
        <v>Head of Product, India</v>
      </c>
      <c r="D1216" s="27" t="str">
        <f>IFERROR(__xludf.DUMMYFUNCTION("""COMPUTED_VALUE"""),"https://www.linkedin.com/in/ankanbanerjee/")</f>
        <v>https://www.linkedin.com/in/ankanbanerjee/</v>
      </c>
      <c r="E1216" s="17"/>
      <c r="F1216" s="17" t="str">
        <f>IFERROR(__xludf.DUMMYFUNCTION("""COMPUTED_VALUE"""),"b_ankan@yahoo.com")</f>
        <v>b_ankan@yahoo.com</v>
      </c>
      <c r="G1216" s="17" t="str">
        <f>IFERROR(__xludf.DUMMYFUNCTION("""COMPUTED_VALUE"""),"ankan@clari.com")</f>
        <v>ankan@clari.com</v>
      </c>
      <c r="H1216" s="17"/>
    </row>
    <row r="1217">
      <c r="A1217" s="17" t="str">
        <f>IFERROR(__xludf.DUMMYFUNCTION("""COMPUTED_VALUE"""),"SailPoint")</f>
        <v>SailPoint</v>
      </c>
      <c r="B1217" s="17" t="str">
        <f>IFERROR(__xludf.DUMMYFUNCTION("""COMPUTED_VALUE"""),"Chandra Gnanasambandam")</f>
        <v>Chandra Gnanasambandam</v>
      </c>
      <c r="C1217" s="17" t="str">
        <f>IFERROR(__xludf.DUMMYFUNCTION("""COMPUTED_VALUE"""),"EVP- Product")</f>
        <v>EVP- Product</v>
      </c>
      <c r="D1217" s="27" t="str">
        <f>IFERROR(__xludf.DUMMYFUNCTION("""COMPUTED_VALUE"""),"https://www.linkedin.com/in/chandra-gnanasambandam/")</f>
        <v>https://www.linkedin.com/in/chandra-gnanasambandam/</v>
      </c>
      <c r="E1217" s="17"/>
      <c r="F1217" s="17" t="str">
        <f>IFERROR(__xludf.DUMMYFUNCTION("""COMPUTED_VALUE"""),"chandrasambandam@yahoo.com")</f>
        <v>chandrasambandam@yahoo.com</v>
      </c>
      <c r="G1217" s="17" t="str">
        <f>IFERROR(__xludf.DUMMYFUNCTION("""COMPUTED_VALUE"""),"chandra@bea.com")</f>
        <v>chandra@bea.com</v>
      </c>
      <c r="H1217" s="17"/>
    </row>
    <row r="1218">
      <c r="A1218" s="17" t="str">
        <f>IFERROR(__xludf.DUMMYFUNCTION("""COMPUTED_VALUE"""),"IBM")</f>
        <v>IBM</v>
      </c>
      <c r="B1218" s="17" t="str">
        <f>IFERROR(__xludf.DUMMYFUNCTION("""COMPUTED_VALUE"""),"Senthil Nathan")</f>
        <v>Senthil Nathan</v>
      </c>
      <c r="C1218" s="17" t="str">
        <f>IFERROR(__xludf.DUMMYFUNCTION("""COMPUTED_VALUE"""),"Head of Product")</f>
        <v>Head of Product</v>
      </c>
      <c r="D1218" s="27" t="str">
        <f>IFERROR(__xludf.DUMMYFUNCTION("""COMPUTED_VALUE"""),"https://www.linkedin.com/in/reachsenthilnathan/")</f>
        <v>https://www.linkedin.com/in/reachsenthilnathan/</v>
      </c>
      <c r="E1218" s="17"/>
      <c r="F1218" s="17" t="str">
        <f>IFERROR(__xludf.DUMMYFUNCTION("""COMPUTED_VALUE"""),"reachsenthilnathan@gmail.com")</f>
        <v>reachsenthilnathan@gmail.com</v>
      </c>
      <c r="G1218" s="17" t="str">
        <f>IFERROR(__xludf.DUMMYFUNCTION("""COMPUTED_VALUE"""),"senthil.nathan@ibm.com")</f>
        <v>senthil.nathan@ibm.com</v>
      </c>
      <c r="H1218" s="17"/>
    </row>
    <row r="1219">
      <c r="A1219" s="17" t="str">
        <f>IFERROR(__xludf.DUMMYFUNCTION("""COMPUTED_VALUE"""),"Accenture")</f>
        <v>Accenture</v>
      </c>
      <c r="B1219" s="17" t="str">
        <f>IFERROR(__xludf.DUMMYFUNCTION("""COMPUTED_VALUE"""),"Amneet Singh")</f>
        <v>Amneet Singh</v>
      </c>
      <c r="C1219" s="17" t="str">
        <f>IFERROR(__xludf.DUMMYFUNCTION("""COMPUTED_VALUE"""),"Managing Director and Business Head - Products")</f>
        <v>Managing Director and Business Head - Products</v>
      </c>
      <c r="D1219" s="27" t="str">
        <f>IFERROR(__xludf.DUMMYFUNCTION("""COMPUTED_VALUE"""),"https://www.linkedin.com/in/amneetsingh-acn/")</f>
        <v>https://www.linkedin.com/in/amneetsingh-acn/</v>
      </c>
      <c r="E1219" s="17"/>
      <c r="F1219" s="17" t="str">
        <f>IFERROR(__xludf.DUMMYFUNCTION("""COMPUTED_VALUE"""),"amneet_singh@hotmail.com")</f>
        <v>amneet_singh@hotmail.com</v>
      </c>
      <c r="G1219" s="17" t="str">
        <f>IFERROR(__xludf.DUMMYFUNCTION("""COMPUTED_VALUE"""),"amneet.singh@accenture.com")</f>
        <v>amneet.singh@accenture.com</v>
      </c>
      <c r="H1219" s="17"/>
    </row>
    <row r="1220">
      <c r="A1220" s="17" t="str">
        <f>IFERROR(__xludf.DUMMYFUNCTION("""COMPUTED_VALUE"""),"Citadel")</f>
        <v>Citadel</v>
      </c>
      <c r="B1220" s="17" t="str">
        <f>IFERROR(__xludf.DUMMYFUNCTION("""COMPUTED_VALUE"""),"Roshan Khatri")</f>
        <v>Roshan Khatri</v>
      </c>
      <c r="C1220" s="17" t="str">
        <f>IFERROR(__xludf.DUMMYFUNCTION("""COMPUTED_VALUE"""),"Head of Product")</f>
        <v>Head of Product</v>
      </c>
      <c r="D1220" s="27" t="str">
        <f>IFERROR(__xludf.DUMMYFUNCTION("""COMPUTED_VALUE"""),"https://www.linkedin.com/in/roshan-khatri-185b7375/")</f>
        <v>https://www.linkedin.com/in/roshan-khatri-185b7375/</v>
      </c>
      <c r="E1220" s="17"/>
      <c r="F1220" s="17" t="str">
        <f>IFERROR(__xludf.DUMMYFUNCTION("""COMPUTED_VALUE"""),"roshan.rishabh@gmail.com")</f>
        <v>roshan.rishabh@gmail.com</v>
      </c>
      <c r="G1220" s="17" t="str">
        <f>IFERROR(__xludf.DUMMYFUNCTION("""COMPUTED_VALUE"""),"roshan.khatri@citadel.com")</f>
        <v>roshan.khatri@citadel.com</v>
      </c>
      <c r="H1220" s="17"/>
    </row>
    <row r="1221">
      <c r="A1221" s="17" t="str">
        <f>IFERROR(__xludf.DUMMYFUNCTION("""COMPUTED_VALUE"""),"HCL Technologies")</f>
        <v>HCL Technologies</v>
      </c>
      <c r="B1221" s="17" t="str">
        <f>IFERROR(__xludf.DUMMYFUNCTION("""COMPUTED_VALUE"""),"Kalyan Kumar")</f>
        <v>Kalyan Kumar</v>
      </c>
      <c r="C1221" s="17" t="str">
        <f>IFERROR(__xludf.DUMMYFUNCTION("""COMPUTED_VALUE"""),"CPO")</f>
        <v>CPO</v>
      </c>
      <c r="D1221" s="27" t="str">
        <f>IFERROR(__xludf.DUMMYFUNCTION("""COMPUTED_VALUE"""),"https://www.linkedin.com/in/kalyankumar/")</f>
        <v>https://www.linkedin.com/in/kalyankumar/</v>
      </c>
      <c r="E1221" s="17"/>
      <c r="F1221" s="17" t="str">
        <f>IFERROR(__xludf.DUMMYFUNCTION("""COMPUTED_VALUE"""),"kalyank@hcl-software.com")</f>
        <v>kalyank@hcl-software.com</v>
      </c>
      <c r="G1221" s="17" t="str">
        <f>IFERROR(__xludf.DUMMYFUNCTION("""COMPUTED_VALUE"""),"kalyank@hcl.com")</f>
        <v>kalyank@hcl.com</v>
      </c>
      <c r="H1221" s="17" t="str">
        <f>IFERROR(__xludf.DUMMYFUNCTION("""COMPUTED_VALUE"""),"kalyan.kumar@hcltech.com")</f>
        <v>kalyan.kumar@hcltech.com</v>
      </c>
    </row>
    <row r="1222">
      <c r="A1222" s="17" t="str">
        <f>IFERROR(__xludf.DUMMYFUNCTION("""COMPUTED_VALUE"""),"LogicMonitor")</f>
        <v>LogicMonitor</v>
      </c>
      <c r="B1222" s="17" t="str">
        <f>IFERROR(__xludf.DUMMYFUNCTION("""COMPUTED_VALUE"""),"Garth Fort")</f>
        <v>Garth Fort</v>
      </c>
      <c r="C1222" s="17" t="str">
        <f>IFERROR(__xludf.DUMMYFUNCTION("""COMPUTED_VALUE"""),"CPO")</f>
        <v>CPO</v>
      </c>
      <c r="D1222" s="27" t="str">
        <f>IFERROR(__xludf.DUMMYFUNCTION("""COMPUTED_VALUE"""),"https://www.linkedin.com/in/garth-fort-5b0250/")</f>
        <v>https://www.linkedin.com/in/garth-fort-5b0250/</v>
      </c>
      <c r="E1222" s="17"/>
      <c r="F1222" s="17" t="str">
        <f>IFERROR(__xludf.DUMMYFUNCTION("""COMPUTED_VALUE"""),"garth.fort@logicmonitor.com")</f>
        <v>garth.fort@logicmonitor.com</v>
      </c>
      <c r="G1222" s="17" t="str">
        <f>IFERROR(__xludf.DUMMYFUNCTION("""COMPUTED_VALUE"""),"fortgart@amazon.com")</f>
        <v>fortgart@amazon.com</v>
      </c>
      <c r="H1222" s="17"/>
    </row>
    <row r="1223">
      <c r="A1223" s="17" t="str">
        <f>IFERROR(__xludf.DUMMYFUNCTION("""COMPUTED_VALUE"""),"Navan")</f>
        <v>Navan</v>
      </c>
      <c r="B1223" s="17" t="str">
        <f>IFERROR(__xludf.DUMMYFUNCTION("""COMPUTED_VALUE"""),"Yuval Refua")</f>
        <v>Yuval Refua</v>
      </c>
      <c r="C1223" s="17" t="str">
        <f>IFERROR(__xludf.DUMMYFUNCTION("""COMPUTED_VALUE"""),"CPO")</f>
        <v>CPO</v>
      </c>
      <c r="D1223" s="27" t="str">
        <f>IFERROR(__xludf.DUMMYFUNCTION("""COMPUTED_VALUE"""),"https://www.linkedin.com/in/yuvalrefua/")</f>
        <v>https://www.linkedin.com/in/yuvalrefua/</v>
      </c>
      <c r="E1223" s="17"/>
      <c r="F1223" s="17" t="str">
        <f>IFERROR(__xludf.DUMMYFUNCTION("""COMPUTED_VALUE"""),"yrefua10@gmail.com")</f>
        <v>yrefua10@gmail.com</v>
      </c>
      <c r="G1223" s="17" t="str">
        <f>IFERROR(__xludf.DUMMYFUNCTION("""COMPUTED_VALUE"""),"yrefua10@gsb.columbia.edu")</f>
        <v>yrefua10@gsb.columbia.edu</v>
      </c>
      <c r="H1223" s="17"/>
    </row>
    <row r="1224">
      <c r="A1224" s="17" t="str">
        <f>IFERROR(__xludf.DUMMYFUNCTION("""COMPUTED_VALUE"""),"Zynga")</f>
        <v>Zynga</v>
      </c>
      <c r="B1224" s="17" t="str">
        <f>IFERROR(__xludf.DUMMYFUNCTION("""COMPUTED_VALUE"""),"Scott Koenigsberg")</f>
        <v>Scott Koenigsberg</v>
      </c>
      <c r="C1224" s="17" t="str">
        <f>IFERROR(__xludf.DUMMYFUNCTION("""COMPUTED_VALUE"""),"CPO")</f>
        <v>CPO</v>
      </c>
      <c r="D1224" s="27" t="str">
        <f>IFERROR(__xludf.DUMMYFUNCTION("""COMPUTED_VALUE"""),"https://www.linkedin.com/in/scott-koenigsberg-717812/")</f>
        <v>https://www.linkedin.com/in/scott-koenigsberg-717812/</v>
      </c>
      <c r="E1224" s="17"/>
      <c r="F1224" s="17" t="str">
        <f>IFERROR(__xludf.DUMMYFUNCTION("""COMPUTED_VALUE"""),"skoenigsberg@sbcglobal.net")</f>
        <v>skoenigsberg@sbcglobal.net</v>
      </c>
      <c r="G1224" s="17" t="str">
        <f>IFERROR(__xludf.DUMMYFUNCTION("""COMPUTED_VALUE"""),"skoenigsberg@zynga.com")</f>
        <v>skoenigsberg@zynga.com</v>
      </c>
      <c r="H1224" s="17"/>
    </row>
    <row r="1225">
      <c r="A1225" s="17" t="str">
        <f>IFERROR(__xludf.DUMMYFUNCTION("""COMPUTED_VALUE"""),"Adobe")</f>
        <v>Adobe</v>
      </c>
      <c r="B1225" s="17" t="str">
        <f>IFERROR(__xludf.DUMMYFUNCTION("""COMPUTED_VALUE"""),"Gaurav Singh")</f>
        <v>Gaurav Singh</v>
      </c>
      <c r="C1225" s="17" t="str">
        <f>IFERROR(__xludf.DUMMYFUNCTION("""COMPUTED_VALUE"""),"Director - Product &amp; Growth")</f>
        <v>Director - Product &amp; Growth</v>
      </c>
      <c r="D1225" s="27" t="str">
        <f>IFERROR(__xludf.DUMMYFUNCTION("""COMPUTED_VALUE"""),"https://www.linkedin.com/in/gauravsingh241/")</f>
        <v>https://www.linkedin.com/in/gauravsingh241/</v>
      </c>
      <c r="E1225" s="17"/>
      <c r="F1225" s="17" t="str">
        <f>IFERROR(__xludf.DUMMYFUNCTION("""COMPUTED_VALUE"""),"gauravsingh1984@gmail.com")</f>
        <v>gauravsingh1984@gmail.com</v>
      </c>
      <c r="G1225" s="17" t="str">
        <f>IFERROR(__xludf.DUMMYFUNCTION("""COMPUTED_VALUE"""),"gauravsingh@adobe.com")</f>
        <v>gauravsingh@adobe.com</v>
      </c>
      <c r="H1225" s="17"/>
    </row>
    <row r="1226">
      <c r="A1226" s="17" t="str">
        <f>IFERROR(__xludf.DUMMYFUNCTION("""COMPUTED_VALUE"""),"Remitly")</f>
        <v>Remitly</v>
      </c>
      <c r="B1226" s="17" t="str">
        <f>IFERROR(__xludf.DUMMYFUNCTION("""COMPUTED_VALUE"""),"Ankur Sinha")</f>
        <v>Ankur Sinha</v>
      </c>
      <c r="C1226" s="17" t="str">
        <f>IFERROR(__xludf.DUMMYFUNCTION("""COMPUTED_VALUE"""),"CPO")</f>
        <v>CPO</v>
      </c>
      <c r="D1226" s="27" t="str">
        <f>IFERROR(__xludf.DUMMYFUNCTION("""COMPUTED_VALUE"""),"https://www.linkedin.com/in/ankursi/")</f>
        <v>https://www.linkedin.com/in/ankursi/</v>
      </c>
      <c r="E1226" s="17"/>
      <c r="F1226" s="17" t="str">
        <f>IFERROR(__xludf.DUMMYFUNCTION("""COMPUTED_VALUE"""),"sinha.ankur@gmail.com")</f>
        <v>sinha.ankur@gmail.com</v>
      </c>
      <c r="G1226" s="17" t="str">
        <f>IFERROR(__xludf.DUMMYFUNCTION("""COMPUTED_VALUE"""),"ankurs@remitly.com")</f>
        <v>ankurs@remitly.com</v>
      </c>
      <c r="H1226" s="17"/>
    </row>
    <row r="1227">
      <c r="A1227" s="17" t="str">
        <f>IFERROR(__xludf.DUMMYFUNCTION("""COMPUTED_VALUE"""),"CrowdStrike")</f>
        <v>CrowdStrike</v>
      </c>
      <c r="B1227" s="17" t="str">
        <f>IFERROR(__xludf.DUMMYFUNCTION("""COMPUTED_VALUE"""),"Raj Rajamani")</f>
        <v>Raj Rajamani</v>
      </c>
      <c r="C1227" s="17" t="str">
        <f>IFERROR(__xludf.DUMMYFUNCTION("""COMPUTED_VALUE"""),"CPO")</f>
        <v>CPO</v>
      </c>
      <c r="D1227" s="27" t="str">
        <f>IFERROR(__xludf.DUMMYFUNCTION("""COMPUTED_VALUE"""),"https://www.linkedin.com/in/rajamani/")</f>
        <v>https://www.linkedin.com/in/rajamani/</v>
      </c>
      <c r="E1227" s="17"/>
      <c r="F1227" s="17" t="str">
        <f>IFERROR(__xludf.DUMMYFUNCTION("""COMPUTED_VALUE"""),"raj.rajamani@gmail.com")</f>
        <v>raj.rajamani@gmail.com</v>
      </c>
      <c r="G1227" s="17" t="str">
        <f>IFERROR(__xludf.DUMMYFUNCTION("""COMPUTED_VALUE"""),"raj.rajamani@crowdstrike.com")</f>
        <v>raj.rajamani@crowdstrike.com</v>
      </c>
      <c r="H1227" s="17"/>
    </row>
    <row r="1228">
      <c r="A1228" s="17" t="str">
        <f>IFERROR(__xludf.DUMMYFUNCTION("""COMPUTED_VALUE"""),"Salesforce")</f>
        <v>Salesforce</v>
      </c>
      <c r="B1228" s="17" t="str">
        <f>IFERROR(__xludf.DUMMYFUNCTION("""COMPUTED_VALUE"""),"Gourav Sinha")</f>
        <v>Gourav Sinha</v>
      </c>
      <c r="C1228" s="17" t="str">
        <f>IFERROR(__xludf.DUMMYFUNCTION("""COMPUTED_VALUE"""),"Sr. Director- Product")</f>
        <v>Sr. Director- Product</v>
      </c>
      <c r="D1228" s="27" t="str">
        <f>IFERROR(__xludf.DUMMYFUNCTION("""COMPUTED_VALUE"""),"https://www.linkedin.com/in/gosinha/")</f>
        <v>https://www.linkedin.com/in/gosinha/</v>
      </c>
      <c r="E1228" s="17"/>
      <c r="F1228" s="17" t="str">
        <f>IFERROR(__xludf.DUMMYFUNCTION("""COMPUTED_VALUE"""),"gpsinha@gmail.com")</f>
        <v>gpsinha@gmail.com</v>
      </c>
      <c r="G1228" s="17" t="str">
        <f>IFERROR(__xludf.DUMMYFUNCTION("""COMPUTED_VALUE"""),"gourav.sinha@salesforce.com")</f>
        <v>gourav.sinha@salesforce.com</v>
      </c>
      <c r="H1228" s="17"/>
    </row>
    <row r="1229">
      <c r="A1229" s="17" t="str">
        <f>IFERROR(__xludf.DUMMYFUNCTION("""COMPUTED_VALUE"""),"Boomi")</f>
        <v>Boomi</v>
      </c>
      <c r="B1229" s="17" t="str">
        <f>IFERROR(__xludf.DUMMYFUNCTION("""COMPUTED_VALUE"""),"Ed Macosky")</f>
        <v>Ed Macosky</v>
      </c>
      <c r="C1229" s="17" t="str">
        <f>IFERROR(__xludf.DUMMYFUNCTION("""COMPUTED_VALUE"""),"CPTO")</f>
        <v>CPTO</v>
      </c>
      <c r="D1229" s="27" t="str">
        <f>IFERROR(__xludf.DUMMYFUNCTION("""COMPUTED_VALUE"""),"https://www.linkedin.com/in/emacosky/")</f>
        <v>https://www.linkedin.com/in/emacosky/</v>
      </c>
      <c r="E1229" s="17"/>
      <c r="F1229" s="17" t="str">
        <f>IFERROR(__xludf.DUMMYFUNCTION("""COMPUTED_VALUE"""),"emacosky@gmail.com")</f>
        <v>emacosky@gmail.com</v>
      </c>
      <c r="G1229" s="17"/>
      <c r="H1229" s="17"/>
    </row>
    <row r="1230">
      <c r="A1230" s="17" t="str">
        <f>IFERROR(__xludf.DUMMYFUNCTION("""COMPUTED_VALUE"""),"Samsara")</f>
        <v>Samsara</v>
      </c>
      <c r="B1230" s="17" t="str">
        <f>IFERROR(__xludf.DUMMYFUNCTION("""COMPUTED_VALUE"""),"Kiren Sekar")</f>
        <v>Kiren Sekar</v>
      </c>
      <c r="C1230" s="17" t="str">
        <f>IFERROR(__xludf.DUMMYFUNCTION("""COMPUTED_VALUE"""),"CPO")</f>
        <v>CPO</v>
      </c>
      <c r="D1230" s="27" t="str">
        <f>IFERROR(__xludf.DUMMYFUNCTION("""COMPUTED_VALUE"""),"https://www.linkedin.com/in/kirensekar/")</f>
        <v>https://www.linkedin.com/in/kirensekar/</v>
      </c>
      <c r="E1230" s="17"/>
      <c r="F1230" s="17" t="str">
        <f>IFERROR(__xludf.DUMMYFUNCTION("""COMPUTED_VALUE"""),"kirensekar@gmail.com")</f>
        <v>kirensekar@gmail.com</v>
      </c>
      <c r="G1230" s="17" t="str">
        <f>IFERROR(__xludf.DUMMYFUNCTION("""COMPUTED_VALUE"""),"kiren.sekar@samsara.com")</f>
        <v>kiren.sekar@samsara.com</v>
      </c>
      <c r="H1230" s="17"/>
    </row>
    <row r="1231">
      <c r="A1231" s="17" t="str">
        <f>IFERROR(__xludf.DUMMYFUNCTION("""COMPUTED_VALUE"""),"Google India")</f>
        <v>Google India</v>
      </c>
      <c r="B1231" s="17" t="str">
        <f>IFERROR(__xludf.DUMMYFUNCTION("""COMPUTED_VALUE"""),"Karthik Narain")</f>
        <v>Karthik Narain</v>
      </c>
      <c r="C1231" s="17" t="str">
        <f>IFERROR(__xludf.DUMMYFUNCTION("""COMPUTED_VALUE"""),"CP&amp;BO")</f>
        <v>CP&amp;BO</v>
      </c>
      <c r="D1231" s="27" t="str">
        <f>IFERROR(__xludf.DUMMYFUNCTION("""COMPUTED_VALUE"""),"https://www.linkedin.com/in/karthik-narain/")</f>
        <v>https://www.linkedin.com/in/karthik-narain/</v>
      </c>
      <c r="E1231" s="17"/>
      <c r="F1231" s="17" t="str">
        <f>IFERROR(__xludf.DUMMYFUNCTION("""COMPUTED_VALUE"""),"karthiknarain@gmail.com")</f>
        <v>karthiknarain@gmail.com</v>
      </c>
      <c r="G1231" s="17"/>
      <c r="H1231" s="17"/>
    </row>
    <row r="1232">
      <c r="A1232" s="17" t="str">
        <f>IFERROR(__xludf.DUMMYFUNCTION("""COMPUTED_VALUE"""),"Microsoft India")</f>
        <v>Microsoft India</v>
      </c>
      <c r="B1232" s="17" t="str">
        <f>IFERROR(__xludf.DUMMYFUNCTION("""COMPUTED_VALUE"""),"Vijay Rajagopalan")</f>
        <v>Vijay Rajagopalan</v>
      </c>
      <c r="C1232" s="17" t="str">
        <f>IFERROR(__xludf.DUMMYFUNCTION("""COMPUTED_VALUE"""),"Head of Product &amp; Microsoft Bangalore Site Leader")</f>
        <v>Head of Product &amp; Microsoft Bangalore Site Leader</v>
      </c>
      <c r="D1232" s="27" t="str">
        <f>IFERROR(__xludf.DUMMYFUNCTION("""COMPUTED_VALUE"""),"https://www.linkedin.com/in/vijayrvr/")</f>
        <v>https://www.linkedin.com/in/vijayrvr/</v>
      </c>
      <c r="E1232" s="17"/>
      <c r="F1232" s="17" t="str">
        <f>IFERROR(__xludf.DUMMYFUNCTION("""COMPUTED_VALUE"""),"vijayrvr@hotmail.com")</f>
        <v>vijayrvr@hotmail.com</v>
      </c>
      <c r="G1232" s="17" t="str">
        <f>IFERROR(__xludf.DUMMYFUNCTION("""COMPUTED_VALUE"""),"vijayra@microsoft.com")</f>
        <v>vijayra@microsoft.com</v>
      </c>
      <c r="H1232" s="17"/>
    </row>
    <row r="1233">
      <c r="A1233" s="17" t="str">
        <f>IFERROR(__xludf.DUMMYFUNCTION("""COMPUTED_VALUE"""),"Amazon")</f>
        <v>Amazon</v>
      </c>
      <c r="B1233" s="17" t="str">
        <f>IFERROR(__xludf.DUMMYFUNCTION("""COMPUTED_VALUE"""),"Nikhil Paruchuri")</f>
        <v>Nikhil Paruchuri</v>
      </c>
      <c r="C1233" s="17" t="str">
        <f>IFERROR(__xludf.DUMMYFUNCTION("""COMPUTED_VALUE"""),"Product Head")</f>
        <v>Product Head</v>
      </c>
      <c r="D1233" s="27" t="str">
        <f>IFERROR(__xludf.DUMMYFUNCTION("""COMPUTED_VALUE"""),"https://www.linkedin.com/in/nikhilparuchuri/")</f>
        <v>https://www.linkedin.com/in/nikhilparuchuri/</v>
      </c>
      <c r="E1233" s="17"/>
      <c r="F1233" s="17" t="str">
        <f>IFERROR(__xludf.DUMMYFUNCTION("""COMPUTED_VALUE"""),"pnikhil@gmail.com")</f>
        <v>pnikhil@gmail.com</v>
      </c>
      <c r="G1233" s="17"/>
      <c r="H1233" s="17"/>
    </row>
    <row r="1234">
      <c r="A1234" s="17" t="str">
        <f>IFERROR(__xludf.DUMMYFUNCTION("""COMPUTED_VALUE"""),"Meta")</f>
        <v>Meta</v>
      </c>
      <c r="B1234" s="17" t="str">
        <f>IFERROR(__xludf.DUMMYFUNCTION("""COMPUTED_VALUE"""),"Vishal Shah")</f>
        <v>Vishal Shah</v>
      </c>
      <c r="C1234" s="17" t="str">
        <f>IFERROR(__xludf.DUMMYFUNCTION("""COMPUTED_VALUE"""),"VP, AI Products")</f>
        <v>VP, AI Products</v>
      </c>
      <c r="D1234" s="27" t="str">
        <f>IFERROR(__xludf.DUMMYFUNCTION("""COMPUTED_VALUE"""),"https://www.linkedin.com/in/vishalnshah/")</f>
        <v>https://www.linkedin.com/in/vishalnshah/</v>
      </c>
      <c r="E1234" s="17"/>
      <c r="F1234" s="17" t="str">
        <f>IFERROR(__xludf.DUMMYFUNCTION("""COMPUTED_VALUE"""),"vshah@cal.berkeley.edu")</f>
        <v>vshah@cal.berkeley.edu</v>
      </c>
      <c r="G1234" s="17"/>
      <c r="H1234" s="17"/>
    </row>
    <row r="1235">
      <c r="A1235" s="17" t="str">
        <f>IFERROR(__xludf.DUMMYFUNCTION("""COMPUTED_VALUE"""),"Spotify")</f>
        <v>Spotify</v>
      </c>
      <c r="B1235" s="17" t="str">
        <f>IFERROR(__xludf.DUMMYFUNCTION("""COMPUTED_VALUE"""),"Pulkit Mathur")</f>
        <v>Pulkit Mathur</v>
      </c>
      <c r="C1235" s="17" t="str">
        <f>IFERROR(__xludf.DUMMYFUNCTION("""COMPUTED_VALUE"""),"Head - Product and Growth")</f>
        <v>Head - Product and Growth</v>
      </c>
      <c r="D1235" s="27" t="str">
        <f>IFERROR(__xludf.DUMMYFUNCTION("""COMPUTED_VALUE"""),"https://www.linkedin.com/in/pulkitmathur0104/")</f>
        <v>https://www.linkedin.com/in/pulkitmathur0104/</v>
      </c>
      <c r="E1235" s="17"/>
      <c r="F1235" s="17" t="str">
        <f>IFERROR(__xludf.DUMMYFUNCTION("""COMPUTED_VALUE"""),"pulkitmathur.mnnit@gmail.com")</f>
        <v>pulkitmathur.mnnit@gmail.com</v>
      </c>
      <c r="G1235" s="17"/>
      <c r="H1235" s="17"/>
    </row>
    <row r="1236">
      <c r="A1236" s="17" t="str">
        <f>IFERROR(__xludf.DUMMYFUNCTION("""COMPUTED_VALUE"""),"Uber")</f>
        <v>Uber</v>
      </c>
      <c r="B1236" s="17" t="str">
        <f>IFERROR(__xludf.DUMMYFUNCTION("""COMPUTED_VALUE"""),"Sachin Kansal")</f>
        <v>Sachin Kansal</v>
      </c>
      <c r="C1236" s="17" t="str">
        <f>IFERROR(__xludf.DUMMYFUNCTION("""COMPUTED_VALUE"""),"CPO")</f>
        <v>CPO</v>
      </c>
      <c r="D1236" s="27" t="str">
        <f>IFERROR(__xludf.DUMMYFUNCTION("""COMPUTED_VALUE"""),"https://www.linkedin.com/in/sachinkansal/")</f>
        <v>https://www.linkedin.com/in/sachinkansal/</v>
      </c>
      <c r="E1236" s="17"/>
      <c r="F1236" s="17" t="str">
        <f>IFERROR(__xludf.DUMMYFUNCTION("""COMPUTED_VALUE"""),"sachinkansal@hotmail.com")</f>
        <v>sachinkansal@hotmail.com</v>
      </c>
      <c r="G1236" s="17" t="str">
        <f>IFERROR(__xludf.DUMMYFUNCTION("""COMPUTED_VALUE"""),"sachin@uber.com")</f>
        <v>sachin@uber.com</v>
      </c>
      <c r="H1236" s="17"/>
    </row>
    <row r="1237">
      <c r="A1237" s="17" t="str">
        <f>IFERROR(__xludf.DUMMYFUNCTION("""COMPUTED_VALUE"""),"SAP Labs India")</f>
        <v>SAP Labs India</v>
      </c>
      <c r="B1237" s="17" t="str">
        <f>IFERROR(__xludf.DUMMYFUNCTION("""COMPUTED_VALUE"""),"Sindhu Gangadharan")</f>
        <v>Sindhu Gangadharan</v>
      </c>
      <c r="C1237" s="17" t="str">
        <f>IFERROR(__xludf.DUMMYFUNCTION("""COMPUTED_VALUE"""),"SVP")</f>
        <v>SVP</v>
      </c>
      <c r="D1237" s="27" t="str">
        <f>IFERROR(__xludf.DUMMYFUNCTION("""COMPUTED_VALUE"""),"https://www.linkedin.com/in/sindhugangadharan/?originalSubdomain=in")</f>
        <v>https://www.linkedin.com/in/sindhugangadharan/?originalSubdomain=in</v>
      </c>
      <c r="E1237" s="17"/>
      <c r="F1237" s="17" t="str">
        <f>IFERROR(__xludf.DUMMYFUNCTION("""COMPUTED_VALUE"""),"sindhu.gangadharan@sap.com")</f>
        <v>sindhu.gangadharan@sap.com</v>
      </c>
      <c r="G1237" s="17" t="str">
        <f>IFERROR(__xludf.DUMMYFUNCTION("""COMPUTED_VALUE"""),"sindhu_gangadharan@yahoo.com")</f>
        <v>sindhu_gangadharan@yahoo.com</v>
      </c>
      <c r="H1237" s="17"/>
    </row>
    <row r="1238">
      <c r="A1238" s="17" t="str">
        <f>IFERROR(__xludf.DUMMYFUNCTION("""COMPUTED_VALUE"""),"ServiceNow")</f>
        <v>ServiceNow</v>
      </c>
      <c r="B1238" s="17" t="str">
        <f>IFERROR(__xludf.DUMMYFUNCTION("""COMPUTED_VALUE"""),"Amit Zavery")</f>
        <v>Amit Zavery</v>
      </c>
      <c r="C1238" s="17" t="str">
        <f>IFERROR(__xludf.DUMMYFUNCTION("""COMPUTED_VALUE"""),"President, CPO, and COO")</f>
        <v>President, CPO, and COO</v>
      </c>
      <c r="D1238" s="27" t="str">
        <f>IFERROR(__xludf.DUMMYFUNCTION("""COMPUTED_VALUE"""),"https://www.linkedin.com/in/amitzavery/")</f>
        <v>https://www.linkedin.com/in/amitzavery/</v>
      </c>
      <c r="E1238" s="17" t="str">
        <f>IFERROR(__xludf.DUMMYFUNCTION("""COMPUTED_VALUE"""),"16506199864")</f>
        <v>16506199864</v>
      </c>
      <c r="F1238" s="17" t="str">
        <f>IFERROR(__xludf.DUMMYFUNCTION("""COMPUTED_VALUE"""),"azavery@gmail.com")</f>
        <v>azavery@gmail.com</v>
      </c>
      <c r="G1238" s="17" t="str">
        <f>IFERROR(__xludf.DUMMYFUNCTION("""COMPUTED_VALUE"""),"amit.zavery@servicenow.com")</f>
        <v>amit.zavery@servicenow.com</v>
      </c>
      <c r="H1238" s="17"/>
    </row>
    <row r="1239">
      <c r="A1239" s="17" t="str">
        <f>IFERROR(__xludf.DUMMYFUNCTION("""COMPUTED_VALUE"""),"MakeMyTrip")</f>
        <v>MakeMyTrip</v>
      </c>
      <c r="B1239" s="17" t="str">
        <f>IFERROR(__xludf.DUMMYFUNCTION("""COMPUTED_VALUE"""),"Saurabh Srivastava")</f>
        <v>Saurabh Srivastava</v>
      </c>
      <c r="C1239" s="17" t="str">
        <f>IFERROR(__xludf.DUMMYFUNCTION("""COMPUTED_VALUE"""),"Sr. Vice President and Head of Product")</f>
        <v>Sr. Vice President and Head of Product</v>
      </c>
      <c r="D1239" s="27" t="str">
        <f>IFERROR(__xludf.DUMMYFUNCTION("""COMPUTED_VALUE"""),"https://www.linkedin.com/in/saurabh514/?originalSubdomain=in")</f>
        <v>https://www.linkedin.com/in/saurabh514/?originalSubdomain=in</v>
      </c>
      <c r="E1239" s="17" t="str">
        <f>IFERROR(__xludf.DUMMYFUNCTION("""COMPUTED_VALUE"""),"9910977255")</f>
        <v>9910977255</v>
      </c>
      <c r="F1239" s="17" t="str">
        <f>IFERROR(__xludf.DUMMYFUNCTION("""COMPUTED_VALUE"""),"saurabhitbhu2k@gmail.com")</f>
        <v>saurabhitbhu2k@gmail.com</v>
      </c>
      <c r="G1239" s="17" t="str">
        <f>IFERROR(__xludf.DUMMYFUNCTION("""COMPUTED_VALUE"""),"saurabh.srivastava@makemytrip.com")</f>
        <v>saurabh.srivastava@makemytrip.com</v>
      </c>
      <c r="H1239" s="17"/>
    </row>
    <row r="1240">
      <c r="A1240" s="17" t="str">
        <f>IFERROR(__xludf.DUMMYFUNCTION("""COMPUTED_VALUE"""),"Swiggy")</f>
        <v>Swiggy</v>
      </c>
      <c r="B1240" s="17" t="str">
        <f>IFERROR(__xludf.DUMMYFUNCTION("""COMPUTED_VALUE"""),"Sudhir Mani")</f>
        <v>Sudhir Mani</v>
      </c>
      <c r="C1240" s="17" t="str">
        <f>IFERROR(__xludf.DUMMYFUNCTION("""COMPUTED_VALUE"""),"Director of Product Management")</f>
        <v>Director of Product Management</v>
      </c>
      <c r="D1240" s="27" t="str">
        <f>IFERROR(__xludf.DUMMYFUNCTION("""COMPUTED_VALUE"""),"https://www.linkedin.com/in/sudhirsmani/?originalSubdomain=in")</f>
        <v>https://www.linkedin.com/in/sudhirsmani/?originalSubdomain=in</v>
      </c>
      <c r="E1240" s="17"/>
      <c r="F1240" s="17" t="str">
        <f>IFERROR(__xludf.DUMMYFUNCTION("""COMPUTED_VALUE"""),"sudhirsmani@gmail.com")</f>
        <v>sudhirsmani@gmail.com</v>
      </c>
      <c r="G1240" s="17" t="str">
        <f>IFERROR(__xludf.DUMMYFUNCTION("""COMPUTED_VALUE"""),"sudhir.mani@swiggy.in")</f>
        <v>sudhir.mani@swiggy.in</v>
      </c>
      <c r="H1240" s="17"/>
    </row>
    <row r="1241">
      <c r="A1241" s="17" t="str">
        <f>IFERROR(__xludf.DUMMYFUNCTION("""COMPUTED_VALUE"""),"Zomato")</f>
        <v>Zomato</v>
      </c>
      <c r="B1241" s="17" t="str">
        <f>IFERROR(__xludf.DUMMYFUNCTION("""COMPUTED_VALUE"""),"Aditya Mangla")</f>
        <v>Aditya Mangla</v>
      </c>
      <c r="C1241" s="17" t="str">
        <f>IFERROR(__xludf.DUMMYFUNCTION("""COMPUTED_VALUE"""),"CEO - Food Delivery")</f>
        <v>CEO - Food Delivery</v>
      </c>
      <c r="D1241" s="27" t="str">
        <f>IFERROR(__xludf.DUMMYFUNCTION("""COMPUTED_VALUE"""),"https://www.linkedin.com/in/mangla/?originalSubdomain=in")</f>
        <v>https://www.linkedin.com/in/mangla/?originalSubdomain=in</v>
      </c>
      <c r="E1241" s="17" t="str">
        <f>IFERROR(__xludf.DUMMYFUNCTION("""COMPUTED_VALUE"""),"9871180123")</f>
        <v>9871180123</v>
      </c>
      <c r="F1241" s="17" t="str">
        <f>IFERROR(__xludf.DUMMYFUNCTION("""COMPUTED_VALUE"""),"adinsit@gmail.com")</f>
        <v>adinsit@gmail.com</v>
      </c>
      <c r="G1241" s="17" t="str">
        <f>IFERROR(__xludf.DUMMYFUNCTION("""COMPUTED_VALUE"""),"aditya.mangla@zomato.com")</f>
        <v>aditya.mangla@zomato.com</v>
      </c>
      <c r="H1241" s="17"/>
    </row>
    <row r="1242">
      <c r="A1242" s="17" t="str">
        <f>IFERROR(__xludf.DUMMYFUNCTION("""COMPUTED_VALUE"""),"Navi Technologies")</f>
        <v>Navi Technologies</v>
      </c>
      <c r="B1242" s="17" t="str">
        <f>IFERROR(__xludf.DUMMYFUNCTION("""COMPUTED_VALUE"""),"Vaibhav Rustogi")</f>
        <v>Vaibhav Rustogi</v>
      </c>
      <c r="C1242" s="17" t="str">
        <f>IFERROR(__xludf.DUMMYFUNCTION("""COMPUTED_VALUE"""),"Head of Product")</f>
        <v>Head of Product</v>
      </c>
      <c r="D1242" s="27" t="str">
        <f>IFERROR(__xludf.DUMMYFUNCTION("""COMPUTED_VALUE"""),"https://www.linkedin.com/in/vaibhavrustogi/?originalSubdomain=in")</f>
        <v>https://www.linkedin.com/in/vaibhavrustogi/?originalSubdomain=in</v>
      </c>
      <c r="E1242" s="17"/>
      <c r="F1242" s="17" t="str">
        <f>IFERROR(__xludf.DUMMYFUNCTION("""COMPUTED_VALUE"""),"vaibhav.rustogi@navi.com")</f>
        <v>vaibhav.rustogi@navi.com</v>
      </c>
      <c r="G1242" s="17" t="str">
        <f>IFERROR(__xludf.DUMMYFUNCTION("""COMPUTED_VALUE"""),"vaibhavrustogi@gmail.com")</f>
        <v>vaibhavrustogi@gmail.com</v>
      </c>
      <c r="H1242" s="17"/>
    </row>
    <row r="1243">
      <c r="A1243" s="17" t="str">
        <f>IFERROR(__xludf.DUMMYFUNCTION("""COMPUTED_VALUE"""),"Tata Neu")</f>
        <v>Tata Neu</v>
      </c>
      <c r="B1243" s="17" t="str">
        <f>IFERROR(__xludf.DUMMYFUNCTION("""COMPUTED_VALUE"""),"Ankit Goyal")</f>
        <v>Ankit Goyal</v>
      </c>
      <c r="C1243" s="17" t="str">
        <f>IFERROR(__xludf.DUMMYFUNCTION("""COMPUTED_VALUE"""),"Head of Product")</f>
        <v>Head of Product</v>
      </c>
      <c r="D1243" s="27" t="str">
        <f>IFERROR(__xludf.DUMMYFUNCTION("""COMPUTED_VALUE"""),"https://www.linkedin.com/in/ankitgoyalnitie/?originalSubdomain=in")</f>
        <v>https://www.linkedin.com/in/ankitgoyalnitie/?originalSubdomain=in</v>
      </c>
      <c r="E1243" s="17" t="str">
        <f>IFERROR(__xludf.DUMMYFUNCTION("""COMPUTED_VALUE"""),"919718956878")</f>
        <v>919718956878</v>
      </c>
      <c r="F1243" s="17" t="str">
        <f>IFERROR(__xludf.DUMMYFUNCTION("""COMPUTED_VALUE"""),"ankitgoyalnitkkr@gmail.com")</f>
        <v>ankitgoyalnitkkr@gmail.com</v>
      </c>
      <c r="G1243" s="17" t="str">
        <f>IFERROR(__xludf.DUMMYFUNCTION("""COMPUTED_VALUE"""),"ankitgoyalnitie@gmail.com")</f>
        <v>ankitgoyalnitie@gmail.com</v>
      </c>
      <c r="H1243" s="17"/>
    </row>
    <row r="1244">
      <c r="A1244" s="17" t="str">
        <f>IFERROR(__xludf.DUMMYFUNCTION("""COMPUTED_VALUE"""),"BigBasket")</f>
        <v>BigBasket</v>
      </c>
      <c r="B1244" s="17" t="str">
        <f>IFERROR(__xludf.DUMMYFUNCTION("""COMPUTED_VALUE"""),"Rohil Ahmed")</f>
        <v>Rohil Ahmed</v>
      </c>
      <c r="C1244" s="17" t="str">
        <f>IFERROR(__xludf.DUMMYFUNCTION("""COMPUTED_VALUE"""),"Head – CS Product &amp; Technology")</f>
        <v>Head – CS Product &amp; Technology</v>
      </c>
      <c r="D1244" s="27" t="str">
        <f>IFERROR(__xludf.DUMMYFUNCTION("""COMPUTED_VALUE"""),"https://www.linkedin.com/in/rohil-ahmed/?originalSubdomain=in")</f>
        <v>https://www.linkedin.com/in/rohil-ahmed/?originalSubdomain=in</v>
      </c>
      <c r="E1244" s="17"/>
      <c r="F1244" s="17" t="str">
        <f>IFERROR(__xludf.DUMMYFUNCTION("""COMPUTED_VALUE"""),"rohil@bigbasket.com")</f>
        <v>rohil@bigbasket.com</v>
      </c>
      <c r="G1244" s="17"/>
      <c r="H1244" s="17"/>
    </row>
    <row r="1245">
      <c r="A1245" s="17" t="str">
        <f>IFERROR(__xludf.DUMMYFUNCTION("""COMPUTED_VALUE"""),"OLX India")</f>
        <v>OLX India</v>
      </c>
      <c r="B1245" s="17" t="str">
        <f>IFERROR(__xludf.DUMMYFUNCTION("""COMPUTED_VALUE"""),"Gunjan Kumar")</f>
        <v>Gunjan Kumar</v>
      </c>
      <c r="C1245" s="17" t="str">
        <f>IFERROR(__xludf.DUMMYFUNCTION("""COMPUTED_VALUE"""),"Chief Product Officer")</f>
        <v>Chief Product Officer</v>
      </c>
      <c r="D1245" s="27" t="str">
        <f>IFERROR(__xludf.DUMMYFUNCTION("""COMPUTED_VALUE"""),"https://www.linkedin.com/in/gunjan-kumar-56936450/?originalSubdomain=in")</f>
        <v>https://www.linkedin.com/in/gunjan-kumar-56936450/?originalSubdomain=in</v>
      </c>
      <c r="E1245" s="17"/>
      <c r="F1245" s="17" t="str">
        <f>IFERROR(__xludf.DUMMYFUNCTION("""COMPUTED_VALUE"""),"gunjan.kumar@olx.in")</f>
        <v>gunjan.kumar@olx.in</v>
      </c>
      <c r="G1245" s="17" t="str">
        <f>IFERROR(__xludf.DUMMYFUNCTION("""COMPUTED_VALUE"""),"gunjanthere@gmail.com")</f>
        <v>gunjanthere@gmail.com</v>
      </c>
      <c r="H1245" s="17"/>
    </row>
    <row r="1246">
      <c r="A1246" s="17" t="str">
        <f>IFERROR(__xludf.DUMMYFUNCTION("""COMPUTED_VALUE"""),"Pine Labs")</f>
        <v>Pine Labs</v>
      </c>
      <c r="B1246" s="17" t="str">
        <f>IFERROR(__xludf.DUMMYFUNCTION("""COMPUTED_VALUE"""),"Vijeth Pandit")</f>
        <v>Vijeth Pandit</v>
      </c>
      <c r="C1246" s="17" t="str">
        <f>IFERROR(__xludf.DUMMYFUNCTION("""COMPUTED_VALUE"""),"CPO")</f>
        <v>CPO</v>
      </c>
      <c r="D1246" s="27" t="str">
        <f>IFERROR(__xludf.DUMMYFUNCTION("""COMPUTED_VALUE"""),"https://www.linkedin.com/in/vijeth-pandit-71544516/?originalSubdomain=in")</f>
        <v>https://www.linkedin.com/in/vijeth-pandit-71544516/?originalSubdomain=in</v>
      </c>
      <c r="E1246" s="17"/>
      <c r="F1246" s="17" t="str">
        <f>IFERROR(__xludf.DUMMYFUNCTION("""COMPUTED_VALUE"""),"vijeth.p13@fms.edu")</f>
        <v>vijeth.p13@fms.edu</v>
      </c>
      <c r="G1246" s="17"/>
      <c r="H1246" s="17"/>
    </row>
    <row r="1247">
      <c r="A1247" s="17" t="str">
        <f>IFERROR(__xludf.DUMMYFUNCTION("""COMPUTED_VALUE"""),"PhonePe")</f>
        <v>PhonePe</v>
      </c>
      <c r="B1247" s="17" t="str">
        <f>IFERROR(__xludf.DUMMYFUNCTION("""COMPUTED_VALUE"""),"Nidhi Gupta")</f>
        <v>Nidhi Gupta</v>
      </c>
      <c r="C1247" s="17" t="str">
        <f>IFERROR(__xludf.DUMMYFUNCTION("""COMPUTED_VALUE"""),"Head of Product")</f>
        <v>Head of Product</v>
      </c>
      <c r="D1247" s="27" t="str">
        <f>IFERROR(__xludf.DUMMYFUNCTION("""COMPUTED_VALUE"""),"https://www.linkedin.com/in/nidhigupta02/?originalSubdomain=in")</f>
        <v>https://www.linkedin.com/in/nidhigupta02/?originalSubdomain=in</v>
      </c>
      <c r="E1247" s="17"/>
      <c r="F1247" s="17" t="str">
        <f>IFERROR(__xludf.DUMMYFUNCTION("""COMPUTED_VALUE"""),"nidhi.gupta@phonepe.com")</f>
        <v>nidhi.gupta@phonepe.com</v>
      </c>
      <c r="G1247" s="17" t="str">
        <f>IFERROR(__xludf.DUMMYFUNCTION("""COMPUTED_VALUE"""),"nidhi.gupta@acko.com")</f>
        <v>nidhi.gupta@acko.com</v>
      </c>
      <c r="H1247" s="17" t="str">
        <f>IFERROR(__xludf.DUMMYFUNCTION("""COMPUTED_VALUE"""),"tonidhi_gupta@yahoo.co.in")</f>
        <v>tonidhi_gupta@yahoo.co.in</v>
      </c>
    </row>
    <row r="1248">
      <c r="A1248" s="17" t="str">
        <f>IFERROR(__xludf.DUMMYFUNCTION("""COMPUTED_VALUE"""),"Bajaj Finserv Digital")</f>
        <v>Bajaj Finserv Digital</v>
      </c>
      <c r="B1248" s="17" t="str">
        <f>IFERROR(__xludf.DUMMYFUNCTION("""COMPUTED_VALUE"""),"Deepak Phadke")</f>
        <v>Deepak Phadke</v>
      </c>
      <c r="C1248" s="17" t="str">
        <f>IFERROR(__xludf.DUMMYFUNCTION("""COMPUTED_VALUE"""),"Head - Digital Products")</f>
        <v>Head - Digital Products</v>
      </c>
      <c r="D1248" s="27" t="str">
        <f>IFERROR(__xludf.DUMMYFUNCTION("""COMPUTED_VALUE"""),"https://www.linkedin.com/in/deepak-phadke-85401830/?originalSubdomain=in")</f>
        <v>https://www.linkedin.com/in/deepak-phadke-85401830/?originalSubdomain=in</v>
      </c>
      <c r="E1248" s="17"/>
      <c r="F1248" s="17" t="str">
        <f>IFERROR(__xludf.DUMMYFUNCTION("""COMPUTED_VALUE"""),"deepak.phadke@bajajbroking.in")</f>
        <v>deepak.phadke@bajajbroking.in</v>
      </c>
      <c r="G1248" s="17" t="str">
        <f>IFERROR(__xludf.DUMMYFUNCTION("""COMPUTED_VALUE"""),"jalanakshay22@gmail.com")</f>
        <v>jalanakshay22@gmail.com</v>
      </c>
      <c r="H1248" s="17"/>
    </row>
    <row r="1249">
      <c r="A1249" s="17" t="str">
        <f>IFERROR(__xludf.DUMMYFUNCTION("""COMPUTED_VALUE"""),"ETMoney")</f>
        <v>ETMoney</v>
      </c>
      <c r="B1249" s="17" t="str">
        <f>IFERROR(__xludf.DUMMYFUNCTION("""COMPUTED_VALUE"""),"Suyash Peshkar")</f>
        <v>Suyash Peshkar</v>
      </c>
      <c r="C1249" s="17" t="str">
        <f>IFERROR(__xludf.DUMMYFUNCTION("""COMPUTED_VALUE"""),"Product Head")</f>
        <v>Product Head</v>
      </c>
      <c r="D1249" s="27" t="str">
        <f>IFERROR(__xludf.DUMMYFUNCTION("""COMPUTED_VALUE"""),"https://www.linkedin.com/in/suyash-peshkar-95517519/?originalSubdomain=in")</f>
        <v>https://www.linkedin.com/in/suyash-peshkar-95517519/?originalSubdomain=in</v>
      </c>
      <c r="E1249" s="17"/>
      <c r="F1249" s="17" t="str">
        <f>IFERROR(__xludf.DUMMYFUNCTION("""COMPUTED_VALUE"""),"suyash.peshkar@etmoney.com")</f>
        <v>suyash.peshkar@etmoney.com</v>
      </c>
      <c r="G1249" s="17" t="str">
        <f>IFERROR(__xludf.DUMMYFUNCTION("""COMPUTED_VALUE"""),"suyash.sp.26@gmail.com")</f>
        <v>suyash.sp.26@gmail.com</v>
      </c>
      <c r="H1249" s="17"/>
    </row>
    <row r="1250">
      <c r="A1250" s="17" t="str">
        <f>IFERROR(__xludf.DUMMYFUNCTION("""COMPUTED_VALUE"""),"Khatabook")</f>
        <v>Khatabook</v>
      </c>
      <c r="B1250" s="17" t="str">
        <f>IFERROR(__xludf.DUMMYFUNCTION("""COMPUTED_VALUE"""),"Gaurav Shahlot")</f>
        <v>Gaurav Shahlot</v>
      </c>
      <c r="C1250" s="17" t="str">
        <f>IFERROR(__xludf.DUMMYFUNCTION("""COMPUTED_VALUE"""),"Hiring Dir &amp; VP of Product")</f>
        <v>Hiring Dir &amp; VP of Product</v>
      </c>
      <c r="D1250" s="27" t="str">
        <f>IFERROR(__xludf.DUMMYFUNCTION("""COMPUTED_VALUE"""),"https://www.linkedin.com/in/gauravshahlot/?originalSubdomain=in")</f>
        <v>https://www.linkedin.com/in/gauravshahlot/?originalSubdomain=in</v>
      </c>
      <c r="E1250" s="17"/>
      <c r="F1250" s="17" t="str">
        <f>IFERROR(__xludf.DUMMYFUNCTION("""COMPUTED_VALUE"""),"gauravs@khatabook.com")</f>
        <v>gauravs@khatabook.com</v>
      </c>
      <c r="G1250" s="17" t="str">
        <f>IFERROR(__xludf.DUMMYFUNCTION("""COMPUTED_VALUE"""),"gaurav.shahlot@gmail.com")</f>
        <v>gaurav.shahlot@gmail.com</v>
      </c>
      <c r="H1250" s="17"/>
    </row>
    <row r="1251">
      <c r="A1251" s="17" t="str">
        <f>IFERROR(__xludf.DUMMYFUNCTION("""COMPUTED_VALUE"""),"Turtlemint")</f>
        <v>Turtlemint</v>
      </c>
      <c r="B1251" s="17" t="str">
        <f>IFERROR(__xludf.DUMMYFUNCTION("""COMPUTED_VALUE"""),"Piyush Thakker")</f>
        <v>Piyush Thakker</v>
      </c>
      <c r="C1251" s="17" t="str">
        <f>IFERROR(__xludf.DUMMYFUNCTION("""COMPUTED_VALUE"""),"VP, Product")</f>
        <v>VP, Product</v>
      </c>
      <c r="D1251" s="27" t="str">
        <f>IFERROR(__xludf.DUMMYFUNCTION("""COMPUTED_VALUE"""),"https://www.linkedin.com/in/piyushthakker/?originalSubdomain=in")</f>
        <v>https://www.linkedin.com/in/piyushthakker/?originalSubdomain=in</v>
      </c>
      <c r="E1251" s="17"/>
      <c r="F1251" s="17" t="str">
        <f>IFERROR(__xludf.DUMMYFUNCTION("""COMPUTED_VALUE"""),"piyush.thakker@turtlemint.com")</f>
        <v>piyush.thakker@turtlemint.com</v>
      </c>
      <c r="G1251" s="17" t="str">
        <f>IFERROR(__xludf.DUMMYFUNCTION("""COMPUTED_VALUE"""),"piyushthakker@gmail.com")</f>
        <v>piyushthakker@gmail.com</v>
      </c>
      <c r="H1251" s="17"/>
    </row>
    <row r="1252">
      <c r="A1252" s="17" t="str">
        <f>IFERROR(__xludf.DUMMYFUNCTION("""COMPUTED_VALUE"""),"Muvin")</f>
        <v>Muvin</v>
      </c>
      <c r="B1252" s="17" t="str">
        <f>IFERROR(__xludf.DUMMYFUNCTION("""COMPUTED_VALUE"""),"Ashu Singhal")</f>
        <v>Ashu Singhal</v>
      </c>
      <c r="C1252" s="17" t="str">
        <f>IFERROR(__xludf.DUMMYFUNCTION("""COMPUTED_VALUE"""),"CPTO")</f>
        <v>CPTO</v>
      </c>
      <c r="D1252" s="27" t="str">
        <f>IFERROR(__xludf.DUMMYFUNCTION("""COMPUTED_VALUE"""),"https://www.linkedin.com/in/singhalashu/?originalSubdomain=de")</f>
        <v>https://www.linkedin.com/in/singhalashu/?originalSubdomain=de</v>
      </c>
      <c r="E1252" s="17"/>
      <c r="F1252" s="17" t="str">
        <f>IFERROR(__xludf.DUMMYFUNCTION("""COMPUTED_VALUE"""),"ashu.singhal@free-now.com")</f>
        <v>ashu.singhal@free-now.com</v>
      </c>
      <c r="G1252" s="17" t="str">
        <f>IFERROR(__xludf.DUMMYFUNCTION("""COMPUTED_VALUE"""),"ashu.singhal@gmail.com")</f>
        <v>ashu.singhal@gmail.com</v>
      </c>
      <c r="H1252" s="17"/>
    </row>
    <row r="1253">
      <c r="A1253" s="17" t="str">
        <f>IFERROR(__xludf.DUMMYFUNCTION("""COMPUTED_VALUE"""),"Slice")</f>
        <v>Slice</v>
      </c>
      <c r="B1253" s="17" t="str">
        <f>IFERROR(__xludf.DUMMYFUNCTION("""COMPUTED_VALUE"""),"Arthur Silveira")</f>
        <v>Arthur Silveira</v>
      </c>
      <c r="C1253" s="17" t="str">
        <f>IFERROR(__xludf.DUMMYFUNCTION("""COMPUTED_VALUE"""),"Chief Product Officer")</f>
        <v>Chief Product Officer</v>
      </c>
      <c r="D1253" s="27" t="str">
        <f>IFERROR(__xludf.DUMMYFUNCTION("""COMPUTED_VALUE"""),"https://www.linkedin.com/in/arthur-silveira-71a34052/?originalSubdomain=br")</f>
        <v>https://www.linkedin.com/in/arthur-silveira-71a34052/?originalSubdomain=br</v>
      </c>
      <c r="E1253" s="17"/>
      <c r="F1253" s="17" t="str">
        <f>IFERROR(__xludf.DUMMYFUNCTION("""COMPUTED_VALUE"""),"arthur@slice.global")</f>
        <v>arthur@slice.global</v>
      </c>
      <c r="G1253" s="17" t="str">
        <f>IFERROR(__xludf.DUMMYFUNCTION("""COMPUTED_VALUE"""),"arthur@hy.com.br")</f>
        <v>arthur@hy.com.br</v>
      </c>
      <c r="H1253" s="17"/>
    </row>
    <row r="1254">
      <c r="A1254" s="17" t="str">
        <f>IFERROR(__xludf.DUMMYFUNCTION("""COMPUTED_VALUE"""),"Chargebee")</f>
        <v>Chargebee</v>
      </c>
      <c r="B1254" s="17" t="str">
        <f>IFERROR(__xludf.DUMMYFUNCTION("""COMPUTED_VALUE"""),"Kishore Konakanchi")</f>
        <v>Kishore Konakanchi</v>
      </c>
      <c r="C1254" s="17" t="str">
        <f>IFERROR(__xludf.DUMMYFUNCTION("""COMPUTED_VALUE"""),"Chief Product Officer")</f>
        <v>Chief Product Officer</v>
      </c>
      <c r="D1254" s="27" t="str">
        <f>IFERROR(__xludf.DUMMYFUNCTION("""COMPUTED_VALUE"""),"https://www.linkedin.com/in/kishorekonakanchi/")</f>
        <v>https://www.linkedin.com/in/kishorekonakanchi/</v>
      </c>
      <c r="E1254" s="17"/>
      <c r="F1254" s="17" t="str">
        <f>IFERROR(__xludf.DUMMYFUNCTION("""COMPUTED_VALUE"""),"kishore@thekindkart.org")</f>
        <v>kishore@thekindkart.org</v>
      </c>
      <c r="G1254" s="17" t="str">
        <f>IFERROR(__xludf.DUMMYFUNCTION("""COMPUTED_VALUE"""),"kishore.konakanchi@chargebee.com")</f>
        <v>kishore.konakanchi@chargebee.com</v>
      </c>
      <c r="H1254" s="17" t="str">
        <f>IFERROR(__xludf.DUMMYFUNCTION("""COMPUTED_VALUE"""),"krishna.kishore@gmail.com")</f>
        <v>krishna.kishore@gmail.com</v>
      </c>
    </row>
    <row r="1255">
      <c r="A1255" s="17" t="str">
        <f>IFERROR(__xludf.DUMMYFUNCTION("""COMPUTED_VALUE"""),"Tally Solutions")</f>
        <v>Tally Solutions</v>
      </c>
      <c r="B1255" s="17" t="str">
        <f>IFERROR(__xludf.DUMMYFUNCTION("""COMPUTED_VALUE"""),"Nabendu Das")</f>
        <v>Nabendu Das</v>
      </c>
      <c r="C1255" s="17" t="str">
        <f>IFERROR(__xludf.DUMMYFUNCTION("""COMPUTED_VALUE"""),"Chief of Engineering and Products")</f>
        <v>Chief of Engineering and Products</v>
      </c>
      <c r="D1255" s="27" t="str">
        <f>IFERROR(__xludf.DUMMYFUNCTION("""COMPUTED_VALUE"""),"https://www.linkedin.com/in/nabendudas/?originalSubdomain=in")</f>
        <v>https://www.linkedin.com/in/nabendudas/?originalSubdomain=in</v>
      </c>
      <c r="E1255" s="17"/>
      <c r="F1255" s="17" t="str">
        <f>IFERROR(__xludf.DUMMYFUNCTION("""COMPUTED_VALUE"""),"nabendu.das@tallysolutions.com")</f>
        <v>nabendu.das@tallysolutions.com</v>
      </c>
      <c r="G1255" s="17" t="str">
        <f>IFERROR(__xludf.DUMMYFUNCTION("""COMPUTED_VALUE"""),"nabendu_das@yahoo.com")</f>
        <v>nabendu_das@yahoo.com</v>
      </c>
      <c r="H1255" s="17"/>
    </row>
    <row r="1256">
      <c r="A1256" s="17" t="str">
        <f>IFERROR(__xludf.DUMMYFUNCTION("""COMPUTED_VALUE"""),"Netflix, Rippling")</f>
        <v>Netflix, Rippling</v>
      </c>
      <c r="B1256" s="17" t="str">
        <f>IFERROR(__xludf.DUMMYFUNCTION("""COMPUTED_VALUE"""),"Eisar Lipkovitz")</f>
        <v>Eisar Lipkovitz</v>
      </c>
      <c r="C1256" s="17" t="str">
        <f>IFERROR(__xludf.DUMMYFUNCTION("""COMPUTED_VALUE"""),"Vice President, Advertising Engineering, CPO")</f>
        <v>Vice President, Advertising Engineering, CPO</v>
      </c>
      <c r="D1256" s="27" t="str">
        <f>IFERROR(__xludf.DUMMYFUNCTION("""COMPUTED_VALUE"""),"https://www.linkedin.com/in/eisar/")</f>
        <v>https://www.linkedin.com/in/eisar/</v>
      </c>
      <c r="E1256" s="17"/>
      <c r="F1256" s="17" t="str">
        <f>IFERROR(__xludf.DUMMYFUNCTION("""COMPUTED_VALUE"""),"eisar@rippling.com")</f>
        <v>eisar@rippling.com</v>
      </c>
      <c r="G1256" s="17" t="str">
        <f>IFERROR(__xludf.DUMMYFUNCTION("""COMPUTED_VALUE"""),"eisar@rippling.com")</f>
        <v>eisar@rippling.com</v>
      </c>
      <c r="H1256" s="17"/>
    </row>
    <row r="1257">
      <c r="A1257" s="17" t="str">
        <f>IFERROR(__xludf.DUMMYFUNCTION("""COMPUTED_VALUE"""),"HighRadius")</f>
        <v>HighRadius</v>
      </c>
      <c r="B1257" s="17" t="str">
        <f>IFERROR(__xludf.DUMMYFUNCTION("""COMPUTED_VALUE"""),"Prasanna Boni")</f>
        <v>Prasanna Boni</v>
      </c>
      <c r="C1257" s="17" t="str">
        <f>IFERROR(__xludf.DUMMYFUNCTION("""COMPUTED_VALUE"""),"Chief Product Officer")</f>
        <v>Chief Product Officer</v>
      </c>
      <c r="D1257" s="27" t="str">
        <f>IFERROR(__xludf.DUMMYFUNCTION("""COMPUTED_VALUE"""),"https://www.linkedin.com/in/prasanna-boni-b4abb09/?originalSubdomain=in")</f>
        <v>https://www.linkedin.com/in/prasanna-boni-b4abb09/?originalSubdomain=in</v>
      </c>
      <c r="E1257" s="17"/>
      <c r="F1257" s="17" t="str">
        <f>IFERROR(__xludf.DUMMYFUNCTION("""COMPUTED_VALUE"""),"prasanna.boni@ignitorlearning.com")</f>
        <v>prasanna.boni@ignitorlearning.com</v>
      </c>
      <c r="G1257" s="17" t="str">
        <f>IFERROR(__xludf.DUMMYFUNCTION("""COMPUTED_VALUE"""),"boniyasu@gmail.com")</f>
        <v>boniyasu@gmail.com</v>
      </c>
      <c r="H1257" s="17"/>
    </row>
    <row r="1258">
      <c r="A1258" s="17" t="str">
        <f>IFERROR(__xludf.DUMMYFUNCTION("""COMPUTED_VALUE"""),"Airmeet")</f>
        <v>Airmeet</v>
      </c>
      <c r="B1258" s="17" t="str">
        <f>IFERROR(__xludf.DUMMYFUNCTION("""COMPUTED_VALUE"""),"Mr. Ashwani Jain")</f>
        <v>Mr. Ashwani Jain</v>
      </c>
      <c r="C1258" s="17" t="str">
        <f>IFERROR(__xludf.DUMMYFUNCTION("""COMPUTED_VALUE"""),"Chief Revenue Officer")</f>
        <v>Chief Revenue Officer</v>
      </c>
      <c r="D1258" s="27" t="str">
        <f>IFERROR(__xludf.DUMMYFUNCTION("""COMPUTED_VALUE"""),"https://www.linkedin.com/in/ashwani-jain/?originalSubdomain=ca")</f>
        <v>https://www.linkedin.com/in/ashwani-jain/?originalSubdomain=ca</v>
      </c>
      <c r="E1258" s="17" t="str">
        <f>IFERROR(__xludf.DUMMYFUNCTION("""COMPUTED_VALUE"""),"919916950113")</f>
        <v>919916950113</v>
      </c>
      <c r="F1258" s="17" t="str">
        <f>IFERROR(__xludf.DUMMYFUNCTION("""COMPUTED_VALUE"""),"ashwanijain84@gmail.com")</f>
        <v>ashwanijain84@gmail.com</v>
      </c>
      <c r="G1258" s="17" t="str">
        <f>IFERROR(__xludf.DUMMYFUNCTION("""COMPUTED_VALUE"""),"ashwani@airmeet.com")</f>
        <v>ashwani@airmeet.com</v>
      </c>
      <c r="H1258" s="17"/>
    </row>
    <row r="1259">
      <c r="A1259" s="17" t="str">
        <f>IFERROR(__xludf.DUMMYFUNCTION("""COMPUTED_VALUE"""),"Freshflows")</f>
        <v>Freshflows</v>
      </c>
      <c r="B1259" s="17" t="str">
        <f>IFERROR(__xludf.DUMMYFUNCTION("""COMPUTED_VALUE"""),"Bhanu Valluri")</f>
        <v>Bhanu Valluri</v>
      </c>
      <c r="C1259" s="17" t="str">
        <f>IFERROR(__xludf.DUMMYFUNCTION("""COMPUTED_VALUE"""),"Co-Founder &amp; Chief Product Officer")</f>
        <v>Co-Founder &amp; Chief Product Officer</v>
      </c>
      <c r="D1259" s="27" t="str">
        <f>IFERROR(__xludf.DUMMYFUNCTION("""COMPUTED_VALUE"""),"https://www.linkedin.com/in/bhanuvalluri/")</f>
        <v>https://www.linkedin.com/in/bhanuvalluri/</v>
      </c>
      <c r="E1259" s="17"/>
      <c r="F1259" s="17" t="str">
        <f>IFERROR(__xludf.DUMMYFUNCTION("""COMPUTED_VALUE"""),"bhanu@freshflows.io")</f>
        <v>bhanu@freshflows.io</v>
      </c>
      <c r="G1259" s="17" t="str">
        <f>IFERROR(__xludf.DUMMYFUNCTION("""COMPUTED_VALUE"""),"bhanu@auzmor.com")</f>
        <v>bhanu@auzmor.com</v>
      </c>
      <c r="H1259" s="17"/>
    </row>
    <row r="1260">
      <c r="A1260" s="17" t="str">
        <f>IFERROR(__xludf.DUMMYFUNCTION("""COMPUTED_VALUE"""),"SquadStack")</f>
        <v>SquadStack</v>
      </c>
      <c r="B1260" s="17" t="str">
        <f>IFERROR(__xludf.DUMMYFUNCTION("""COMPUTED_VALUE"""),"Kanika Jain")</f>
        <v>Kanika Jain</v>
      </c>
      <c r="C1260" s="17" t="str">
        <f>IFERROR(__xludf.DUMMYFUNCTION("""COMPUTED_VALUE"""),"CoFounder")</f>
        <v>CoFounder</v>
      </c>
      <c r="D1260" s="27" t="str">
        <f>IFERROR(__xludf.DUMMYFUNCTION("""COMPUTED_VALUE"""),"https://www.linkedin.com/in/kanika-jain-2121a373/")</f>
        <v>https://www.linkedin.com/in/kanika-jain-2121a373/</v>
      </c>
      <c r="E1260" s="17"/>
      <c r="F1260" s="17" t="str">
        <f>IFERROR(__xludf.DUMMYFUNCTION("""COMPUTED_VALUE"""),"jainkanika114@gmail.com")</f>
        <v>jainkanika114@gmail.com</v>
      </c>
      <c r="G1260" s="17"/>
      <c r="H1260" s="17"/>
    </row>
    <row r="1261">
      <c r="A1261" s="17" t="str">
        <f>IFERROR(__xludf.DUMMYFUNCTION("""COMPUTED_VALUE"""),"Qualcomm")</f>
        <v>Qualcomm</v>
      </c>
      <c r="B1261" s="17" t="str">
        <f>IFERROR(__xludf.DUMMYFUNCTION("""COMPUTED_VALUE"""),"Judd Heape")</f>
        <v>Judd Heape</v>
      </c>
      <c r="C1261" s="17" t="str">
        <f>IFERROR(__xludf.DUMMYFUNCTION("""COMPUTED_VALUE"""),"VP- PM")</f>
        <v>VP- PM</v>
      </c>
      <c r="D1261" s="27" t="str">
        <f>IFERROR(__xludf.DUMMYFUNCTION("""COMPUTED_VALUE"""),"https://www.linkedin.com/in/juddheape/")</f>
        <v>https://www.linkedin.com/in/juddheape/</v>
      </c>
      <c r="E1261" s="17"/>
      <c r="F1261" s="17" t="str">
        <f>IFERROR(__xludf.DUMMYFUNCTION("""COMPUTED_VALUE"""),"jheape@qti.qualcomm.com")</f>
        <v>jheape@qti.qualcomm.com</v>
      </c>
      <c r="G1261" s="17"/>
      <c r="H1261" s="17"/>
    </row>
    <row r="1262">
      <c r="A1262" s="17" t="str">
        <f>IFERROR(__xludf.DUMMYFUNCTION("""COMPUTED_VALUE"""),"NVIDIA")</f>
        <v>NVIDIA</v>
      </c>
      <c r="B1262" s="17" t="str">
        <f>IFERROR(__xludf.DUMMYFUNCTION("""COMPUTED_VALUE"""),"Murali Gopalakrishna")</f>
        <v>Murali Gopalakrishna</v>
      </c>
      <c r="C1262" s="17" t="str">
        <f>IFERROR(__xludf.DUMMYFUNCTION("""COMPUTED_VALUE"""),"Head of Product")</f>
        <v>Head of Product</v>
      </c>
      <c r="D1262" s="27" t="str">
        <f>IFERROR(__xludf.DUMMYFUNCTION("""COMPUTED_VALUE"""),"https://www.linkedin.com/in/muralimohang/")</f>
        <v>https://www.linkedin.com/in/muralimohang/</v>
      </c>
      <c r="E1262" s="17"/>
      <c r="F1262" s="17" t="str">
        <f>IFERROR(__xludf.DUMMYFUNCTION("""COMPUTED_VALUE"""),"muralimohang@gmail.com")</f>
        <v>muralimohang@gmail.com</v>
      </c>
      <c r="G1262" s="17" t="str">
        <f>IFERROR(__xludf.DUMMYFUNCTION("""COMPUTED_VALUE"""),"muralig@nvidia.com")</f>
        <v>muralig@nvidia.com</v>
      </c>
      <c r="H1262" s="17"/>
    </row>
    <row r="1263">
      <c r="A1263" s="17" t="str">
        <f>IFERROR(__xludf.DUMMYFUNCTION("""COMPUTED_VALUE"""),"AMD")</f>
        <v>AMD</v>
      </c>
      <c r="B1263" s="17" t="str">
        <f>IFERROR(__xludf.DUMMYFUNCTION("""COMPUTED_VALUE"""),"Rakesh Anigund")</f>
        <v>Rakesh Anigund</v>
      </c>
      <c r="C1263" s="17" t="str">
        <f>IFERROR(__xludf.DUMMYFUNCTION("""COMPUTED_VALUE"""),"Director of Product Management")</f>
        <v>Director of Product Management</v>
      </c>
      <c r="D1263" s="27" t="str">
        <f>IFERROR(__xludf.DUMMYFUNCTION("""COMPUTED_VALUE"""),"https://www.linkedin.com/in/rakesh-s-anig")</f>
        <v>https://www.linkedin.com/in/rakesh-s-anig</v>
      </c>
      <c r="E1263" s="17"/>
      <c r="F1263" s="17" t="str">
        <f>IFERROR(__xludf.DUMMYFUNCTION("""COMPUTED_VALUE"""),"rakeshanigundi@gmail.com")</f>
        <v>rakeshanigundi@gmail.com</v>
      </c>
      <c r="G1263" s="17"/>
      <c r="H1263" s="17"/>
    </row>
    <row r="1264">
      <c r="A1264" s="17" t="str">
        <f>IFERROR(__xludf.DUMMYFUNCTION("""COMPUTED_VALUE"""),"Schneider Electric")</f>
        <v>Schneider Electric</v>
      </c>
      <c r="B1264" s="17" t="str">
        <f>IFERROR(__xludf.DUMMYFUNCTION("""COMPUTED_VALUE"""),"Julien Picaud")</f>
        <v>Julien Picaud</v>
      </c>
      <c r="C1264" s="17" t="str">
        <f>IFERROR(__xludf.DUMMYFUNCTION("""COMPUTED_VALUE"""),"Head of Product Manager")</f>
        <v>Head of Product Manager</v>
      </c>
      <c r="D1264" s="27" t="str">
        <f>IFERROR(__xludf.DUMMYFUNCTION("""COMPUTED_VALUE"""),"https://www.linkedin.com/in/julienpicaud/")</f>
        <v>https://www.linkedin.com/in/julienpicaud/</v>
      </c>
      <c r="E1264" s="17"/>
      <c r="F1264" s="17" t="str">
        <f>IFERROR(__xludf.DUMMYFUNCTION("""COMPUTED_VALUE"""),"julienpicaud@gmail.com")</f>
        <v>julienpicaud@gmail.com</v>
      </c>
      <c r="G1264" s="17" t="str">
        <f>IFERROR(__xludf.DUMMYFUNCTION("""COMPUTED_VALUE"""),"jpicaud@sweep.net")</f>
        <v>jpicaud@sweep.net</v>
      </c>
      <c r="H1264" s="17"/>
    </row>
    <row r="1265">
      <c r="A1265" s="17" t="str">
        <f>IFERROR(__xludf.DUMMYFUNCTION("""COMPUTED_VALUE"""),"GE Healthcare")</f>
        <v>GE Healthcare</v>
      </c>
      <c r="B1265" s="17" t="str">
        <f>IFERROR(__xludf.DUMMYFUNCTION("""COMPUTED_VALUE"""),"Kevin D'souza")</f>
        <v>Kevin D'souza</v>
      </c>
      <c r="C1265" s="17" t="str">
        <f>IFERROR(__xludf.DUMMYFUNCTION("""COMPUTED_VALUE"""),"Sr Director, Product")</f>
        <v>Sr Director, Product</v>
      </c>
      <c r="D1265" s="27" t="str">
        <f>IFERROR(__xludf.DUMMYFUNCTION("""COMPUTED_VALUE"""),"https://www.linkedin.com/in/kevingdsouza/")</f>
        <v>https://www.linkedin.com/in/kevingdsouza/</v>
      </c>
      <c r="E1265" s="17"/>
      <c r="F1265" s="17" t="str">
        <f>IFERROR(__xludf.DUMMYFUNCTION("""COMPUTED_VALUE"""),"kevingdsouza@gmail.com")</f>
        <v>kevingdsouza@gmail.com</v>
      </c>
      <c r="G1265" s="17" t="str">
        <f>IFERROR(__xludf.DUMMYFUNCTION("""COMPUTED_VALUE"""),"kevin_dsouza_pgppro2021@isb.edu")</f>
        <v>kevin_dsouza_pgppro2021@isb.edu</v>
      </c>
      <c r="H1265" s="17"/>
    </row>
    <row r="1266">
      <c r="A1266" s="17" t="str">
        <f>IFERROR(__xludf.DUMMYFUNCTION("""COMPUTED_VALUE"""),"Honeywell")</f>
        <v>Honeywell</v>
      </c>
      <c r="B1266" s="17" t="str">
        <f>IFERROR(__xludf.DUMMYFUNCTION("""COMPUTED_VALUE"""),"Kevin Graebel")</f>
        <v>Kevin Graebel</v>
      </c>
      <c r="C1266" s="17" t="str">
        <f>IFERROR(__xludf.DUMMYFUNCTION("""COMPUTED_VALUE"""),"CPO")</f>
        <v>CPO</v>
      </c>
      <c r="D1266" s="27" t="str">
        <f>IFERROR(__xludf.DUMMYFUNCTION("""COMPUTED_VALUE"""),"https://www.linkedin.com/in/kevin-graebel/")</f>
        <v>https://www.linkedin.com/in/kevin-graebel/</v>
      </c>
      <c r="E1266" s="17"/>
      <c r="F1266" s="17" t="str">
        <f>IFERROR(__xludf.DUMMYFUNCTION("""COMPUTED_VALUE"""),"kgraebel@gmail.com")</f>
        <v>kgraebel@gmail.com</v>
      </c>
      <c r="G1266" s="17"/>
      <c r="H1266" s="17"/>
    </row>
    <row r="1267">
      <c r="A1267" s="17" t="str">
        <f>IFERROR(__xludf.DUMMYFUNCTION("""COMPUTED_VALUE"""),"OpenAI")</f>
        <v>OpenAI</v>
      </c>
      <c r="B1267" s="17" t="str">
        <f>IFERROR(__xludf.DUMMYFUNCTION("""COMPUTED_VALUE"""),"Kevin Weil")</f>
        <v>Kevin Weil</v>
      </c>
      <c r="C1267" s="17" t="str">
        <f>IFERROR(__xludf.DUMMYFUNCTION("""COMPUTED_VALUE"""),"VP")</f>
        <v>VP</v>
      </c>
      <c r="D1267" s="27" t="str">
        <f>IFERROR(__xludf.DUMMYFUNCTION("""COMPUTED_VALUE"""),"https://www.linkedin.com/in/kevinweil/")</f>
        <v>https://www.linkedin.com/in/kevinweil/</v>
      </c>
      <c r="E1267" s="17"/>
      <c r="F1267" s="17" t="str">
        <f>IFERROR(__xludf.DUMMYFUNCTION("""COMPUTED_VALUE"""),"kevinweil@gmail.com")</f>
        <v>kevinweil@gmail.com</v>
      </c>
      <c r="G1267" s="17"/>
      <c r="H1267" s="17"/>
    </row>
    <row r="1268">
      <c r="A1268" s="17" t="str">
        <f>IFERROR(__xludf.DUMMYFUNCTION("""COMPUTED_VALUE"""),"DeepMind")</f>
        <v>DeepMind</v>
      </c>
      <c r="B1268" s="17" t="str">
        <f>IFERROR(__xludf.DUMMYFUNCTION("""COMPUTED_VALUE"""),"Abhishek Bapna")</f>
        <v>Abhishek Bapna</v>
      </c>
      <c r="C1268" s="17" t="str">
        <f>IFERROR(__xludf.DUMMYFUNCTION("""COMPUTED_VALUE"""),"Sr. Director- Product")</f>
        <v>Sr. Director- Product</v>
      </c>
      <c r="D1268" s="27" t="str">
        <f>IFERROR(__xludf.DUMMYFUNCTION("""COMPUTED_VALUE"""),"https://www.linkedin.com/in/abhishek-bapna-529908/")</f>
        <v>https://www.linkedin.com/in/abhishek-bapna-529908/</v>
      </c>
      <c r="E1268" s="17"/>
      <c r="F1268" s="17" t="str">
        <f>IFERROR(__xludf.DUMMYFUNCTION("""COMPUTED_VALUE"""),"abapna@gmail.com")</f>
        <v>abapna@gmail.com</v>
      </c>
      <c r="G1268" s="17"/>
      <c r="H1268" s="17"/>
    </row>
    <row r="1269">
      <c r="A1269" s="17" t="str">
        <f>IFERROR(__xludf.DUMMYFUNCTION("""COMPUTED_VALUE"""),"HuggingFace")</f>
        <v>HuggingFace</v>
      </c>
      <c r="B1269" s="17" t="str">
        <f>IFERROR(__xludf.DUMMYFUNCTION("""COMPUTED_VALUE"""),"Jeff Boudier")</f>
        <v>Jeff Boudier</v>
      </c>
      <c r="C1269" s="17" t="str">
        <f>IFERROR(__xludf.DUMMYFUNCTION("""COMPUTED_VALUE"""),"Head of Product")</f>
        <v>Head of Product</v>
      </c>
      <c r="D1269" s="27" t="str">
        <f>IFERROR(__xludf.DUMMYFUNCTION("""COMPUTED_VALUE"""),"https://www.linkedin.com/in/jeffboudier/")</f>
        <v>https://www.linkedin.com/in/jeffboudier/</v>
      </c>
      <c r="E1269" s="17"/>
      <c r="F1269" s="17" t="str">
        <f>IFERROR(__xludf.DUMMYFUNCTION("""COMPUTED_VALUE"""),"jfboudier@gmail.com")</f>
        <v>jfboudier@gmail.com</v>
      </c>
      <c r="G1269" s="17" t="str">
        <f>IFERROR(__xludf.DUMMYFUNCTION("""COMPUTED_VALUE"""),"jeff@huggingface.co")</f>
        <v>jeff@huggingface.co</v>
      </c>
      <c r="H1269" s="17"/>
    </row>
    <row r="1270">
      <c r="A1270" s="17" t="str">
        <f>IFERROR(__xludf.DUMMYFUNCTION("""COMPUTED_VALUE"""),"Scale AI")</f>
        <v>Scale AI</v>
      </c>
      <c r="B1270" s="17" t="str">
        <f>IFERROR(__xludf.DUMMYFUNCTION("""COMPUTED_VALUE"""),"Arunesh Gupta")</f>
        <v>Arunesh Gupta</v>
      </c>
      <c r="C1270" s="17" t="str">
        <f>IFERROR(__xludf.DUMMYFUNCTION("""COMPUTED_VALUE"""),"AI Product Leader")</f>
        <v>AI Product Leader</v>
      </c>
      <c r="D1270" s="27" t="str">
        <f>IFERROR(__xludf.DUMMYFUNCTION("""COMPUTED_VALUE"""),"https://www.linkedin.com/in/mickgupta/")</f>
        <v>https://www.linkedin.com/in/mickgupta/</v>
      </c>
      <c r="E1270" s="17"/>
      <c r="F1270" s="17" t="str">
        <f>IFERROR(__xludf.DUMMYFUNCTION("""COMPUTED_VALUE"""),"mickgupta@gmail.com")</f>
        <v>mickgupta@gmail.com</v>
      </c>
      <c r="G1270" s="17" t="str">
        <f>IFERROR(__xludf.DUMMYFUNCTION("""COMPUTED_VALUE"""),"agupta@brex.com")</f>
        <v>agupta@brex.com</v>
      </c>
      <c r="H1270" s="17"/>
    </row>
    <row r="1271">
      <c r="A1271" s="17" t="str">
        <f>IFERROR(__xludf.DUMMYFUNCTION("""COMPUTED_VALUE"""),"Stability AI")</f>
        <v>Stability AI</v>
      </c>
      <c r="B1271" s="17" t="str">
        <f>IFERROR(__xludf.DUMMYFUNCTION("""COMPUTED_VALUE"""),"Ryan Ellis")</f>
        <v>Ryan Ellis</v>
      </c>
      <c r="C1271" s="17" t="str">
        <f>IFERROR(__xludf.DUMMYFUNCTION("""COMPUTED_VALUE"""),"SVP, Head of Product")</f>
        <v>SVP, Head of Product</v>
      </c>
      <c r="D1271" s="27" t="str">
        <f>IFERROR(__xludf.DUMMYFUNCTION("""COMPUTED_VALUE"""),"https://www.linkedin.com/in/ryanpellis/")</f>
        <v>https://www.linkedin.com/in/ryanpellis/</v>
      </c>
      <c r="E1271" s="17"/>
      <c r="F1271" s="17" t="str">
        <f>IFERROR(__xludf.DUMMYFUNCTION("""COMPUTED_VALUE"""),"ryanpellis@gmail.com")</f>
        <v>ryanpellis@gmail.com</v>
      </c>
      <c r="G1271" s="17"/>
      <c r="H1271" s="17"/>
    </row>
    <row r="1272">
      <c r="A1272" s="17" t="str">
        <f>IFERROR(__xludf.DUMMYFUNCTION("""COMPUTED_VALUE"""),"Kajabi")</f>
        <v>Kajabi</v>
      </c>
      <c r="B1272" s="17" t="str">
        <f>IFERROR(__xludf.DUMMYFUNCTION("""COMPUTED_VALUE"""),"Tabish Gilani")</f>
        <v>Tabish Gilani</v>
      </c>
      <c r="C1272" s="17" t="str">
        <f>IFERROR(__xludf.DUMMYFUNCTION("""COMPUTED_VALUE"""),"Head of Product, ex-Replit")</f>
        <v>Head of Product, ex-Replit</v>
      </c>
      <c r="D1272" s="27" t="str">
        <f>IFERROR(__xludf.DUMMYFUNCTION("""COMPUTED_VALUE"""),"https://www.linkedin.com/in/tabishgilani/")</f>
        <v>https://www.linkedin.com/in/tabishgilani/</v>
      </c>
      <c r="E1272" s="17"/>
      <c r="F1272" s="17" t="str">
        <f>IFERROR(__xludf.DUMMYFUNCTION("""COMPUTED_VALUE"""),"tabish.ag@gmail.com")</f>
        <v>tabish.ag@gmail.com</v>
      </c>
      <c r="G1272" s="17" t="str">
        <f>IFERROR(__xludf.DUMMYFUNCTION("""COMPUTED_VALUE"""),"tabish_gilani@hotmail.com")</f>
        <v>tabish_gilani@hotmail.com</v>
      </c>
      <c r="H1272" s="17"/>
    </row>
    <row r="1273">
      <c r="A1273" s="17" t="str">
        <f>IFERROR(__xludf.DUMMYFUNCTION("""COMPUTED_VALUE"""),"DigitalOcean")</f>
        <v>DigitalOcean</v>
      </c>
      <c r="B1273" s="17" t="str">
        <f>IFERROR(__xludf.DUMMYFUNCTION("""COMPUTED_VALUE"""),"Ankita Bhosle")</f>
        <v>Ankita Bhosle</v>
      </c>
      <c r="C1273" s="17" t="str">
        <f>IFERROR(__xludf.DUMMYFUNCTION("""COMPUTED_VALUE"""),"Head of Product Led Growth")</f>
        <v>Head of Product Led Growth</v>
      </c>
      <c r="D1273" s="27" t="str">
        <f>IFERROR(__xludf.DUMMYFUNCTION("""COMPUTED_VALUE"""),"https://www.linkedin.com/in/ankitabhosle/")</f>
        <v>https://www.linkedin.com/in/ankitabhosle/</v>
      </c>
      <c r="E1273" s="17"/>
      <c r="F1273" s="17" t="str">
        <f>IFERROR(__xludf.DUMMYFUNCTION("""COMPUTED_VALUE"""),"abhosle@twilio.com")</f>
        <v>abhosle@twilio.com</v>
      </c>
      <c r="G1273" s="17"/>
      <c r="H1273" s="17"/>
    </row>
    <row r="1274">
      <c r="A1274" s="27" t="str">
        <f>IFERROR(__xludf.DUMMYFUNCTION("""COMPUTED_VALUE"""),"SuperOps.ai")</f>
        <v>SuperOps.ai</v>
      </c>
      <c r="B1274" s="17" t="str">
        <f>IFERROR(__xludf.DUMMYFUNCTION("""COMPUTED_VALUE"""),"Damo V.")</f>
        <v>Damo V.</v>
      </c>
      <c r="C1274" s="17" t="str">
        <f>IFERROR(__xludf.DUMMYFUNCTION("""COMPUTED_VALUE"""),"Vice President Products")</f>
        <v>Vice President Products</v>
      </c>
      <c r="D1274" s="27" t="str">
        <f>IFERROR(__xludf.DUMMYFUNCTION("""COMPUTED_VALUE"""),"https://www.linkedin.com/in/damovasudevan/")</f>
        <v>https://www.linkedin.com/in/damovasudevan/</v>
      </c>
      <c r="E1274" s="17"/>
      <c r="F1274" s="17" t="str">
        <f>IFERROR(__xludf.DUMMYFUNCTION("""COMPUTED_VALUE"""),"damo.vasudevan@gmail.com")</f>
        <v>damo.vasudevan@gmail.com</v>
      </c>
      <c r="G1274" s="17"/>
      <c r="H1274" s="17"/>
    </row>
    <row r="1275">
      <c r="A1275" s="17" t="str">
        <f>IFERROR(__xludf.DUMMYFUNCTION("""COMPUTED_VALUE"""),"Plum Insurance")</f>
        <v>Plum Insurance</v>
      </c>
      <c r="B1275" s="17" t="str">
        <f>IFERROR(__xludf.DUMMYFUNCTION("""COMPUTED_VALUE"""),"Akshay Golechha")</f>
        <v>Akshay Golechha</v>
      </c>
      <c r="C1275" s="17" t="str">
        <f>IFERROR(__xludf.DUMMYFUNCTION("""COMPUTED_VALUE"""),"Senior Vice President")</f>
        <v>Senior Vice President</v>
      </c>
      <c r="D1275" s="27" t="str">
        <f>IFERROR(__xludf.DUMMYFUNCTION("""COMPUTED_VALUE"""),"https://www.linkedin.com/in/akshaygolechha/")</f>
        <v>https://www.linkedin.com/in/akshaygolechha/</v>
      </c>
      <c r="E1275" s="17"/>
      <c r="F1275" s="17" t="str">
        <f>IFERROR(__xludf.DUMMYFUNCTION("""COMPUTED_VALUE"""),"akshay.golechha@gmail.com")</f>
        <v>akshay.golechha@gmail.com</v>
      </c>
      <c r="G1275" s="17" t="str">
        <f>IFERROR(__xludf.DUMMYFUNCTION("""COMPUTED_VALUE"""),"akshay@plumhq.com")</f>
        <v>akshay@plumhq.com</v>
      </c>
      <c r="H1275" s="17"/>
    </row>
    <row r="1276">
      <c r="A1276" s="17" t="str">
        <f>IFERROR(__xludf.DUMMYFUNCTION("""COMPUTED_VALUE"""),"Onsurity")</f>
        <v>Onsurity</v>
      </c>
      <c r="B1276" s="17" t="str">
        <f>IFERROR(__xludf.DUMMYFUNCTION("""COMPUTED_VALUE"""),"Abhinav Singh")</f>
        <v>Abhinav Singh</v>
      </c>
      <c r="C1276" s="17" t="str">
        <f>IFERROR(__xludf.DUMMYFUNCTION("""COMPUTED_VALUE"""),"Head of Product")</f>
        <v>Head of Product</v>
      </c>
      <c r="D1276" s="27" t="str">
        <f>IFERROR(__xludf.DUMMYFUNCTION("""COMPUTED_VALUE"""),"https://www.linkedin.com/in/abhinavsinghgangal/")</f>
        <v>https://www.linkedin.com/in/abhinavsinghgangal/</v>
      </c>
      <c r="E1276" s="17"/>
      <c r="F1276" s="17" t="str">
        <f>IFERROR(__xludf.DUMMYFUNCTION("""COMPUTED_VALUE"""),"abhinavsinghgangal@gmail.com")</f>
        <v>abhinavsinghgangal@gmail.com</v>
      </c>
      <c r="G1276" s="17"/>
      <c r="H1276" s="17"/>
    </row>
    <row r="1277">
      <c r="A1277" s="17" t="str">
        <f>IFERROR(__xludf.DUMMYFUNCTION("""COMPUTED_VALUE"""),"PushBowl")</f>
        <v>PushBowl</v>
      </c>
      <c r="B1277" s="17" t="str">
        <f>IFERROR(__xludf.DUMMYFUNCTION("""COMPUTED_VALUE"""),"Puru Govind")</f>
        <v>Puru Govind</v>
      </c>
      <c r="C1277" s="17" t="str">
        <f>IFERROR(__xludf.DUMMYFUNCTION("""COMPUTED_VALUE"""),"CEO, ex-CPO Exotel")</f>
        <v>CEO, ex-CPO Exotel</v>
      </c>
      <c r="D1277" s="27" t="str">
        <f>IFERROR(__xludf.DUMMYFUNCTION("""COMPUTED_VALUE"""),"https://www.linkedin.com/in/purugovind/")</f>
        <v>https://www.linkedin.com/in/purugovind/</v>
      </c>
      <c r="E1277" s="17"/>
      <c r="F1277" s="17" t="str">
        <f>IFERROR(__xludf.DUMMYFUNCTION("""COMPUTED_VALUE"""),"puru.govind@gmail.com")</f>
        <v>puru.govind@gmail.com</v>
      </c>
      <c r="G1277" s="17"/>
      <c r="H1277" s="17"/>
    </row>
    <row r="1278">
      <c r="A1278" s="17" t="str">
        <f>IFERROR(__xludf.DUMMYFUNCTION("""COMPUTED_VALUE"""),"Nykaa Tech")</f>
        <v>Nykaa Tech</v>
      </c>
      <c r="B1278" s="17" t="str">
        <f>IFERROR(__xludf.DUMMYFUNCTION("""COMPUTED_VALUE"""),"Smriti Srivastava")</f>
        <v>Smriti Srivastava</v>
      </c>
      <c r="C1278" s="17" t="str">
        <f>IFERROR(__xludf.DUMMYFUNCTION("""COMPUTED_VALUE"""),"Director Product")</f>
        <v>Director Product</v>
      </c>
      <c r="D1278" s="27" t="str">
        <f>IFERROR(__xludf.DUMMYFUNCTION("""COMPUTED_VALUE"""),"https://www.linkedin.com/in/smritisri/")</f>
        <v>https://www.linkedin.com/in/smritisri/</v>
      </c>
      <c r="E1278" s="17"/>
      <c r="F1278" s="17" t="str">
        <f>IFERROR(__xludf.DUMMYFUNCTION("""COMPUTED_VALUE"""),"smriti.srmscet@gmail.com")</f>
        <v>smriti.srmscet@gmail.com</v>
      </c>
      <c r="G1278" s="17"/>
      <c r="H1278" s="17"/>
    </row>
    <row r="1279">
      <c r="A1279" s="17" t="str">
        <f>IFERROR(__xludf.DUMMYFUNCTION("""COMPUTED_VALUE"""),"Delhivery")</f>
        <v>Delhivery</v>
      </c>
      <c r="B1279" s="17" t="str">
        <f>IFERROR(__xludf.DUMMYFUNCTION("""COMPUTED_VALUE"""),"Nikhil Vij")</f>
        <v>Nikhil Vij</v>
      </c>
      <c r="C1279" s="17" t="str">
        <f>IFERROR(__xludf.DUMMYFUNCTION("""COMPUTED_VALUE"""),"Head of Product")</f>
        <v>Head of Product</v>
      </c>
      <c r="D1279" s="27" t="str">
        <f>IFERROR(__xludf.DUMMYFUNCTION("""COMPUTED_VALUE"""),"https://www.linkedin.com/in/nikhilvij/")</f>
        <v>https://www.linkedin.com/in/nikhilvij/</v>
      </c>
      <c r="E1279" s="17"/>
      <c r="F1279" s="17" t="str">
        <f>IFERROR(__xludf.DUMMYFUNCTION("""COMPUTED_VALUE"""),"nikhil007vij@gmail.com")</f>
        <v>nikhil007vij@gmail.com</v>
      </c>
      <c r="G1279" s="17"/>
      <c r="H1279" s="17"/>
    </row>
    <row r="1280">
      <c r="A1280" s="17" t="str">
        <f>IFERROR(__xludf.DUMMYFUNCTION("""COMPUTED_VALUE"""),"Locus")</f>
        <v>Locus</v>
      </c>
      <c r="B1280" s="17" t="str">
        <f>IFERROR(__xludf.DUMMYFUNCTION("""COMPUTED_VALUE"""),"Pradyumna Chowdhary")</f>
        <v>Pradyumna Chowdhary</v>
      </c>
      <c r="C1280" s="17" t="str">
        <f>IFERROR(__xludf.DUMMYFUNCTION("""COMPUTED_VALUE"""),"CPO")</f>
        <v>CPO</v>
      </c>
      <c r="D1280" s="27" t="str">
        <f>IFERROR(__xludf.DUMMYFUNCTION("""COMPUTED_VALUE"""),"https://www.linkedin.com/in/pradyumna-chowdhary-39249b110/")</f>
        <v>https://www.linkedin.com/in/pradyumna-chowdhary-39249b110/</v>
      </c>
      <c r="E1280" s="17"/>
      <c r="F1280" s="17" t="str">
        <f>IFERROR(__xludf.DUMMYFUNCTION("""COMPUTED_VALUE"""),"pradyumna.chowdhary@gmail.com")</f>
        <v>pradyumna.chowdhary@gmail.com</v>
      </c>
      <c r="G1280" s="17"/>
      <c r="H1280" s="17"/>
    </row>
    <row r="1281">
      <c r="A1281" s="17" t="str">
        <f>IFERROR(__xludf.DUMMYFUNCTION("""COMPUTED_VALUE"""),"Shipsy")</f>
        <v>Shipsy</v>
      </c>
      <c r="B1281" s="17" t="str">
        <f>IFERROR(__xludf.DUMMYFUNCTION("""COMPUTED_VALUE"""),"Prem Rupareliya")</f>
        <v>Prem Rupareliya</v>
      </c>
      <c r="C1281" s="17" t="str">
        <f>IFERROR(__xludf.DUMMYFUNCTION("""COMPUTED_VALUE"""),"Head of Product")</f>
        <v>Head of Product</v>
      </c>
      <c r="D1281" s="27" t="str">
        <f>IFERROR(__xludf.DUMMYFUNCTION("""COMPUTED_VALUE"""),"https://www.linkedin.com/in/prem-rupareliya-337b0b20/")</f>
        <v>https://www.linkedin.com/in/prem-rupareliya-337b0b20/</v>
      </c>
      <c r="E1281" s="17"/>
      <c r="F1281" s="17" t="str">
        <f>IFERROR(__xludf.DUMMYFUNCTION("""COMPUTED_VALUE"""),"luvprem2004@gmail.com")</f>
        <v>luvprem2004@gmail.com</v>
      </c>
      <c r="G1281" s="17"/>
      <c r="H1281" s="17"/>
    </row>
    <row r="1282">
      <c r="A1282" s="17" t="str">
        <f>IFERROR(__xludf.DUMMYFUNCTION("""COMPUTED_VALUE"""),"Airbnb")</f>
        <v>Airbnb</v>
      </c>
      <c r="B1282" s="17" t="str">
        <f>IFERROR(__xludf.DUMMYFUNCTION("""COMPUTED_VALUE"""),"Amit Dubey")</f>
        <v>Amit Dubey</v>
      </c>
      <c r="C1282" s="17" t="str">
        <f>IFERROR(__xludf.DUMMYFUNCTION("""COMPUTED_VALUE"""),"Senior director")</f>
        <v>Senior director</v>
      </c>
      <c r="D1282" s="27" t="str">
        <f>IFERROR(__xludf.DUMMYFUNCTION("""COMPUTED_VALUE"""),"https://www.linkedin.com/in/amitkrdubey/")</f>
        <v>https://www.linkedin.com/in/amitkrdubey/</v>
      </c>
      <c r="E1282" s="17"/>
      <c r="F1282" s="17" t="str">
        <f>IFERROR(__xludf.DUMMYFUNCTION("""COMPUTED_VALUE"""),"amit.dubey@airbnb.com")</f>
        <v>amit.dubey@airbnb.com</v>
      </c>
      <c r="G1282" s="17"/>
      <c r="H1282" s="17"/>
    </row>
    <row r="1283">
      <c r="A1283" s="17" t="str">
        <f>IFERROR(__xludf.DUMMYFUNCTION("""COMPUTED_VALUE"""),"Dropbox")</f>
        <v>Dropbox</v>
      </c>
      <c r="B1283" s="17" t="str">
        <f>IFERROR(__xludf.DUMMYFUNCTION("""COMPUTED_VALUE"""),"Ashraf Alkarmi")</f>
        <v>Ashraf Alkarmi</v>
      </c>
      <c r="C1283" s="17" t="str">
        <f>IFERROR(__xludf.DUMMYFUNCTION("""COMPUTED_VALUE"""),"SVP")</f>
        <v>SVP</v>
      </c>
      <c r="D1283" s="27" t="str">
        <f>IFERROR(__xludf.DUMMYFUNCTION("""COMPUTED_VALUE"""),"https://www.linkedin.com/in/alkarmi/")</f>
        <v>https://www.linkedin.com/in/alkarmi/</v>
      </c>
      <c r="E1283" s="17"/>
      <c r="F1283" s="17" t="str">
        <f>IFERROR(__xludf.DUMMYFUNCTION("""COMPUTED_VALUE"""),"alkarmi@post.harvard.edu")</f>
        <v>alkarmi@post.harvard.edu</v>
      </c>
      <c r="G1283" s="17"/>
      <c r="H1283" s="17"/>
    </row>
    <row r="1284">
      <c r="A1284" s="17" t="str">
        <f>IFERROR(__xludf.DUMMYFUNCTION("""COMPUTED_VALUE"""),"Figma")</f>
        <v>Figma</v>
      </c>
      <c r="B1284" s="17" t="str">
        <f>IFERROR(__xludf.DUMMYFUNCTION("""COMPUTED_VALUE"""),"Yuhki Yamashita")</f>
        <v>Yuhki Yamashita</v>
      </c>
      <c r="C1284" s="17" t="str">
        <f>IFERROR(__xludf.DUMMYFUNCTION("""COMPUTED_VALUE"""),"CPO")</f>
        <v>CPO</v>
      </c>
      <c r="D1284" s="27" t="str">
        <f>IFERROR(__xludf.DUMMYFUNCTION("""COMPUTED_VALUE"""),"https://www.linkedin.com/in/yuhki/")</f>
        <v>https://www.linkedin.com/in/yuhki/</v>
      </c>
      <c r="E1284" s="17"/>
      <c r="F1284" s="17" t="str">
        <f>IFERROR(__xludf.DUMMYFUNCTION("""COMPUTED_VALUE"""),"yuhki@outlook.com")</f>
        <v>yuhki@outlook.com</v>
      </c>
      <c r="G1284" s="17"/>
      <c r="H1284" s="17"/>
    </row>
    <row r="1285">
      <c r="A1285" s="17" t="str">
        <f>IFERROR(__xludf.DUMMYFUNCTION("""COMPUTED_VALUE"""),"Canva")</f>
        <v>Canva</v>
      </c>
      <c r="B1285" s="17" t="str">
        <f>IFERROR(__xludf.DUMMYFUNCTION("""COMPUTED_VALUE"""),"robert kawalsky")</f>
        <v>robert kawalsky</v>
      </c>
      <c r="C1285" s="17" t="str">
        <f>IFERROR(__xludf.DUMMYFUNCTION("""COMPUTED_VALUE"""),"Global head of product")</f>
        <v>Global head of product</v>
      </c>
      <c r="D1285" s="27" t="str">
        <f>IFERROR(__xludf.DUMMYFUNCTION("""COMPUTED_VALUE"""),"https://www.linkedin.com/in/robkawalsky/")</f>
        <v>https://www.linkedin.com/in/robkawalsky/</v>
      </c>
      <c r="E1285" s="17"/>
      <c r="F1285" s="17" t="str">
        <f>IFERROR(__xludf.DUMMYFUNCTION("""COMPUTED_VALUE"""),"rkawalsky@me.com")</f>
        <v>rkawalsky@me.com</v>
      </c>
      <c r="G1285" s="17"/>
      <c r="H1285" s="17"/>
    </row>
    <row r="1286">
      <c r="A1286" s="17" t="str">
        <f>IFERROR(__xludf.DUMMYFUNCTION("""COMPUTED_VALUE"""),"Revolut")</f>
        <v>Revolut</v>
      </c>
      <c r="B1286" s="17" t="str">
        <f>IFERROR(__xludf.DUMMYFUNCTION("""COMPUTED_VALUE"""),"Amar Gupta")</f>
        <v>Amar Gupta</v>
      </c>
      <c r="C1286" s="17" t="str">
        <f>IFERROR(__xludf.DUMMYFUNCTION("""COMPUTED_VALUE"""),"Product &amp; Operations Leader")</f>
        <v>Product &amp; Operations Leader</v>
      </c>
      <c r="D1286" s="27" t="str">
        <f>IFERROR(__xludf.DUMMYFUNCTION("""COMPUTED_VALUE"""),"https://www.linkedin.com/in/guptaamar/")</f>
        <v>https://www.linkedin.com/in/guptaamar/</v>
      </c>
      <c r="E1286" s="17"/>
      <c r="F1286" s="17" t="str">
        <f>IFERROR(__xludf.DUMMYFUNCTION("""COMPUTED_VALUE"""),"mailtoamargupta@gmail.com")</f>
        <v>mailtoamargupta@gmail.com</v>
      </c>
      <c r="G1286" s="17"/>
      <c r="H1286" s="17"/>
    </row>
    <row r="1287">
      <c r="A1287" s="17" t="str">
        <f>IFERROR(__xludf.DUMMYFUNCTION("""COMPUTED_VALUE"""),"N26")</f>
        <v>N26</v>
      </c>
      <c r="B1287" s="17" t="str">
        <f>IFERROR(__xludf.DUMMYFUNCTION("""COMPUTED_VALUE"""),"Mayur Kamat")</f>
        <v>Mayur Kamat</v>
      </c>
      <c r="C1287" s="17" t="str">
        <f>IFERROR(__xludf.DUMMYFUNCTION("""COMPUTED_VALUE"""),"CPO")</f>
        <v>CPO</v>
      </c>
      <c r="D1287" s="27" t="str">
        <f>IFERROR(__xludf.DUMMYFUNCTION("""COMPUTED_VALUE"""),"https://www.linkedin.com/in/mayur/")</f>
        <v>https://www.linkedin.com/in/mayur/</v>
      </c>
      <c r="E1287" s="17"/>
      <c r="F1287" s="17" t="str">
        <f>IFERROR(__xludf.DUMMYFUNCTION("""COMPUTED_VALUE"""),"mkamat@gmail.com")</f>
        <v>mkamat@gmail.com</v>
      </c>
      <c r="G1287" s="17"/>
      <c r="H1287" s="17"/>
    </row>
    <row r="1288">
      <c r="A1288" s="17" t="str">
        <f>IFERROR(__xludf.DUMMYFUNCTION("""COMPUTED_VALUE"""),"Twilio")</f>
        <v>Twilio</v>
      </c>
      <c r="B1288" s="17" t="str">
        <f>IFERROR(__xludf.DUMMYFUNCTION("""COMPUTED_VALUE"""),"Swastik Mishra,")</f>
        <v>Swastik Mishra,</v>
      </c>
      <c r="C1288" s="17" t="str">
        <f>IFERROR(__xludf.DUMMYFUNCTION("""COMPUTED_VALUE"""),"Product leader")</f>
        <v>Product leader</v>
      </c>
      <c r="D1288" s="27" t="str">
        <f>IFERROR(__xludf.DUMMYFUNCTION("""COMPUTED_VALUE"""),"https://www.linkedin.com/in/swastikmishraxlri/")</f>
        <v>https://www.linkedin.com/in/swastikmishraxlri/</v>
      </c>
      <c r="E1288" s="17"/>
      <c r="F1288" s="17" t="str">
        <f>IFERROR(__xludf.DUMMYFUNCTION("""COMPUTED_VALUE"""),"smishra@twilio.com")</f>
        <v>smishra@twilio.com</v>
      </c>
      <c r="G1288" s="17"/>
      <c r="H1288" s="17"/>
    </row>
    <row r="1289">
      <c r="A1289" s="17" t="str">
        <f>IFERROR(__xludf.DUMMYFUNCTION("""COMPUTED_VALUE"""),"Asana")</f>
        <v>Asana</v>
      </c>
      <c r="B1289" s="17" t="str">
        <f>IFERROR(__xludf.DUMMYFUNCTION("""COMPUTED_VALUE"""),"Arnab Bose")</f>
        <v>Arnab Bose</v>
      </c>
      <c r="C1289" s="17" t="str">
        <f>IFERROR(__xludf.DUMMYFUNCTION("""COMPUTED_VALUE"""),"CPO")</f>
        <v>CPO</v>
      </c>
      <c r="D1289" s="27" t="str">
        <f>IFERROR(__xludf.DUMMYFUNCTION("""COMPUTED_VALUE"""),"https://www.linkedin.com/in/abosesf/")</f>
        <v>https://www.linkedin.com/in/abosesf/</v>
      </c>
      <c r="E1289" s="17"/>
      <c r="F1289" s="17" t="str">
        <f>IFERROR(__xludf.DUMMYFUNCTION("""COMPUTED_VALUE"""),"arnab.bose@gmail.com")</f>
        <v>arnab.bose@gmail.com</v>
      </c>
      <c r="G1289" s="17"/>
      <c r="H1289" s="17"/>
    </row>
    <row r="1290">
      <c r="A1290" s="17" t="str">
        <f>IFERROR(__xludf.DUMMYFUNCTION("""COMPUTED_VALUE"""),"Shopify")</f>
        <v>Shopify</v>
      </c>
      <c r="B1290" s="17" t="str">
        <f>IFERROR(__xludf.DUMMYFUNCTION("""COMPUTED_VALUE"""),"Bharati Balakrishnan")</f>
        <v>Bharati Balakrishnan</v>
      </c>
      <c r="C1290" s="17" t="str">
        <f>IFERROR(__xludf.DUMMYFUNCTION("""COMPUTED_VALUE"""),"Head ")</f>
        <v>Head </v>
      </c>
      <c r="D1290" s="27" t="str">
        <f>IFERROR(__xludf.DUMMYFUNCTION("""COMPUTED_VALUE"""),"https://www.linkedin.com/in/bharatibalakrishnan/")</f>
        <v>https://www.linkedin.com/in/bharatibalakrishnan/</v>
      </c>
      <c r="E1290" s="17"/>
      <c r="F1290" s="17" t="str">
        <f>IFERROR(__xludf.DUMMYFUNCTION("""COMPUTED_VALUE"""),"bharatibalakrishnan@gmail.com")</f>
        <v>bharatibalakrishnan@gmail.com</v>
      </c>
      <c r="G1290" s="17"/>
      <c r="H1290" s="17"/>
    </row>
    <row r="1291">
      <c r="A1291" s="17" t="str">
        <f>IFERROR(__xludf.DUMMYFUNCTION("""COMPUTED_VALUE"""),"SUGAR")</f>
        <v>SUGAR</v>
      </c>
      <c r="B1291" s="17" t="str">
        <f>IFERROR(__xludf.DUMMYFUNCTION("""COMPUTED_VALUE"""),"Mamta Naik")</f>
        <v>Mamta Naik</v>
      </c>
      <c r="C1291" s="17" t="str">
        <f>IFERROR(__xludf.DUMMYFUNCTION("""COMPUTED_VALUE"""),"Head of Product")</f>
        <v>Head of Product</v>
      </c>
      <c r="D1291" s="27" t="str">
        <f>IFERROR(__xludf.DUMMYFUNCTION("""COMPUTED_VALUE"""),"https://www.linkedin.com/in/mamta-naik-6b170013b/")</f>
        <v>https://www.linkedin.com/in/mamta-naik-6b170013b/</v>
      </c>
      <c r="E1291" s="17"/>
      <c r="F1291" s="17" t="str">
        <f>IFERROR(__xludf.DUMMYFUNCTION("""COMPUTED_VALUE"""),"thrifterscloset@gmail.com")</f>
        <v>thrifterscloset@gmail.com</v>
      </c>
      <c r="G1291" s="17"/>
      <c r="H1291" s="17"/>
    </row>
    <row r="1292">
      <c r="A1292" s="17" t="str">
        <f>IFERROR(__xludf.DUMMYFUNCTION("""COMPUTED_VALUE"""),"Clear")</f>
        <v>Clear</v>
      </c>
      <c r="B1292" s="17" t="str">
        <f>IFERROR(__xludf.DUMMYFUNCTION("""COMPUTED_VALUE"""),"Nabarupa B.")</f>
        <v>Nabarupa B.</v>
      </c>
      <c r="C1292" s="17" t="str">
        <f>IFERROR(__xludf.DUMMYFUNCTION("""COMPUTED_VALUE"""),"CPO")</f>
        <v>CPO</v>
      </c>
      <c r="D1292" s="27" t="str">
        <f>IFERROR(__xludf.DUMMYFUNCTION("""COMPUTED_VALUE"""),"https://www.linkedin.com/in/nabarupabanerjee/")</f>
        <v>https://www.linkedin.com/in/nabarupabanerjee/</v>
      </c>
      <c r="E1292" s="17"/>
      <c r="F1292" s="17" t="str">
        <f>IFERROR(__xludf.DUMMYFUNCTION("""COMPUTED_VALUE"""),"nabarupa@gmail.com")</f>
        <v>nabarupa@gmail.com</v>
      </c>
      <c r="G1292" s="17"/>
      <c r="H1292" s="17"/>
    </row>
    <row r="1293">
      <c r="A1293" s="17" t="str">
        <f>IFERROR(__xludf.DUMMYFUNCTION("""COMPUTED_VALUE"""),"Pocket FM")</f>
        <v>Pocket FM</v>
      </c>
      <c r="B1293" s="17" t="str">
        <f>IFERROR(__xludf.DUMMYFUNCTION("""COMPUTED_VALUE"""),"Akansha Kumari")</f>
        <v>Akansha Kumari</v>
      </c>
      <c r="C1293" s="17" t="str">
        <f>IFERROR(__xludf.DUMMYFUNCTION("""COMPUTED_VALUE"""),"Head of Product")</f>
        <v>Head of Product</v>
      </c>
      <c r="D1293" s="27" t="str">
        <f>IFERROR(__xludf.DUMMYFUNCTION("""COMPUTED_VALUE"""),"https://www.linkedin.com/in/akansha-kumari-32771543/")</f>
        <v>https://www.linkedin.com/in/akansha-kumari-32771543/</v>
      </c>
      <c r="E1293" s="17"/>
      <c r="F1293" s="17" t="str">
        <f>IFERROR(__xludf.DUMMYFUNCTION("""COMPUTED_VALUE"""),"akansha.kumari@pocketfm.com")</f>
        <v>akansha.kumari@pocketfm.com</v>
      </c>
      <c r="G1293" s="17" t="str">
        <f>IFERROR(__xludf.DUMMYFUNCTION("""COMPUTED_VALUE"""),"akanshakumari6@gmail.com")</f>
        <v>akanshakumari6@gmail.com</v>
      </c>
      <c r="H1293" s="17"/>
    </row>
    <row r="1294">
      <c r="A1294" s="17" t="str">
        <f>IFERROR(__xludf.DUMMYFUNCTION("""COMPUTED_VALUE"""),"Even")</f>
        <v>Even</v>
      </c>
      <c r="B1294" s="17" t="str">
        <f>IFERROR(__xludf.DUMMYFUNCTION("""COMPUTED_VALUE"""),"Richa Trivedi")</f>
        <v>Richa Trivedi</v>
      </c>
      <c r="C1294" s="17" t="str">
        <f>IFERROR(__xludf.DUMMYFUNCTION("""COMPUTED_VALUE"""),"Head of Product")</f>
        <v>Head of Product</v>
      </c>
      <c r="D1294" s="27" t="str">
        <f>IFERROR(__xludf.DUMMYFUNCTION("""COMPUTED_VALUE"""),"https://www.linkedin.com/in/richatrivedi/")</f>
        <v>https://www.linkedin.com/in/richatrivedi/</v>
      </c>
      <c r="E1294" s="17"/>
      <c r="F1294" s="17" t="str">
        <f>IFERROR(__xludf.DUMMYFUNCTION("""COMPUTED_VALUE"""),"richa@even.in")</f>
        <v>richa@even.in</v>
      </c>
      <c r="G1294" s="17" t="str">
        <f>IFERROR(__xludf.DUMMYFUNCTION("""COMPUTED_VALUE"""),"richa.trivedi@grofers.com")</f>
        <v>richa.trivedi@grofers.com</v>
      </c>
      <c r="H1294" s="17" t="str">
        <f>IFERROR(__xludf.DUMMYFUNCTION("""COMPUTED_VALUE"""),"richatriv@gmail.com")</f>
        <v>richatriv@gmail.com</v>
      </c>
    </row>
    <row r="1295">
      <c r="A1295" s="17" t="str">
        <f>IFERROR(__xludf.DUMMYFUNCTION("""COMPUTED_VALUE"""),"Ninjacart")</f>
        <v>Ninjacart</v>
      </c>
      <c r="B1295" s="17" t="str">
        <f>IFERROR(__xludf.DUMMYFUNCTION("""COMPUTED_VALUE"""),"Anu George")</f>
        <v>Anu George</v>
      </c>
      <c r="C1295" s="17" t="str">
        <f>IFERROR(__xludf.DUMMYFUNCTION("""COMPUTED_VALUE"""),"Director, Product")</f>
        <v>Director, Product</v>
      </c>
      <c r="D1295" s="27" t="str">
        <f>IFERROR(__xludf.DUMMYFUNCTION("""COMPUTED_VALUE"""),"https://www.linkedin.com/in/anugeorgeiimb/?originalSubdomain=in")</f>
        <v>https://www.linkedin.com/in/anugeorgeiimb/?originalSubdomain=in</v>
      </c>
      <c r="E1295" s="17"/>
      <c r="F1295" s="17" t="str">
        <f>IFERROR(__xludf.DUMMYFUNCTION("""COMPUTED_VALUE"""),"anugeorge@ninjacart.com")</f>
        <v>anugeorge@ninjacart.com</v>
      </c>
      <c r="G1295" s="17" t="str">
        <f>IFERROR(__xludf.DUMMYFUNCTION("""COMPUTED_VALUE"""),"gee.anu@gmail.com")</f>
        <v>gee.anu@gmail.com</v>
      </c>
      <c r="H1295" s="17" t="str">
        <f>IFERROR(__xludf.DUMMYFUNCTION("""COMPUTED_VALUE"""),"anu.george.2017@gmail.com")</f>
        <v>anu.george.2017@gmail.com</v>
      </c>
    </row>
    <row r="1296">
      <c r="A1296" s="17" t="str">
        <f>IFERROR(__xludf.DUMMYFUNCTION("""COMPUTED_VALUE"""),"PIXIS")</f>
        <v>PIXIS</v>
      </c>
      <c r="B1296" s="17" t="str">
        <f>IFERROR(__xludf.DUMMYFUNCTION("""COMPUTED_VALUE"""),"Sakshi Choudhary")</f>
        <v>Sakshi Choudhary</v>
      </c>
      <c r="C1296" s="17" t="str">
        <f>IFERROR(__xludf.DUMMYFUNCTION("""COMPUTED_VALUE"""),"Head of Product")</f>
        <v>Head of Product</v>
      </c>
      <c r="D1296" s="27" t="str">
        <f>IFERROR(__xludf.DUMMYFUNCTION("""COMPUTED_VALUE"""),"https://www.linkedin.com/in/sakshi-choudhary-68b597128/")</f>
        <v>https://www.linkedin.com/in/sakshi-choudhary-68b597128/</v>
      </c>
      <c r="E1296" s="17"/>
      <c r="F1296" s="17" t="str">
        <f>IFERROR(__xludf.DUMMYFUNCTION("""COMPUTED_VALUE"""),"sakshi.13182@gmail.com")</f>
        <v>sakshi.13182@gmail.com</v>
      </c>
      <c r="G1296" s="17" t="str">
        <f>IFERROR(__xludf.DUMMYFUNCTION("""COMPUTED_VALUE"""),"sakshi.choudhary@pixis.ai")</f>
        <v>sakshi.choudhary@pixis.ai</v>
      </c>
      <c r="H1296" s="17"/>
    </row>
    <row r="1297">
      <c r="A1297" s="17" t="str">
        <f>IFERROR(__xludf.DUMMYFUNCTION("""COMPUTED_VALUE"""),"wework")</f>
        <v>wework</v>
      </c>
      <c r="B1297" s="17" t="str">
        <f>IFERROR(__xludf.DUMMYFUNCTION("""COMPUTED_VALUE"""),"Arya")</f>
        <v>Arya</v>
      </c>
      <c r="C1297" s="17" t="str">
        <f>IFERROR(__xludf.DUMMYFUNCTION("""COMPUTED_VALUE"""),"Head of Product")</f>
        <v>Head of Product</v>
      </c>
      <c r="D1297" s="27" t="str">
        <f>IFERROR(__xludf.DUMMYFUNCTION("""COMPUTED_VALUE"""),"https://www.linkedin.com/in/arya-k-arya-nair-0234b6110/")</f>
        <v>https://www.linkedin.com/in/arya-k-arya-nair-0234b6110/</v>
      </c>
      <c r="E1297" s="17"/>
      <c r="F1297" s="17" t="str">
        <f>IFERROR(__xludf.DUMMYFUNCTION("""COMPUTED_VALUE"""),"aryanairk@gmail.com")</f>
        <v>aryanairk@gmail.com</v>
      </c>
      <c r="G1297" s="17" t="str">
        <f>IFERROR(__xludf.DUMMYFUNCTION("""COMPUTED_VALUE"""),"arya.k@wework.com")</f>
        <v>arya.k@wework.com</v>
      </c>
      <c r="H1297" s="17"/>
    </row>
    <row r="1298">
      <c r="A1298" s="17" t="str">
        <f>IFERROR(__xludf.DUMMYFUNCTION("""COMPUTED_VALUE"""),"Adyen")</f>
        <v>Adyen</v>
      </c>
      <c r="B1298" s="17" t="str">
        <f>IFERROR(__xludf.DUMMYFUNCTION("""COMPUTED_VALUE"""),"Gayathri Rajan")</f>
        <v>Gayathri Rajan</v>
      </c>
      <c r="C1298" s="17" t="str">
        <f>IFERROR(__xludf.DUMMYFUNCTION("""COMPUTED_VALUE"""),"Head of Product")</f>
        <v>Head of Product</v>
      </c>
      <c r="D1298" s="27" t="str">
        <f>IFERROR(__xludf.DUMMYFUNCTION("""COMPUTED_VALUE"""),"https://www.linkedin.com/in/gayathri-rajan-81b226/")</f>
        <v>https://www.linkedin.com/in/gayathri-rajan-81b226/</v>
      </c>
      <c r="E1298" s="17"/>
      <c r="F1298" s="17" t="str">
        <f>IFERROR(__xludf.DUMMYFUNCTION("""COMPUTED_VALUE"""),"gayathri.rajan@adyen.com")</f>
        <v>gayathri.rajan@adyen.com</v>
      </c>
      <c r="G1298" s="17"/>
      <c r="H1298" s="17"/>
    </row>
    <row r="1299">
      <c r="A1299" s="17" t="str">
        <f>IFERROR(__xludf.DUMMYFUNCTION("""COMPUTED_VALUE"""),"Cencora")</f>
        <v>Cencora</v>
      </c>
      <c r="B1299" s="17" t="str">
        <f>IFERROR(__xludf.DUMMYFUNCTION("""COMPUTED_VALUE"""),"Tina Martinez")</f>
        <v>Tina Martinez</v>
      </c>
      <c r="C1299" s="17" t="str">
        <f>IFERROR(__xludf.DUMMYFUNCTION("""COMPUTED_VALUE"""),"Vice President, Head of Global Products and Solutions")</f>
        <v>Vice President, Head of Global Products and Solutions</v>
      </c>
      <c r="D1299" s="27" t="str">
        <f>IFERROR(__xludf.DUMMYFUNCTION("""COMPUTED_VALUE"""),"https://www.linkedin.com/in/tina-martinez-6767a94/")</f>
        <v>https://www.linkedin.com/in/tina-martinez-6767a94/</v>
      </c>
      <c r="E1299" s="17"/>
      <c r="F1299" s="17" t="str">
        <f>IFERROR(__xludf.DUMMYFUNCTION("""COMPUTED_VALUE"""),"trocha12@yahoo.com")</f>
        <v>trocha12@yahoo.com</v>
      </c>
      <c r="G1299" s="17" t="str">
        <f>IFERROR(__xludf.DUMMYFUNCTION("""COMPUTED_VALUE"""),"tinarocha@mac.com")</f>
        <v>tinarocha@mac.com</v>
      </c>
      <c r="H1299" s="17"/>
    </row>
    <row r="1300">
      <c r="A1300" s="17" t="str">
        <f>IFERROR(__xludf.DUMMYFUNCTION("""COMPUTED_VALUE"""),"Stripe")</f>
        <v>Stripe</v>
      </c>
      <c r="B1300" s="17" t="str">
        <f>IFERROR(__xludf.DUMMYFUNCTION("""COMPUTED_VALUE"""),"Stephanie Neill")</f>
        <v>Stephanie Neill</v>
      </c>
      <c r="C1300" s="17" t="str">
        <f>IFERROR(__xludf.DUMMYFUNCTION("""COMPUTED_VALUE"""),"Head of PRoduct")</f>
        <v>Head of PRoduct</v>
      </c>
      <c r="D1300" s="27" t="str">
        <f>IFERROR(__xludf.DUMMYFUNCTION("""COMPUTED_VALUE"""),"https://www.linkedin.com/in/stephanieneill/")</f>
        <v>https://www.linkedin.com/in/stephanieneill/</v>
      </c>
      <c r="E1300" s="17"/>
      <c r="F1300" s="17" t="str">
        <f>IFERROR(__xludf.DUMMYFUNCTION("""COMPUTED_VALUE"""),"stephaneill@gmail.com")</f>
        <v>stephaneill@gmail.com</v>
      </c>
      <c r="G1300" s="17"/>
      <c r="H1300" s="17"/>
    </row>
    <row r="1301">
      <c r="A1301" s="17" t="str">
        <f>IFERROR(__xludf.DUMMYFUNCTION("""COMPUTED_VALUE"""),"Company name ")</f>
        <v>Company name </v>
      </c>
      <c r="B1301" s="17" t="str">
        <f>IFERROR(__xludf.DUMMYFUNCTION("""COMPUTED_VALUE"""),"Name")</f>
        <v>Name</v>
      </c>
      <c r="C1301" s="17" t="str">
        <f>IFERROR(__xludf.DUMMYFUNCTION("""COMPUTED_VALUE"""),"Designation")</f>
        <v>Designation</v>
      </c>
      <c r="D1301" s="17" t="str">
        <f>IFERROR(__xludf.DUMMYFUNCTION("""COMPUTED_VALUE"""),"Linkedin")</f>
        <v>Linkedin</v>
      </c>
      <c r="E1301" s="17" t="str">
        <f>IFERROR(__xludf.DUMMYFUNCTION("""COMPUTED_VALUE"""),"Contact No.")</f>
        <v>Contact No.</v>
      </c>
      <c r="F1301" s="17" t="str">
        <f>IFERROR(__xludf.DUMMYFUNCTION("""COMPUTED_VALUE"""),"Email")</f>
        <v>Email</v>
      </c>
      <c r="G1301" s="17"/>
      <c r="H1301" s="17"/>
    </row>
    <row r="1302">
      <c r="A1302" s="17" t="str">
        <f>IFERROR(__xludf.DUMMYFUNCTION("""COMPUTED_VALUE"""),"IBM")</f>
        <v>IBM</v>
      </c>
      <c r="B1302" s="17" t="str">
        <f>IFERROR(__xludf.DUMMYFUNCTION("""COMPUTED_VALUE"""),"Arvind Krishna")</f>
        <v>Arvind Krishna</v>
      </c>
      <c r="C1302" s="17" t="str">
        <f>IFERROR(__xludf.DUMMYFUNCTION("""COMPUTED_VALUE"""),"Former CTO, now CEO (tech)")</f>
        <v>Former CTO, now CEO (tech)</v>
      </c>
      <c r="D1302" s="17"/>
      <c r="E1302" s="17" t="str">
        <f>IFERROR(__xludf.DUMMYFUNCTION("""COMPUTED_VALUE"""),"12034385515")</f>
        <v>12034385515</v>
      </c>
      <c r="F1302" s="17" t="str">
        <f>IFERROR(__xludf.DUMMYFUNCTION("""COMPUTED_VALUE"""),"arvindk@us.ibm.com")</f>
        <v>arvindk@us.ibm.com</v>
      </c>
      <c r="G1302" s="17"/>
      <c r="H1302" s="17"/>
    </row>
    <row r="1303">
      <c r="A1303" s="17" t="str">
        <f>IFERROR(__xludf.DUMMYFUNCTION("""COMPUTED_VALUE"""),"Walmart")</f>
        <v>Walmart</v>
      </c>
      <c r="B1303" s="17" t="str">
        <f>IFERROR(__xludf.DUMMYFUNCTION("""COMPUTED_VALUE"""),"Suresh Kumar")</f>
        <v>Suresh Kumar</v>
      </c>
      <c r="C1303" s="17" t="str">
        <f>IFERROR(__xludf.DUMMYFUNCTION("""COMPUTED_VALUE"""),"Global CTO")</f>
        <v>Global CTO</v>
      </c>
      <c r="D1303" s="17"/>
      <c r="E1303" s="17"/>
      <c r="F1303" s="17" t="str">
        <f>IFERROR(__xludf.DUMMYFUNCTION("""COMPUTED_VALUE"""),"dhanisk@gmail.com ||  skumarscmsap@gmail.com
")</f>
        <v>dhanisk@gmail.com ||  skumarscmsap@gmail.com
</v>
      </c>
      <c r="G1303" s="17"/>
      <c r="H1303" s="17"/>
    </row>
    <row r="1304">
      <c r="A1304" s="17" t="str">
        <f>IFERROR(__xludf.DUMMYFUNCTION("""COMPUTED_VALUE"""),"Cisco / Motorola")</f>
        <v>Cisco / Motorola</v>
      </c>
      <c r="B1304" s="17" t="str">
        <f>IFERROR(__xludf.DUMMYFUNCTION("""COMPUTED_VALUE"""),"Padmasree Warrior")</f>
        <v>Padmasree Warrior</v>
      </c>
      <c r="C1304" s="17" t="str">
        <f>IFERROR(__xludf.DUMMYFUNCTION("""COMPUTED_VALUE"""),"Former CTO")</f>
        <v>Former CTO</v>
      </c>
      <c r="D1304" s="17"/>
      <c r="E1304" s="17" t="str">
        <f>IFERROR(__xludf.DUMMYFUNCTION("""COMPUTED_VALUE"""),"14083867960")</f>
        <v>14083867960</v>
      </c>
      <c r="F1304" s="17" t="str">
        <f>IFERROR(__xludf.DUMMYFUNCTION("""COMPUTED_VALUE"""),"pwarrior2007@gmail.com")</f>
        <v>pwarrior2007@gmail.com</v>
      </c>
      <c r="G1304" s="17"/>
      <c r="H1304" s="17"/>
    </row>
    <row r="1305">
      <c r="A1305" s="17" t="str">
        <f>IFERROR(__xludf.DUMMYFUNCTION("""COMPUTED_VALUE"""),"VMware")</f>
        <v>VMware</v>
      </c>
      <c r="B1305" s="17" t="str">
        <f>IFERROR(__xludf.DUMMYFUNCTION("""COMPUTED_VALUE"""),"Raghu Raghuram")</f>
        <v>Raghu Raghuram</v>
      </c>
      <c r="C1305" s="17" t="str">
        <f>IFERROR(__xludf.DUMMYFUNCTION("""COMPUTED_VALUE"""),"Former CTO")</f>
        <v>Former CTO</v>
      </c>
      <c r="D1305" s="17"/>
      <c r="E1305" s="17"/>
      <c r="F1305" s="17" t="str">
        <f>IFERROR(__xludf.DUMMYFUNCTION("""COMPUTED_VALUE"""),"rraghuram@vmware.com")</f>
        <v>rraghuram@vmware.com</v>
      </c>
      <c r="G1305" s="17"/>
      <c r="H1305" s="17"/>
    </row>
    <row r="1306">
      <c r="A1306" s="17" t="str">
        <f>IFERROR(__xludf.DUMMYFUNCTION("""COMPUTED_VALUE"""),"Zoom (Operations + Tech)")</f>
        <v>Zoom (Operations + Tech)</v>
      </c>
      <c r="B1306" s="17" t="str">
        <f>IFERROR(__xludf.DUMMYFUNCTION("""COMPUTED_VALUE"""),"Aparna Bawa")</f>
        <v>Aparna Bawa</v>
      </c>
      <c r="C1306" s="17" t="str">
        <f>IFERROR(__xludf.DUMMYFUNCTION("""COMPUTED_VALUE"""),"CTO (ex)")</f>
        <v>CTO (ex)</v>
      </c>
      <c r="D1306" s="17"/>
      <c r="E1306" s="17"/>
      <c r="F1306" s="17" t="str">
        <f>IFERROR(__xludf.DUMMYFUNCTION("""COMPUTED_VALUE"""),"aparna.bawa@zoom.us")</f>
        <v>aparna.bawa@zoom.us</v>
      </c>
      <c r="G1306" s="17"/>
      <c r="H1306" s="17"/>
    </row>
    <row r="1307">
      <c r="A1307" s="17" t="str">
        <f>IFERROR(__xludf.DUMMYFUNCTION("""COMPUTED_VALUE"""),"ServiceNow")</f>
        <v>ServiceNow</v>
      </c>
      <c r="B1307" s="17" t="str">
        <f>IFERROR(__xludf.DUMMYFUNCTION("""COMPUTED_VALUE"""),"Amit Zavery")</f>
        <v>Amit Zavery</v>
      </c>
      <c r="C1307" s="17" t="str">
        <f>IFERROR(__xludf.DUMMYFUNCTION("""COMPUTED_VALUE"""),"President")</f>
        <v>President</v>
      </c>
      <c r="D1307" s="17"/>
      <c r="E1307" s="17"/>
      <c r="F1307" s="17" t="str">
        <f>IFERROR(__xludf.DUMMYFUNCTION("""COMPUTED_VALUE"""),"amit.zavery@servicenow.com")</f>
        <v>amit.zavery@servicenow.com</v>
      </c>
      <c r="G1307" s="17"/>
      <c r="H1307" s="17"/>
    </row>
    <row r="1308">
      <c r="A1308" s="17" t="str">
        <f>IFERROR(__xludf.DUMMYFUNCTION("""COMPUTED_VALUE"""),"Grammarly")</f>
        <v>Grammarly</v>
      </c>
      <c r="B1308" s="17" t="str">
        <f>IFERROR(__xludf.DUMMYFUNCTION("""COMPUTED_VALUE"""),"Rahul Roy-Chowdhury")</f>
        <v>Rahul Roy-Chowdhury</v>
      </c>
      <c r="C1308" s="17" t="str">
        <f>IFERROR(__xludf.DUMMYFUNCTION("""COMPUTED_VALUE"""),"CTO (ex)")</f>
        <v>CTO (ex)</v>
      </c>
      <c r="D1308" s="17"/>
      <c r="E1308" s="17"/>
      <c r="F1308" s="17" t="str">
        <f>IFERROR(__xludf.DUMMYFUNCTION("""COMPUTED_VALUE"""),"rahul.roychowdhury@grammarly.com")</f>
        <v>rahul.roychowdhury@grammarly.com</v>
      </c>
      <c r="G1308" s="17"/>
      <c r="H1308" s="17"/>
    </row>
    <row r="1309">
      <c r="A1309" s="17" t="str">
        <f>IFERROR(__xludf.DUMMYFUNCTION("""COMPUTED_VALUE"""),"Birla Opus")</f>
        <v>Birla Opus</v>
      </c>
      <c r="B1309" s="17" t="str">
        <f>IFERROR(__xludf.DUMMYFUNCTION("""COMPUTED_VALUE"""),"Rajiv Gupta")</f>
        <v>Rajiv Gupta</v>
      </c>
      <c r="C1309" s="17" t="str">
        <f>IFERROR(__xludf.DUMMYFUNCTION("""COMPUTED_VALUE"""),"VP ")</f>
        <v>VP </v>
      </c>
      <c r="D1309" s="17"/>
      <c r="E1309" s="17"/>
      <c r="F1309" s="17" t="str">
        <f>IFERROR(__xludf.DUMMYFUNCTION("""COMPUTED_VALUE"""),"rajeev.g@adityabirla.com")</f>
        <v>rajeev.g@adityabirla.com</v>
      </c>
      <c r="G1309" s="17"/>
      <c r="H1309" s="17"/>
    </row>
    <row r="1310">
      <c r="A1310" s="17" t="str">
        <f>IFERROR(__xludf.DUMMYFUNCTION("""COMPUTED_VALUE"""),"Google Deepmind")</f>
        <v>Google Deepmind</v>
      </c>
      <c r="B1310" s="17" t="str">
        <f>IFERROR(__xludf.DUMMYFUNCTION("""COMPUTED_VALUE"""),"Manish Gupta")</f>
        <v>Manish Gupta</v>
      </c>
      <c r="C1310" s="17" t="str">
        <f>IFERROR(__xludf.DUMMYFUNCTION("""COMPUTED_VALUE"""),"VP &amp; Head of AI Research")</f>
        <v>VP &amp; Head of AI Research</v>
      </c>
      <c r="D1310" s="17"/>
      <c r="E1310" s="17"/>
      <c r="F1310" s="17" t="str">
        <f>IFERROR(__xludf.DUMMYFUNCTION("""COMPUTED_VALUE"""),"manishgupta@google.com")</f>
        <v>manishgupta@google.com</v>
      </c>
      <c r="G1310" s="17"/>
      <c r="H1310" s="17"/>
    </row>
    <row r="1311">
      <c r="A1311" s="17" t="str">
        <f>IFERROR(__xludf.DUMMYFUNCTION("""COMPUTED_VALUE"""),"EY")</f>
        <v>EY</v>
      </c>
      <c r="B1311" s="17" t="str">
        <f>IFERROR(__xludf.DUMMYFUNCTION("""COMPUTED_VALUE"""),"Gaurav Bhalotia")</f>
        <v>Gaurav Bhalotia</v>
      </c>
      <c r="C1311" s="17" t="str">
        <f>IFERROR(__xludf.DUMMYFUNCTION("""COMPUTED_VALUE"""),"CTO")</f>
        <v>CTO</v>
      </c>
      <c r="D1311" s="17"/>
      <c r="E1311" s="17"/>
      <c r="F1311" s="17" t="str">
        <f>IFERROR(__xludf.DUMMYFUNCTION("""COMPUTED_VALUE"""),"gauravbhalotia@gmail.com")</f>
        <v>gauravbhalotia@gmail.com</v>
      </c>
      <c r="G1311" s="17"/>
      <c r="H1311" s="17"/>
    </row>
    <row r="1312">
      <c r="A1312" s="17" t="str">
        <f>IFERROR(__xludf.DUMMYFUNCTION("""COMPUTED_VALUE"""),"OpenAI")</f>
        <v>OpenAI</v>
      </c>
      <c r="B1312" s="17" t="str">
        <f>IFERROR(__xludf.DUMMYFUNCTION("""COMPUTED_VALUE"""),"Srinivas Narayanan")</f>
        <v>Srinivas Narayanan</v>
      </c>
      <c r="C1312" s="17" t="str">
        <f>IFERROR(__xludf.DUMMYFUNCTION("""COMPUTED_VALUE"""),"CTO")</f>
        <v>CTO</v>
      </c>
      <c r="D1312" s="17"/>
      <c r="E1312" s="17"/>
      <c r="F1312" s="17" t="str">
        <f>IFERROR(__xludf.DUMMYFUNCTION("""COMPUTED_VALUE"""),"srinivasnarayanan@gmail.com")</f>
        <v>srinivasnarayanan@gmail.com</v>
      </c>
      <c r="G1312" s="17"/>
      <c r="H1312" s="17"/>
    </row>
    <row r="1313">
      <c r="A1313" s="17" t="str">
        <f>IFERROR(__xludf.DUMMYFUNCTION("""COMPUTED_VALUE"""),"Groww")</f>
        <v>Groww</v>
      </c>
      <c r="B1313" s="17" t="str">
        <f>IFERROR(__xludf.DUMMYFUNCTION("""COMPUTED_VALUE"""),"Neeraj Singh")</f>
        <v>Neeraj Singh</v>
      </c>
      <c r="C1313" s="17" t="str">
        <f>IFERROR(__xludf.DUMMYFUNCTION("""COMPUTED_VALUE"""),"CTO")</f>
        <v>CTO</v>
      </c>
      <c r="D1313" s="17"/>
      <c r="E1313" s="17"/>
      <c r="F1313" s="17" t="str">
        <f>IFERROR(__xludf.DUMMYFUNCTION("""COMPUTED_VALUE"""),"neeraj.singh@groww.in")</f>
        <v>neeraj.singh@groww.in</v>
      </c>
      <c r="G1313" s="17"/>
      <c r="H1313" s="17"/>
    </row>
    <row r="1314">
      <c r="A1314" s="17" t="str">
        <f>IFERROR(__xludf.DUMMYFUNCTION("""COMPUTED_VALUE"""),"Upstox")</f>
        <v>Upstox</v>
      </c>
      <c r="B1314" s="17" t="str">
        <f>IFERROR(__xludf.DUMMYFUNCTION("""COMPUTED_VALUE"""),"Sachin Vijayvargia")</f>
        <v>Sachin Vijayvargia</v>
      </c>
      <c r="C1314" s="17" t="str">
        <f>IFERROR(__xludf.DUMMYFUNCTION("""COMPUTED_VALUE"""),"CTO")</f>
        <v>CTO</v>
      </c>
      <c r="D1314" s="17"/>
      <c r="E1314" s="17"/>
      <c r="F1314" s="17" t="str">
        <f>IFERROR(__xludf.DUMMYFUNCTION("""COMPUTED_VALUE"""),"sachin@upstox.com")</f>
        <v>sachin@upstox.com</v>
      </c>
      <c r="G1314" s="17"/>
      <c r="H1314" s="17"/>
    </row>
    <row r="1315">
      <c r="A1315" s="17" t="str">
        <f>IFERROR(__xludf.DUMMYFUNCTION("""COMPUTED_VALUE"""),"CoinDCX")</f>
        <v>CoinDCX</v>
      </c>
      <c r="B1315" s="17" t="str">
        <f>IFERROR(__xludf.DUMMYFUNCTION("""COMPUTED_VALUE"""),"Vivek Gupta")</f>
        <v>Vivek Gupta</v>
      </c>
      <c r="C1315" s="17" t="str">
        <f>IFERROR(__xludf.DUMMYFUNCTION("""COMPUTED_VALUE"""),"CTO")</f>
        <v>CTO</v>
      </c>
      <c r="D1315" s="17"/>
      <c r="E1315" s="17"/>
      <c r="F1315" s="17" t="str">
        <f>IFERROR(__xludf.DUMMYFUNCTION("""COMPUTED_VALUE"""),"vivekbrijgupta@gmail.com")</f>
        <v>vivekbrijgupta@gmail.com</v>
      </c>
      <c r="G1315" s="17"/>
      <c r="H1315" s="17"/>
    </row>
    <row r="1316">
      <c r="A1316" s="17" t="str">
        <f>IFERROR(__xludf.DUMMYFUNCTION("""COMPUTED_VALUE"""),"MobiKwik")</f>
        <v>MobiKwik</v>
      </c>
      <c r="B1316" s="17" t="str">
        <f>IFERROR(__xludf.DUMMYFUNCTION("""COMPUTED_VALUE"""),"Saurabh Dwivedi")</f>
        <v>Saurabh Dwivedi</v>
      </c>
      <c r="C1316" s="17" t="str">
        <f>IFERROR(__xludf.DUMMYFUNCTION("""COMPUTED_VALUE"""),"CTO")</f>
        <v>CTO</v>
      </c>
      <c r="D1316" s="17"/>
      <c r="E1316" s="17"/>
      <c r="F1316" s="17" t="str">
        <f>IFERROR(__xludf.DUMMYFUNCTION("""COMPUTED_VALUE"""),"saurabh.dwivedi@mobikwik.com")</f>
        <v>saurabh.dwivedi@mobikwik.com</v>
      </c>
      <c r="G1316" s="17"/>
      <c r="H1316" s="17"/>
    </row>
    <row r="1317">
      <c r="A1317" s="17" t="str">
        <f>IFERROR(__xludf.DUMMYFUNCTION("""COMPUTED_VALUE"""),"KreditBee")</f>
        <v>KreditBee</v>
      </c>
      <c r="B1317" s="17" t="str">
        <f>IFERROR(__xludf.DUMMYFUNCTION("""COMPUTED_VALUE"""),"Karthikeyan K")</f>
        <v>Karthikeyan K</v>
      </c>
      <c r="C1317" s="17" t="str">
        <f>IFERROR(__xludf.DUMMYFUNCTION("""COMPUTED_VALUE"""),"CTO")</f>
        <v>CTO</v>
      </c>
      <c r="D1317" s="17"/>
      <c r="E1317" s="17"/>
      <c r="F1317" s="17" t="str">
        <f>IFERROR(__xludf.DUMMYFUNCTION("""COMPUTED_VALUE"""),"kk@kreditbee.in")</f>
        <v>kk@kreditbee.in</v>
      </c>
      <c r="G1317" s="17"/>
      <c r="H1317" s="17"/>
    </row>
    <row r="1318">
      <c r="A1318" s="17" t="str">
        <f>IFERROR(__xludf.DUMMYFUNCTION("""COMPUTED_VALUE"""),"PolicyBazaar")</f>
        <v>PolicyBazaar</v>
      </c>
      <c r="B1318" s="17" t="str">
        <f>IFERROR(__xludf.DUMMYFUNCTION("""COMPUTED_VALUE"""),"Saurabh Tiwari")</f>
        <v>Saurabh Tiwari</v>
      </c>
      <c r="C1318" s="17" t="str">
        <f>IFERROR(__xludf.DUMMYFUNCTION("""COMPUTED_VALUE"""),"CTO")</f>
        <v>CTO</v>
      </c>
      <c r="D1318" s="17"/>
      <c r="E1318" s="17"/>
      <c r="F1318" s="17" t="str">
        <f>IFERROR(__xludf.DUMMYFUNCTION("""COMPUTED_VALUE"""),"saurabh@policybazaar.com")</f>
        <v>saurabh@policybazaar.com</v>
      </c>
      <c r="G1318" s="17"/>
      <c r="H1318" s="17"/>
    </row>
    <row r="1319">
      <c r="A1319" s="17" t="str">
        <f>IFERROR(__xludf.DUMMYFUNCTION("""COMPUTED_VALUE"""),"Paytm")</f>
        <v>Paytm</v>
      </c>
      <c r="B1319" s="17" t="str">
        <f>IFERROR(__xludf.DUMMYFUNCTION("""COMPUTED_VALUE"""),"Deependra Rathore")</f>
        <v>Deependra Rathore</v>
      </c>
      <c r="C1319" s="17" t="str">
        <f>IFERROR(__xludf.DUMMYFUNCTION("""COMPUTED_VALUE"""),"CTO")</f>
        <v>CTO</v>
      </c>
      <c r="D1319" s="17"/>
      <c r="E1319" s="17"/>
      <c r="F1319" s="17" t="str">
        <f>IFERROR(__xludf.DUMMYFUNCTION("""COMPUTED_VALUE"""),"deependra.rathore@paytm.com")</f>
        <v>deependra.rathore@paytm.com</v>
      </c>
      <c r="G1319" s="17"/>
      <c r="H1319" s="17"/>
    </row>
    <row r="1320">
      <c r="A1320" s="17" t="str">
        <f>IFERROR(__xludf.DUMMYFUNCTION("""COMPUTED_VALUE"""),"Postman")</f>
        <v>Postman</v>
      </c>
      <c r="B1320" s="17" t="str">
        <f>IFERROR(__xludf.DUMMYFUNCTION("""COMPUTED_VALUE"""),"Ankit Sobti")</f>
        <v>Ankit Sobti</v>
      </c>
      <c r="C1320" s="17" t="str">
        <f>IFERROR(__xludf.DUMMYFUNCTION("""COMPUTED_VALUE"""),"CTO")</f>
        <v>CTO</v>
      </c>
      <c r="D1320" s="17"/>
      <c r="E1320" s="17"/>
      <c r="F1320" s="17" t="str">
        <f>IFERROR(__xludf.DUMMYFUNCTION("""COMPUTED_VALUE"""),"ankit@postman-ks.com")</f>
        <v>ankit@postman-ks.com</v>
      </c>
      <c r="G1320" s="17"/>
      <c r="H1320" s="17"/>
    </row>
    <row r="1321">
      <c r="A1321" s="17" t="str">
        <f>IFERROR(__xludf.DUMMYFUNCTION("""COMPUTED_VALUE"""),"Porter")</f>
        <v>Porter</v>
      </c>
      <c r="B1321" s="17" t="str">
        <f>IFERROR(__xludf.DUMMYFUNCTION("""COMPUTED_VALUE"""),"Mr. Shruti Ranjan Satapathy")</f>
        <v>Mr. Shruti Ranjan Satapathy</v>
      </c>
      <c r="C1321" s="17" t="str">
        <f>IFERROR(__xludf.DUMMYFUNCTION("""COMPUTED_VALUE"""),"CTO")</f>
        <v>CTO</v>
      </c>
      <c r="D1321" s="17"/>
      <c r="E1321" s="17"/>
      <c r="F1321" s="17" t="str">
        <f>IFERROR(__xludf.DUMMYFUNCTION("""COMPUTED_VALUE"""),"shrutiranjans@gmail.com")</f>
        <v>shrutiranjans@gmail.com</v>
      </c>
      <c r="G1321" s="17"/>
      <c r="H1321" s="17"/>
    </row>
    <row r="1322">
      <c r="A1322" s="17" t="str">
        <f>IFERROR(__xludf.DUMMYFUNCTION("""COMPUTED_VALUE"""),"Perplexity AI")</f>
        <v>Perplexity AI</v>
      </c>
      <c r="B1322" s="17" t="str">
        <f>IFERROR(__xludf.DUMMYFUNCTION("""COMPUTED_VALUE"""),"Mr. Denis Yarats")</f>
        <v>Mr. Denis Yarats</v>
      </c>
      <c r="C1322" s="17" t="str">
        <f>IFERROR(__xludf.DUMMYFUNCTION("""COMPUTED_VALUE"""),"CTO")</f>
        <v>CTO</v>
      </c>
      <c r="D1322" s="17"/>
      <c r="E1322" s="17"/>
      <c r="F1322" s="17" t="str">
        <f>IFERROR(__xludf.DUMMYFUNCTION("""COMPUTED_VALUE"""),"denis@perplexity.ai")</f>
        <v>denis@perplexity.ai</v>
      </c>
      <c r="G1322" s="17"/>
      <c r="H1322" s="17"/>
    </row>
    <row r="1323">
      <c r="A1323" s="17" t="str">
        <f>IFERROR(__xludf.DUMMYFUNCTION("""COMPUTED_VALUE"""),"Whatfix")</f>
        <v>Whatfix</v>
      </c>
      <c r="B1323" s="17" t="str">
        <f>IFERROR(__xludf.DUMMYFUNCTION("""COMPUTED_VALUE"""),"Mr. Vara Kumar Namburu ")</f>
        <v>Mr. Vara Kumar Namburu </v>
      </c>
      <c r="C1323" s="17" t="str">
        <f>IFERROR(__xludf.DUMMYFUNCTION("""COMPUTED_VALUE"""),"CTO")</f>
        <v>CTO</v>
      </c>
      <c r="D1323" s="17"/>
      <c r="E1323" s="17"/>
      <c r="F1323" s="17" t="str">
        <f>IFERROR(__xludf.DUMMYFUNCTION("""COMPUTED_VALUE"""),"varakumar@whatfix.com")</f>
        <v>varakumar@whatfix.com</v>
      </c>
      <c r="G1323" s="17"/>
      <c r="H1323" s="17"/>
    </row>
    <row r="1324">
      <c r="A1324" s="17" t="str">
        <f>IFERROR(__xludf.DUMMYFUNCTION("""COMPUTED_VALUE"""),"Notion")</f>
        <v>Notion</v>
      </c>
      <c r="B1324" s="17" t="str">
        <f>IFERROR(__xludf.DUMMYFUNCTION("""COMPUTED_VALUE""")," Mr. Fuzzy Khosrowshahi")</f>
        <v> Mr. Fuzzy Khosrowshahi</v>
      </c>
      <c r="C1324" s="17" t="str">
        <f>IFERROR(__xludf.DUMMYFUNCTION("""COMPUTED_VALUE"""),"CTO")</f>
        <v>CTO</v>
      </c>
      <c r="D1324" s="17"/>
      <c r="E1324" s="17"/>
      <c r="F1324" s="17" t="str">
        <f>IFERROR(__xludf.DUMMYFUNCTION("""COMPUTED_VALUE"""),"fuzzyk@gmail.com")</f>
        <v>fuzzyk@gmail.com</v>
      </c>
      <c r="G1324" s="17"/>
      <c r="H1324" s="17"/>
    </row>
    <row r="1325">
      <c r="A1325" s="17" t="str">
        <f>IFERROR(__xludf.DUMMYFUNCTION("""COMPUTED_VALUE"""),"PubMatic")</f>
        <v>PubMatic</v>
      </c>
      <c r="B1325" s="17" t="str">
        <f>IFERROR(__xludf.DUMMYFUNCTION("""COMPUTED_VALUE"""),"Mr. John Sabella")</f>
        <v>Mr. John Sabella</v>
      </c>
      <c r="C1325" s="17" t="str">
        <f>IFERROR(__xludf.DUMMYFUNCTION("""COMPUTED_VALUE"""),"CTO (ex)")</f>
        <v>CTO (ex)</v>
      </c>
      <c r="D1325" s="17"/>
      <c r="E1325" s="17"/>
      <c r="F1325" s="17" t="str">
        <f>IFERROR(__xludf.DUMMYFUNCTION("""COMPUTED_VALUE"""),"john.sabella@pubmatic.com")</f>
        <v>john.sabella@pubmatic.com</v>
      </c>
      <c r="G1325" s="17"/>
      <c r="H1325" s="17"/>
    </row>
    <row r="1326">
      <c r="A1326" s="17" t="str">
        <f>IFERROR(__xludf.DUMMYFUNCTION("""COMPUTED_VALUE"""),"Urban Company")</f>
        <v>Urban Company</v>
      </c>
      <c r="B1326" s="17" t="str">
        <f>IFERROR(__xludf.DUMMYFUNCTION("""COMPUTED_VALUE"""),"Raghav Chandra ")</f>
        <v>Raghav Chandra </v>
      </c>
      <c r="C1326" s="17" t="str">
        <f>IFERROR(__xludf.DUMMYFUNCTION("""COMPUTED_VALUE"""),"CTO")</f>
        <v>CTO</v>
      </c>
      <c r="D1326" s="17"/>
      <c r="E1326" s="17"/>
      <c r="F1326" s="17" t="str">
        <f>IFERROR(__xludf.DUMMYFUNCTION("""COMPUTED_VALUE"""),"raghavchandra@urbancompany.com")</f>
        <v>raghavchandra@urbancompany.com</v>
      </c>
      <c r="G1326" s="17"/>
      <c r="H1326" s="17"/>
    </row>
    <row r="1327">
      <c r="A1327" s="17" t="str">
        <f>IFERROR(__xludf.DUMMYFUNCTION("""COMPUTED_VALUE"""),"Cars24")</f>
        <v>Cars24</v>
      </c>
      <c r="B1327" s="17" t="str">
        <f>IFERROR(__xludf.DUMMYFUNCTION("""COMPUTED_VALUE"""),"Deepak Gupta")</f>
        <v>Deepak Gupta</v>
      </c>
      <c r="C1327" s="17" t="str">
        <f>IFERROR(__xludf.DUMMYFUNCTION("""COMPUTED_VALUE"""),"CTO")</f>
        <v>CTO</v>
      </c>
      <c r="D1327" s="17"/>
      <c r="E1327" s="17"/>
      <c r="F1327" s="17" t="str">
        <f>IFERROR(__xludf.DUMMYFUNCTION("""COMPUTED_VALUE"""),"deepakgupta79@gmail.com")</f>
        <v>deepakgupta79@gmail.com</v>
      </c>
      <c r="G1327" s="17"/>
      <c r="H1327" s="17"/>
    </row>
    <row r="1328">
      <c r="A1328" s="17" t="str">
        <f>IFERROR(__xludf.DUMMYFUNCTION("""COMPUTED_VALUE"""),"Ather Energy")</f>
        <v>Ather Energy</v>
      </c>
      <c r="B1328" s="17" t="str">
        <f>IFERROR(__xludf.DUMMYFUNCTION("""COMPUTED_VALUE"""),"Mr. Swapnil Jain")</f>
        <v>Mr. Swapnil Jain</v>
      </c>
      <c r="C1328" s="17" t="str">
        <f>IFERROR(__xludf.DUMMYFUNCTION("""COMPUTED_VALUE"""),"CTO")</f>
        <v>CTO</v>
      </c>
      <c r="D1328" s="17"/>
      <c r="E1328" s="17"/>
      <c r="F1328" s="17" t="str">
        <f>IFERROR(__xludf.DUMMYFUNCTION("""COMPUTED_VALUE"""),"swapnil.jain@atherenergy.com")</f>
        <v>swapnil.jain@atherenergy.com</v>
      </c>
      <c r="G1328" s="17"/>
      <c r="H1328" s="17"/>
    </row>
    <row r="1329">
      <c r="A1329" s="17" t="str">
        <f>IFERROR(__xludf.DUMMYFUNCTION("""COMPUTED_VALUE"""),"GTM Buddy")</f>
        <v>GTM Buddy</v>
      </c>
      <c r="B1329" s="17" t="str">
        <f>IFERROR(__xludf.DUMMYFUNCTION("""COMPUTED_VALUE"""),"Mr. Chandramani Tiwary")</f>
        <v>Mr. Chandramani Tiwary</v>
      </c>
      <c r="C1329" s="17" t="str">
        <f>IFERROR(__xludf.DUMMYFUNCTION("""COMPUTED_VALUE"""),"CTO")</f>
        <v>CTO</v>
      </c>
      <c r="D1329" s="17"/>
      <c r="E1329" s="17"/>
      <c r="F1329" s="17" t="str">
        <f>IFERROR(__xludf.DUMMYFUNCTION("""COMPUTED_VALUE"""),"chandramani@gtmbuddy.ai")</f>
        <v>chandramani@gtmbuddy.ai</v>
      </c>
      <c r="G1329" s="17"/>
      <c r="H1329" s="17"/>
    </row>
    <row r="1330">
      <c r="A1330" s="17" t="str">
        <f>IFERROR(__xludf.DUMMYFUNCTION("""COMPUTED_VALUE"""),"Rapido")</f>
        <v>Rapido</v>
      </c>
      <c r="B1330" s="17" t="str">
        <f>IFERROR(__xludf.DUMMYFUNCTION("""COMPUTED_VALUE"""),"Srivatsa Katta")</f>
        <v>Srivatsa Katta</v>
      </c>
      <c r="C1330" s="17" t="str">
        <f>IFERROR(__xludf.DUMMYFUNCTION("""COMPUTED_VALUE"""),"CTO")</f>
        <v>CTO</v>
      </c>
      <c r="D1330" s="17"/>
      <c r="E1330" s="17"/>
      <c r="F1330" s="17" t="str">
        <f>IFERROR(__xludf.DUMMYFUNCTION("""COMPUTED_VALUE"""),"katta@rapido.bike")</f>
        <v>katta@rapido.bike</v>
      </c>
      <c r="G1330" s="17"/>
      <c r="H1330" s="17"/>
    </row>
    <row r="1331">
      <c r="A1331" s="17" t="str">
        <f>IFERROR(__xludf.DUMMYFUNCTION("""COMPUTED_VALUE"""),"Licious")</f>
        <v>Licious</v>
      </c>
      <c r="B1331" s="17" t="str">
        <f>IFERROR(__xludf.DUMMYFUNCTION("""COMPUTED_VALUE"""),"Mr. Gaurav mathur ")</f>
        <v>Mr. Gaurav mathur </v>
      </c>
      <c r="C1331" s="17" t="str">
        <f>IFERROR(__xludf.DUMMYFUNCTION("""COMPUTED_VALUE"""),"CTO")</f>
        <v>CTO</v>
      </c>
      <c r="D1331" s="17"/>
      <c r="E1331" s="17"/>
      <c r="F1331" s="17" t="str">
        <f>IFERROR(__xludf.DUMMYFUNCTION("""COMPUTED_VALUE"""),"gaurav@licious.in")</f>
        <v>gaurav@licious.in</v>
      </c>
      <c r="G1331" s="17"/>
      <c r="H1331" s="17"/>
    </row>
    <row r="1332">
      <c r="A1332" s="17" t="str">
        <f>IFERROR(__xludf.DUMMYFUNCTION("""COMPUTED_VALUE"""),"Locus")</f>
        <v>Locus</v>
      </c>
      <c r="B1332" s="17" t="str">
        <f>IFERROR(__xludf.DUMMYFUNCTION("""COMPUTED_VALUE"""),"Mr. Geet Garg")</f>
        <v>Mr. Geet Garg</v>
      </c>
      <c r="C1332" s="17" t="str">
        <f>IFERROR(__xludf.DUMMYFUNCTION("""COMPUTED_VALUE"""),"CTO")</f>
        <v>CTO</v>
      </c>
      <c r="D1332" s="17"/>
      <c r="E1332" s="17"/>
      <c r="F1332" s="17" t="str">
        <f>IFERROR(__xludf.DUMMYFUNCTION("""COMPUTED_VALUE"""),"geet@locus.sh")</f>
        <v>geet@locus.sh</v>
      </c>
      <c r="G1332" s="17"/>
      <c r="H1332" s="17"/>
    </row>
    <row r="1333">
      <c r="A1333" s="27" t="str">
        <f>IFERROR(__xludf.DUMMYFUNCTION("""COMPUTED_VALUE"""),"DecisionX.ai")</f>
        <v>DecisionX.ai</v>
      </c>
      <c r="B1333" s="17" t="str">
        <f>IFERROR(__xludf.DUMMYFUNCTION("""COMPUTED_VALUE"""),"Ranjan Kumar ")</f>
        <v>Ranjan Kumar </v>
      </c>
      <c r="C1333" s="17" t="str">
        <f>IFERROR(__xludf.DUMMYFUNCTION("""COMPUTED_VALUE"""),"CTO")</f>
        <v>CTO</v>
      </c>
      <c r="D1333" s="17"/>
      <c r="E1333" s="17"/>
      <c r="F1333" s="17" t="str">
        <f>IFERROR(__xludf.DUMMYFUNCTION("""COMPUTED_VALUE"""),"ranjan@decisionx.ai")</f>
        <v>ranjan@decisionx.ai</v>
      </c>
      <c r="G1333" s="17"/>
      <c r="H1333" s="17"/>
    </row>
    <row r="1334">
      <c r="A1334" s="17" t="str">
        <f>IFERROR(__xludf.DUMMYFUNCTION("""COMPUTED_VALUE"""),"Navi")</f>
        <v>Navi</v>
      </c>
      <c r="B1334" s="17" t="str">
        <f>IFERROR(__xludf.DUMMYFUNCTION("""COMPUTED_VALUE"""),"Ankit Agarwal")</f>
        <v>Ankit Agarwal</v>
      </c>
      <c r="C1334" s="17" t="str">
        <f>IFERROR(__xludf.DUMMYFUNCTION("""COMPUTED_VALUE"""),"CFO")</f>
        <v>CFO</v>
      </c>
      <c r="D1334" s="17"/>
      <c r="E1334" s="17" t="str">
        <f>IFERROR(__xludf.DUMMYFUNCTION("""COMPUTED_VALUE"""),"91 98202 56194")</f>
        <v>91 98202 56194</v>
      </c>
      <c r="F1334" s="17" t="str">
        <f>IFERROR(__xludf.DUMMYFUNCTION("""COMPUTED_VALUE"""),"ankit.agarwal@navi.com, agar.ankit@gmail.com")</f>
        <v>ankit.agarwal@navi.com, agar.ankit@gmail.com</v>
      </c>
      <c r="G1334" s="17"/>
      <c r="H1334" s="17"/>
    </row>
    <row r="1335">
      <c r="A1335" s="17" t="str">
        <f>IFERROR(__xludf.DUMMYFUNCTION("""COMPUTED_VALUE"""),"Nasscom")</f>
        <v>Nasscom</v>
      </c>
      <c r="B1335" s="17" t="str">
        <f>IFERROR(__xludf.DUMMYFUNCTION("""COMPUTED_VALUE"""),"Jeyandran Venugopal")</f>
        <v>Jeyandran Venugopal</v>
      </c>
      <c r="C1335" s="17" t="str">
        <f>IFERROR(__xludf.DUMMYFUNCTION("""COMPUTED_VALUE"""),"Chairperson Deeptech")</f>
        <v>Chairperson Deeptech</v>
      </c>
      <c r="D1335" s="17"/>
      <c r="E1335" s="17"/>
      <c r="F1335" s="17" t="str">
        <f>IFERROR(__xludf.DUMMYFUNCTION("""COMPUTED_VALUE"""),"jeyandran@gmail.com")</f>
        <v>jeyandran@gmail.com</v>
      </c>
      <c r="G1335" s="17"/>
      <c r="H1335" s="17"/>
    </row>
    <row r="1336">
      <c r="A1336" s="17" t="str">
        <f>IFERROR(__xludf.DUMMYFUNCTION("""COMPUTED_VALUE"""),"Zomato")</f>
        <v>Zomato</v>
      </c>
      <c r="B1336" s="17" t="str">
        <f>IFERROR(__xludf.DUMMYFUNCTION("""COMPUTED_VALUE"""),"Gunjan Patidar")</f>
        <v>Gunjan Patidar</v>
      </c>
      <c r="C1336" s="17" t="str">
        <f>IFERROR(__xludf.DUMMYFUNCTION("""COMPUTED_VALUE"""),"CTO (ex)")</f>
        <v>CTO (ex)</v>
      </c>
      <c r="D1336" s="17"/>
      <c r="E1336" s="17"/>
      <c r="F1336" s="17" t="str">
        <f>IFERROR(__xludf.DUMMYFUNCTION("""COMPUTED_VALUE"""),"gunjan@foodiebay.com")</f>
        <v>gunjan@foodiebay.com</v>
      </c>
      <c r="G1336" s="17"/>
      <c r="H1336" s="17"/>
    </row>
    <row r="1337">
      <c r="A1337" s="17" t="str">
        <f>IFERROR(__xludf.DUMMYFUNCTION("""COMPUTED_VALUE"""),"OYO")</f>
        <v>OYO</v>
      </c>
      <c r="B1337" s="17" t="str">
        <f>IFERROR(__xludf.DUMMYFUNCTION("""COMPUTED_VALUE"""),"Pratap Kumar Singh")</f>
        <v>Pratap Kumar Singh</v>
      </c>
      <c r="C1337" s="17" t="str">
        <f>IFERROR(__xludf.DUMMYFUNCTION("""COMPUTED_VALUE"""),"Head - Global Technology Support, IT")</f>
        <v>Head - Global Technology Support, IT</v>
      </c>
      <c r="D1337" s="17"/>
      <c r="E1337" s="17"/>
      <c r="F1337" s="17" t="str">
        <f>IFERROR(__xludf.DUMMYFUNCTION("""COMPUTED_VALUE"""),"pratapkrsingh@gmail.com")</f>
        <v>pratapkrsingh@gmail.com</v>
      </c>
      <c r="G1337" s="17"/>
      <c r="H1337" s="17"/>
    </row>
    <row r="1338">
      <c r="A1338" s="17" t="str">
        <f>IFERROR(__xludf.DUMMYFUNCTION("""COMPUTED_VALUE"""),"Ola")</f>
        <v>Ola</v>
      </c>
      <c r="B1338" s="17" t="str">
        <f>IFERROR(__xludf.DUMMYFUNCTION("""COMPUTED_VALUE"""),"Suvonil Chatterjee")</f>
        <v>Suvonil Chatterjee</v>
      </c>
      <c r="C1338" s="17" t="str">
        <f>IFERROR(__xludf.DUMMYFUNCTION("""COMPUTED_VALUE"""),"CTO (ex)")</f>
        <v>CTO (ex)</v>
      </c>
      <c r="D1338" s="17"/>
      <c r="E1338" s="17"/>
      <c r="F1338" s="17" t="str">
        <f>IFERROR(__xludf.DUMMYFUNCTION("""COMPUTED_VALUE"""),"suvonil@olacabs.com")</f>
        <v>suvonil@olacabs.com</v>
      </c>
      <c r="G1338" s="17"/>
      <c r="H1338" s="17"/>
    </row>
    <row r="1339">
      <c r="A1339" s="17" t="str">
        <f>IFERROR(__xludf.DUMMYFUNCTION("""COMPUTED_VALUE"""),"Swiggy")</f>
        <v>Swiggy</v>
      </c>
      <c r="B1339" s="17" t="str">
        <f>IFERROR(__xludf.DUMMYFUNCTION("""COMPUTED_VALUE"""),"Madhusudhan Rao")</f>
        <v>Madhusudhan Rao</v>
      </c>
      <c r="C1339" s="17" t="str">
        <f>IFERROR(__xludf.DUMMYFUNCTION("""COMPUTED_VALUE"""),"CTO")</f>
        <v>CTO</v>
      </c>
      <c r="D1339" s="17"/>
      <c r="E1339" s="17"/>
      <c r="F1339" s="17" t="str">
        <f>IFERROR(__xludf.DUMMYFUNCTION("""COMPUTED_VALUE"""),"madhusudhan.rao@swiggy.in")</f>
        <v>madhusudhan.rao@swiggy.in</v>
      </c>
      <c r="G1339" s="17"/>
      <c r="H1339" s="17"/>
    </row>
    <row r="1340">
      <c r="A1340" s="17" t="str">
        <f>IFERROR(__xludf.DUMMYFUNCTION("""COMPUTED_VALUE"""),"PhonePe")</f>
        <v>PhonePe</v>
      </c>
      <c r="B1340" s="17" t="str">
        <f>IFERROR(__xludf.DUMMYFUNCTION("""COMPUTED_VALUE"""),"Rahul Chari")</f>
        <v>Rahul Chari</v>
      </c>
      <c r="C1340" s="17" t="str">
        <f>IFERROR(__xludf.DUMMYFUNCTION("""COMPUTED_VALUE"""),"Founder &amp; CTO")</f>
        <v>Founder &amp; CTO</v>
      </c>
      <c r="D1340" s="17"/>
      <c r="E1340" s="17"/>
      <c r="F1340" s="17" t="str">
        <f>IFERROR(__xludf.DUMMYFUNCTION("""COMPUTED_VALUE"""),"rahul@thenudge.org")</f>
        <v>rahul@thenudge.org</v>
      </c>
      <c r="G1340" s="17"/>
      <c r="H1340" s="17"/>
    </row>
    <row r="1341">
      <c r="A1341" s="17" t="str">
        <f>IFERROR(__xludf.DUMMYFUNCTION("""COMPUTED_VALUE"""),"Razorpay")</f>
        <v>Razorpay</v>
      </c>
      <c r="B1341" s="17" t="str">
        <f>IFERROR(__xludf.DUMMYFUNCTION("""COMPUTED_VALUE"""),"Murali Brahmadesam")</f>
        <v>Murali Brahmadesam</v>
      </c>
      <c r="C1341" s="17" t="str">
        <f>IFERROR(__xludf.DUMMYFUNCTION("""COMPUTED_VALUE"""),"CTO (ex)")</f>
        <v>CTO (ex)</v>
      </c>
      <c r="D1341" s="17"/>
      <c r="E1341" s="17"/>
      <c r="F1341" s="17" t="str">
        <f>IFERROR(__xludf.DUMMYFUNCTION("""COMPUTED_VALUE"""),"murali.brahmadesam@razorpay.com")</f>
        <v>murali.brahmadesam@razorpay.com</v>
      </c>
      <c r="G1341" s="17"/>
      <c r="H1341" s="17"/>
    </row>
    <row r="1342">
      <c r="A1342" s="17" t="str">
        <f>IFERROR(__xludf.DUMMYFUNCTION("""COMPUTED_VALUE"""),"Udaan")</f>
        <v>Udaan</v>
      </c>
      <c r="B1342" s="17" t="str">
        <f>IFERROR(__xludf.DUMMYFUNCTION("""COMPUTED_VALUE"""),"Amod Malviya")</f>
        <v>Amod Malviya</v>
      </c>
      <c r="C1342" s="17" t="str">
        <f>IFERROR(__xludf.DUMMYFUNCTION("""COMPUTED_VALUE"""),"Co-founder &amp; CTO")</f>
        <v>Co-founder &amp; CTO</v>
      </c>
      <c r="D1342" s="17"/>
      <c r="E1342" s="17"/>
      <c r="F1342" s="17" t="str">
        <f>IFERROR(__xludf.DUMMYFUNCTION("""COMPUTED_VALUE"""),"amod@pre6.ai")</f>
        <v>amod@pre6.ai</v>
      </c>
      <c r="G1342" s="17"/>
      <c r="H1342" s="17"/>
    </row>
    <row r="1343">
      <c r="A1343" s="17" t="str">
        <f>IFERROR(__xludf.DUMMYFUNCTION("""COMPUTED_VALUE"""),"Delhivery")</f>
        <v>Delhivery</v>
      </c>
      <c r="B1343" s="17" t="str">
        <f>IFERROR(__xludf.DUMMYFUNCTION("""COMPUTED_VALUE"""),"Kapil Bharati")</f>
        <v>Kapil Bharati</v>
      </c>
      <c r="C1343" s="17" t="str">
        <f>IFERROR(__xludf.DUMMYFUNCTION("""COMPUTED_VALUE"""),"Co-founder &amp; CTO")</f>
        <v>Co-founder &amp; CTO</v>
      </c>
      <c r="D1343" s="17"/>
      <c r="E1343" s="17"/>
      <c r="F1343" s="17" t="str">
        <f>IFERROR(__xludf.DUMMYFUNCTION("""COMPUTED_VALUE"""),"kapil.bharati@delhivery.com")</f>
        <v>kapil.bharati@delhivery.com</v>
      </c>
      <c r="G1343" s="17"/>
      <c r="H1343" s="17"/>
    </row>
    <row r="1344">
      <c r="A1344" s="17" t="str">
        <f>IFERROR(__xludf.DUMMYFUNCTION("""COMPUTED_VALUE"""),"CRED")</f>
        <v>CRED</v>
      </c>
      <c r="B1344" s="17" t="str">
        <f>IFERROR(__xludf.DUMMYFUNCTION("""COMPUTED_VALUE"""),"Ganesh Subramanian ")</f>
        <v>Ganesh Subramanian </v>
      </c>
      <c r="C1344" s="17" t="str">
        <f>IFERROR(__xludf.DUMMYFUNCTION("""COMPUTED_VALUE"""),"Heading Technology")</f>
        <v>Heading Technology</v>
      </c>
      <c r="D1344" s="17"/>
      <c r="E1344" s="17"/>
      <c r="F1344" s="17" t="str">
        <f>IFERROR(__xludf.DUMMYFUNCTION("""COMPUTED_VALUE"""),"ganesh.subramanian@cred.club")</f>
        <v>ganesh.subramanian@cred.club</v>
      </c>
      <c r="G1344" s="17"/>
      <c r="H1344" s="17"/>
    </row>
    <row r="1345">
      <c r="A1345" s="17" t="str">
        <f>IFERROR(__xludf.DUMMYFUNCTION("""COMPUTED_VALUE"""),"Meesho")</f>
        <v>Meesho</v>
      </c>
      <c r="B1345" s="17" t="str">
        <f>IFERROR(__xludf.DUMMYFUNCTION("""COMPUTED_VALUE"""),"Sanjeev Barnwal")</f>
        <v>Sanjeev Barnwal</v>
      </c>
      <c r="C1345" s="17" t="str">
        <f>IFERROR(__xludf.DUMMYFUNCTION("""COMPUTED_VALUE"""),"Founder &amp; CTO")</f>
        <v>Founder &amp; CTO</v>
      </c>
      <c r="D1345" s="17"/>
      <c r="E1345" s="17"/>
      <c r="F1345" s="17" t="str">
        <f>IFERROR(__xludf.DUMMYFUNCTION("""COMPUTED_VALUE"""),"sanjeev@meesho.com")</f>
        <v>sanjeev@meesho.com</v>
      </c>
      <c r="G1345" s="17"/>
      <c r="H1345" s="17"/>
    </row>
    <row r="1346">
      <c r="A1346" s="17" t="str">
        <f>IFERROR(__xludf.DUMMYFUNCTION("""COMPUTED_VALUE"""),"Dream11")</f>
        <v>Dream11</v>
      </c>
      <c r="B1346" s="17" t="str">
        <f>IFERROR(__xludf.DUMMYFUNCTION("""COMPUTED_VALUE"""),"Amit Sharma")</f>
        <v>Amit Sharma</v>
      </c>
      <c r="C1346" s="17" t="str">
        <f>IFERROR(__xludf.DUMMYFUNCTION("""COMPUTED_VALUE"""),"CTO")</f>
        <v>CTO</v>
      </c>
      <c r="D1346" s="17"/>
      <c r="E1346" s="17"/>
      <c r="F1346" s="17" t="str">
        <f>IFERROR(__xludf.DUMMYFUNCTION("""COMPUTED_VALUE"""),"amit.sharma@dreamsports.group")</f>
        <v>amit.sharma@dreamsports.group</v>
      </c>
      <c r="G1346" s="17"/>
      <c r="H1346" s="17"/>
    </row>
    <row r="1347">
      <c r="A1347" s="17" t="str">
        <f>IFERROR(__xludf.DUMMYFUNCTION("""COMPUTED_VALUE"""),"Lenskart")</f>
        <v>Lenskart</v>
      </c>
      <c r="B1347" s="17" t="str">
        <f>IFERROR(__xludf.DUMMYFUNCTION("""COMPUTED_VALUE"""),"Satyajit Roy")</f>
        <v>Satyajit Roy</v>
      </c>
      <c r="C1347" s="17" t="str">
        <f>IFERROR(__xludf.DUMMYFUNCTION("""COMPUTED_VALUE"""),"CTO")</f>
        <v>CTO</v>
      </c>
      <c r="D1347" s="17"/>
      <c r="E1347" s="17"/>
      <c r="F1347" s="17" t="str">
        <f>IFERROR(__xludf.DUMMYFUNCTION("""COMPUTED_VALUE"""),"natraj.choudhury@lenskart.com")</f>
        <v>natraj.choudhury@lenskart.com</v>
      </c>
      <c r="G1347" s="17"/>
      <c r="H1347" s="17"/>
    </row>
    <row r="1348">
      <c r="A1348" s="17" t="str">
        <f>IFERROR(__xludf.DUMMYFUNCTION("""COMPUTED_VALUE"""),"Zerodha")</f>
        <v>Zerodha</v>
      </c>
      <c r="B1348" s="17" t="str">
        <f>IFERROR(__xludf.DUMMYFUNCTION("""COMPUTED_VALUE"""),"Kailash Nadh")</f>
        <v>Kailash Nadh</v>
      </c>
      <c r="C1348" s="17" t="str">
        <f>IFERROR(__xludf.DUMMYFUNCTION("""COMPUTED_VALUE"""),"CTO")</f>
        <v>CTO</v>
      </c>
      <c r="D1348" s="17"/>
      <c r="E1348" s="17"/>
      <c r="F1348" s="17" t="str">
        <f>IFERROR(__xludf.DUMMYFUNCTION("""COMPUTED_VALUE"""),"kailash@zerodha.com")</f>
        <v>kailash@zerodha.com</v>
      </c>
      <c r="G1348" s="17"/>
      <c r="H1348" s="17"/>
    </row>
    <row r="1349">
      <c r="A1349" s="17" t="str">
        <f>IFERROR(__xludf.DUMMYFUNCTION("""COMPUTED_VALUE"""),"InMobi")</f>
        <v>InMobi</v>
      </c>
      <c r="B1349" s="17" t="str">
        <f>IFERROR(__xludf.DUMMYFUNCTION("""COMPUTED_VALUE"""),"Mohit Saxena ")</f>
        <v>Mohit Saxena </v>
      </c>
      <c r="C1349" s="17" t="str">
        <f>IFERROR(__xludf.DUMMYFUNCTION("""COMPUTED_VALUE"""),"Co-Founder &amp; CTO")</f>
        <v>Co-Founder &amp; CTO</v>
      </c>
      <c r="D1349" s="17"/>
      <c r="E1349" s="17"/>
      <c r="F1349" s="17" t="str">
        <f>IFERROR(__xludf.DUMMYFUNCTION("""COMPUTED_VALUE"""),"mohit.saxena@inmobi.com")</f>
        <v>mohit.saxena@inmobi.com</v>
      </c>
      <c r="G1349" s="17"/>
      <c r="H1349" s="17"/>
    </row>
    <row r="1350">
      <c r="A1350" s="17" t="str">
        <f>IFERROR(__xludf.DUMMYFUNCTION("""COMPUTED_VALUE"""),"FirstCry")</f>
        <v>FirstCry</v>
      </c>
      <c r="B1350" s="17" t="str">
        <f>IFERROR(__xludf.DUMMYFUNCTION("""COMPUTED_VALUE"""),"Amitava Sanyal")</f>
        <v>Amitava Sanyal</v>
      </c>
      <c r="C1350" s="17"/>
      <c r="D1350" s="17"/>
      <c r="E1350" s="17"/>
      <c r="F1350" s="17"/>
      <c r="G1350" s="17"/>
      <c r="H1350" s="17"/>
    </row>
    <row r="1351">
      <c r="A1351" s="17" t="str">
        <f>IFERROR(__xludf.DUMMYFUNCTION("""COMPUTED_VALUE"""),"Unacademy")</f>
        <v>Unacademy</v>
      </c>
      <c r="B1351" s="17" t="str">
        <f>IFERROR(__xludf.DUMMYFUNCTION("""COMPUTED_VALUE"""),"Hemesh Singh")</f>
        <v>Hemesh Singh</v>
      </c>
      <c r="C1351" s="17" t="str">
        <f>IFERROR(__xludf.DUMMYFUNCTION("""COMPUTED_VALUE"""),"Co-founder &amp; CTO")</f>
        <v>Co-founder &amp; CTO</v>
      </c>
      <c r="D1351" s="17"/>
      <c r="E1351" s="17"/>
      <c r="F1351" s="17" t="str">
        <f>IFERROR(__xludf.DUMMYFUNCTION("""COMPUTED_VALUE"""),"hemesh@unacademy.com")</f>
        <v>hemesh@unacademy.com</v>
      </c>
      <c r="G1351" s="17"/>
      <c r="H1351" s="17"/>
    </row>
    <row r="1352">
      <c r="A1352" s="17" t="str">
        <f>IFERROR(__xludf.DUMMYFUNCTION("""COMPUTED_VALUE"""),"ShareChat")</f>
        <v>ShareChat</v>
      </c>
      <c r="B1352" s="17" t="str">
        <f>IFERROR(__xludf.DUMMYFUNCTION("""COMPUTED_VALUE"""),"Nitin Jain")</f>
        <v>Nitin Jain</v>
      </c>
      <c r="C1352" s="17" t="str">
        <f>IFERROR(__xludf.DUMMYFUNCTION("""COMPUTED_VALUE"""),"CTO")</f>
        <v>CTO</v>
      </c>
      <c r="D1352" s="17"/>
      <c r="E1352" s="17"/>
      <c r="F1352" s="17" t="str">
        <f>IFERROR(__xludf.DUMMYFUNCTION("""COMPUTED_VALUE"""),"nitinjain@sharechat.com")</f>
        <v>nitinjain@sharechat.com</v>
      </c>
      <c r="G1352" s="17"/>
      <c r="H1352" s="17"/>
    </row>
    <row r="1353">
      <c r="A1353" s="17" t="str">
        <f>IFERROR(__xludf.DUMMYFUNCTION("""COMPUTED_VALUE"""),"CarDekho")</f>
        <v>CarDekho</v>
      </c>
      <c r="B1353" s="17" t="str">
        <f>IFERROR(__xludf.DUMMYFUNCTION("""COMPUTED_VALUE"""),"Ajay Jangir")</f>
        <v>Ajay Jangir</v>
      </c>
      <c r="C1353" s="17" t="str">
        <f>IFERROR(__xludf.DUMMYFUNCTION("""COMPUTED_VALUE"""),"Tech Head")</f>
        <v>Tech Head</v>
      </c>
      <c r="D1353" s="17"/>
      <c r="E1353" s="17"/>
      <c r="F1353" s="17" t="str">
        <f>IFERROR(__xludf.DUMMYFUNCTION("""COMPUTED_VALUE"""),"ajay@girnarsoft.com")</f>
        <v>ajay@girnarsoft.com</v>
      </c>
      <c r="G1353" s="17"/>
      <c r="H1353" s="17"/>
    </row>
    <row r="1354">
      <c r="A1354" s="17" t="str">
        <f>IFERROR(__xludf.DUMMYFUNCTION("""COMPUTED_VALUE"""),"Tata 1mg")</f>
        <v>Tata 1mg</v>
      </c>
      <c r="B1354" s="17" t="str">
        <f>IFERROR(__xludf.DUMMYFUNCTION("""COMPUTED_VALUE"""),"Gaurav Agarwal")</f>
        <v>Gaurav Agarwal</v>
      </c>
      <c r="C1354" s="17" t="str">
        <f>IFERROR(__xludf.DUMMYFUNCTION("""COMPUTED_VALUE"""),"Co-founder &amp; CTO")</f>
        <v>Co-founder &amp; CTO</v>
      </c>
      <c r="D1354" s="17"/>
      <c r="E1354" s="17"/>
      <c r="F1354" s="17" t="str">
        <f>IFERROR(__xludf.DUMMYFUNCTION("""COMPUTED_VALUE"""),"gaurava@1mg.com")</f>
        <v>gaurava@1mg.com</v>
      </c>
      <c r="G1354" s="17"/>
      <c r="H1354" s="17"/>
    </row>
    <row r="1355">
      <c r="A1355" s="17" t="str">
        <f>IFERROR(__xludf.DUMMYFUNCTION("""COMPUTED_VALUE"""),"Nykaa")</f>
        <v>Nykaa</v>
      </c>
      <c r="B1355" s="17" t="str">
        <f>IFERROR(__xludf.DUMMYFUNCTION("""COMPUTED_VALUE"""),"Dipankar De")</f>
        <v>Dipankar De</v>
      </c>
      <c r="C1355" s="17" t="str">
        <f>IFERROR(__xludf.DUMMYFUNCTION("""COMPUTED_VALUE"""),"CPTO")</f>
        <v>CPTO</v>
      </c>
      <c r="D1355" s="17"/>
      <c r="E1355" s="17"/>
      <c r="F1355" s="17" t="str">
        <f>IFERROR(__xludf.DUMMYFUNCTION("""COMPUTED_VALUE"""),"rajesh@nykaa.com")</f>
        <v>rajesh@nykaa.com</v>
      </c>
      <c r="G1355" s="17"/>
      <c r="H1355" s="17"/>
    </row>
    <row r="1356">
      <c r="A1356" s="17" t="str">
        <f>IFERROR(__xludf.DUMMYFUNCTION("""COMPUTED_VALUE"""),"BrowserStack")</f>
        <v>BrowserStack</v>
      </c>
      <c r="B1356" s="17" t="str">
        <f>IFERROR(__xludf.DUMMYFUNCTION("""COMPUTED_VALUE"""),"Nakul Aggarwal")</f>
        <v>Nakul Aggarwal</v>
      </c>
      <c r="C1356" s="17" t="str">
        <f>IFERROR(__xludf.DUMMYFUNCTION("""COMPUTED_VALUE"""),"Co-founder &amp; CTO")</f>
        <v>Co-founder &amp; CTO</v>
      </c>
      <c r="D1356" s="17"/>
      <c r="E1356" s="17"/>
      <c r="F1356" s="17" t="str">
        <f>IFERROR(__xludf.DUMMYFUNCTION("""COMPUTED_VALUE"""),"nakul@browserstack.com")</f>
        <v>nakul@browserstack.com</v>
      </c>
      <c r="G1356" s="17"/>
      <c r="H1356" s="17"/>
    </row>
    <row r="1357">
      <c r="A1357" s="17" t="str">
        <f>IFERROR(__xludf.DUMMYFUNCTION("""COMPUTED_VALUE"""),"OfBusiness")</f>
        <v>OfBusiness</v>
      </c>
      <c r="B1357" s="17" t="str">
        <f>IFERROR(__xludf.DUMMYFUNCTION("""COMPUTED_VALUE"""),"Shailendra Sharma")</f>
        <v>Shailendra Sharma</v>
      </c>
      <c r="C1357" s="17" t="str">
        <f>IFERROR(__xludf.DUMMYFUNCTION("""COMPUTED_VALUE"""),"Co-founder &amp; CTO")</f>
        <v>Co-founder &amp; CTO</v>
      </c>
      <c r="D1357" s="17"/>
      <c r="E1357" s="17"/>
      <c r="F1357" s="17" t="str">
        <f>IFERROR(__xludf.DUMMYFUNCTION("""COMPUTED_VALUE"""),"bhuvan@ofbusiness.com")</f>
        <v>bhuvan@ofbusiness.com</v>
      </c>
      <c r="G1357" s="17"/>
      <c r="H1357" s="17"/>
    </row>
    <row r="1358">
      <c r="A1358" s="17" t="str">
        <f>IFERROR(__xludf.DUMMYFUNCTION("""COMPUTED_VALUE"""),"CoinSwitch Kuber")</f>
        <v>CoinSwitch Kuber</v>
      </c>
      <c r="B1358" s="17" t="str">
        <f>IFERROR(__xludf.DUMMYFUNCTION("""COMPUTED_VALUE"""),"Govind Soni")</f>
        <v>Govind Soni</v>
      </c>
      <c r="C1358" s="17" t="str">
        <f>IFERROR(__xludf.DUMMYFUNCTION("""COMPUTED_VALUE"""),"Co-founder &amp; CTO")</f>
        <v>Co-founder &amp; CTO</v>
      </c>
      <c r="D1358" s="17"/>
      <c r="E1358" s="17"/>
      <c r="F1358" s="17" t="str">
        <f>IFERROR(__xludf.DUMMYFUNCTION("""COMPUTED_VALUE"""),"govind@peepal.co")</f>
        <v>govind@peepal.co</v>
      </c>
      <c r="G1358" s="17"/>
      <c r="H1358" s="17"/>
    </row>
    <row r="1359">
      <c r="A1359" s="17" t="str">
        <f>IFERROR(__xludf.DUMMYFUNCTION("""COMPUTED_VALUE"""),"Zeta")</f>
        <v>Zeta</v>
      </c>
      <c r="B1359" s="17" t="str">
        <f>IFERROR(__xludf.DUMMYFUNCTION("""COMPUTED_VALUE"""),"Ramakrishna Gaddipati")</f>
        <v>Ramakrishna Gaddipati</v>
      </c>
      <c r="C1359" s="17" t="str">
        <f>IFERROR(__xludf.DUMMYFUNCTION("""COMPUTED_VALUE"""),"Co-founder &amp; CTO")</f>
        <v>Co-founder &amp; CTO</v>
      </c>
      <c r="D1359" s="17"/>
      <c r="E1359" s="17" t="str">
        <f>IFERROR(__xludf.DUMMYFUNCTION("""COMPUTED_VALUE"""),"ramki@zeta.tech")</f>
        <v>ramki@zeta.tech</v>
      </c>
      <c r="F1359" s="17" t="str">
        <f>IFERROR(__xludf.DUMMYFUNCTION("""COMPUTED_VALUE"""),"ramki.gaddipati@zeta.com")</f>
        <v>ramki.gaddipati@zeta.com</v>
      </c>
      <c r="G1359" s="17"/>
      <c r="H1359" s="17"/>
    </row>
    <row r="1360">
      <c r="A1360" s="17" t="str">
        <f>IFERROR(__xludf.DUMMYFUNCTION("""COMPUTED_VALUE"""),"Spinny")</f>
        <v>Spinny</v>
      </c>
      <c r="B1360" s="17" t="str">
        <f>IFERROR(__xludf.DUMMYFUNCTION("""COMPUTED_VALUE"""),"Niraj Singh")</f>
        <v>Niraj Singh</v>
      </c>
      <c r="C1360" s="17" t="str">
        <f>IFERROR(__xludf.DUMMYFUNCTION("""COMPUTED_VALUE"""),"Founder &amp; CTO")</f>
        <v>Founder &amp; CTO</v>
      </c>
      <c r="D1360" s="17"/>
      <c r="E1360" s="17"/>
      <c r="F1360" s="17" t="str">
        <f>IFERROR(__xludf.DUMMYFUNCTION("""COMPUTED_VALUE"""),"ramanshu.mahaur@spinny.com")</f>
        <v>ramanshu.mahaur@spinny.com</v>
      </c>
      <c r="G1360" s="17"/>
      <c r="H1360" s="17"/>
    </row>
    <row r="1361">
      <c r="A1361" s="17" t="str">
        <f>IFERROR(__xludf.DUMMYFUNCTION("""COMPUTED_VALUE"""),"Infra.Market")</f>
        <v>Infra.Market</v>
      </c>
      <c r="B1361" s="17" t="str">
        <f>IFERROR(__xludf.DUMMYFUNCTION("""COMPUTED_VALUE"""),"Satya Kaliki")</f>
        <v>Satya Kaliki</v>
      </c>
      <c r="C1361" s="17" t="str">
        <f>IFERROR(__xludf.DUMMYFUNCTION("""COMPUTED_VALUE"""),"CTO")</f>
        <v>CTO</v>
      </c>
      <c r="D1361" s="17"/>
      <c r="E1361" s="17"/>
      <c r="F1361" s="17" t="str">
        <f>IFERROR(__xludf.DUMMYFUNCTION("""COMPUTED_VALUE"""),"satya.kaliki@infra.market")</f>
        <v>satya.kaliki@infra.market</v>
      </c>
      <c r="G1361" s="17"/>
      <c r="H1361" s="17"/>
    </row>
    <row r="1362">
      <c r="A1362" s="17" t="str">
        <f>IFERROR(__xludf.DUMMYFUNCTION("""COMPUTED_VALUE"""),"Five Star Business Finance")</f>
        <v>Five Star Business Finance</v>
      </c>
      <c r="B1362" s="17" t="str">
        <f>IFERROR(__xludf.DUMMYFUNCTION("""COMPUTED_VALUE"""),"Vanamali R Sridharan")</f>
        <v>Vanamali R Sridharan</v>
      </c>
      <c r="C1362" s="17" t="str">
        <f>IFERROR(__xludf.DUMMYFUNCTION("""COMPUTED_VALUE"""),"CTO")</f>
        <v>CTO</v>
      </c>
      <c r="D1362" s="17"/>
      <c r="E1362" s="17"/>
      <c r="F1362" s="17" t="str">
        <f>IFERROR(__xludf.DUMMYFUNCTION("""COMPUTED_VALUE"""),"rsvanamali@hotmail.com")</f>
        <v>rsvanamali@hotmail.com</v>
      </c>
      <c r="G1362" s="17"/>
      <c r="H1362" s="17"/>
    </row>
    <row r="1363">
      <c r="A1363" s="17" t="str">
        <f>IFERROR(__xludf.DUMMYFUNCTION("""COMPUTED_VALUE"""),"NoBroker")</f>
        <v>NoBroker</v>
      </c>
      <c r="B1363" s="17" t="str">
        <f>IFERROR(__xludf.DUMMYFUNCTION("""COMPUTED_VALUE"""),"Akhil Raja")</f>
        <v>Akhil Raja</v>
      </c>
      <c r="C1363" s="17" t="str">
        <f>IFERROR(__xludf.DUMMYFUNCTION("""COMPUTED_VALUE"""),"Founder &amp; CTO")</f>
        <v>Founder &amp; CTO</v>
      </c>
      <c r="D1363" s="17"/>
      <c r="E1363" s="17"/>
      <c r="F1363" s="17" t="str">
        <f>IFERROR(__xludf.DUMMYFUNCTION("""COMPUTED_VALUE"""),"akhil@nobroker.in")</f>
        <v>akhil@nobroker.in</v>
      </c>
      <c r="G1363" s="17"/>
      <c r="H1363" s="17"/>
    </row>
    <row r="1364">
      <c r="A1364" s="17" t="str">
        <f>IFERROR(__xludf.DUMMYFUNCTION("""COMPUTED_VALUE"""),"MPL")</f>
        <v>MPL</v>
      </c>
      <c r="B1364" s="17" t="str">
        <f>IFERROR(__xludf.DUMMYFUNCTION("""COMPUTED_VALUE"""),"Ms. Namratha B Swamy")</f>
        <v>Ms. Namratha B Swamy</v>
      </c>
      <c r="C1364" s="17" t="str">
        <f>IFERROR(__xludf.DUMMYFUNCTION("""COMPUTED_VALUE"""),"CTO/COO")</f>
        <v>CTO/COO</v>
      </c>
      <c r="D1364" s="17"/>
      <c r="E1364" s="17"/>
      <c r="F1364" s="17" t="str">
        <f>IFERROR(__xludf.DUMMYFUNCTION("""COMPUTED_VALUE"""),"1989born@gmail.com")</f>
        <v>1989born@gmail.com</v>
      </c>
      <c r="G1364" s="17"/>
      <c r="H1364" s="17"/>
    </row>
    <row r="1365">
      <c r="A1365" s="17" t="str">
        <f>IFERROR(__xludf.DUMMYFUNCTION("""COMPUTED_VALUE"""),"Urban Ladder")</f>
        <v>Urban Ladder</v>
      </c>
      <c r="B1365" s="17" t="str">
        <f>IFERROR(__xludf.DUMMYFUNCTION("""COMPUTED_VALUE"""),"Lalit Chandnani")</f>
        <v>Lalit Chandnani</v>
      </c>
      <c r="C1365" s="17" t="str">
        <f>IFERROR(__xludf.DUMMYFUNCTION("""COMPUTED_VALUE"""),"CTO")</f>
        <v>CTO</v>
      </c>
      <c r="D1365" s="17"/>
      <c r="E1365" s="17"/>
      <c r="F1365" s="17" t="str">
        <f>IFERROR(__xludf.DUMMYFUNCTION("""COMPUTED_VALUE"""),"lalit.chandnani@urbanladder.com")</f>
        <v>lalit.chandnani@urbanladder.com</v>
      </c>
      <c r="G1365" s="17"/>
      <c r="H1365" s="17"/>
    </row>
    <row r="1366">
      <c r="A1366" s="17" t="str">
        <f>IFERROR(__xludf.DUMMYFUNCTION("""COMPUTED_VALUE"""),"Rebel Foods")</f>
        <v>Rebel Foods</v>
      </c>
      <c r="B1366" s="17" t="str">
        <f>IFERROR(__xludf.DUMMYFUNCTION("""COMPUTED_VALUE"""),"Amit Kumar Gupta ")</f>
        <v>Amit Kumar Gupta </v>
      </c>
      <c r="C1366" s="17" t="str">
        <f>IFERROR(__xludf.DUMMYFUNCTION("""COMPUTED_VALUE"""),"CTO")</f>
        <v>CTO</v>
      </c>
      <c r="D1366" s="17"/>
      <c r="E1366" s="17"/>
      <c r="F1366" s="17" t="str">
        <f>IFERROR(__xludf.DUMMYFUNCTION("""COMPUTED_VALUE"""),"amit.gupta@rebelfoods.com")</f>
        <v>amit.gupta@rebelfoods.com</v>
      </c>
      <c r="G1366" s="17"/>
      <c r="H1366" s="17"/>
    </row>
    <row r="1367">
      <c r="A1367" s="17" t="str">
        <f>IFERROR(__xludf.DUMMYFUNCTION("""COMPUTED_VALUE"""),"Livspace")</f>
        <v>Livspace</v>
      </c>
      <c r="B1367" s="17" t="str">
        <f>IFERROR(__xludf.DUMMYFUNCTION("""COMPUTED_VALUE"""),"Praveen Kumar")</f>
        <v>Praveen Kumar</v>
      </c>
      <c r="C1367" s="17" t="str">
        <f>IFERROR(__xludf.DUMMYFUNCTION("""COMPUTED_VALUE"""),"CTO")</f>
        <v>CTO</v>
      </c>
      <c r="D1367" s="17"/>
      <c r="E1367" s="17"/>
      <c r="F1367" s="17" t="str">
        <f>IFERROR(__xludf.DUMMYFUNCTION("""COMPUTED_VALUE"""),"praveen@livspace.com")</f>
        <v>praveen@livspace.com</v>
      </c>
      <c r="G1367" s="17"/>
      <c r="H1367" s="17"/>
    </row>
    <row r="1368">
      <c r="A1368" s="17" t="str">
        <f>IFERROR(__xludf.DUMMYFUNCTION("""COMPUTED_VALUE"""),"Chargebee")</f>
        <v>Chargebee</v>
      </c>
      <c r="B1368" s="17" t="str">
        <f>IFERROR(__xludf.DUMMYFUNCTION("""COMPUTED_VALUE"""),"Saravanan KP")</f>
        <v>Saravanan KP</v>
      </c>
      <c r="C1368" s="17" t="str">
        <f>IFERROR(__xludf.DUMMYFUNCTION("""COMPUTED_VALUE"""),"Founder &amp; CTO")</f>
        <v>Founder &amp; CTO</v>
      </c>
      <c r="D1368" s="17"/>
      <c r="E1368" s="17"/>
      <c r="F1368" s="17" t="str">
        <f>IFERROR(__xludf.DUMMYFUNCTION("""COMPUTED_VALUE"""),"kps@chargebee.com")</f>
        <v>kps@chargebee.com</v>
      </c>
      <c r="G1368" s="17"/>
      <c r="H1368" s="17"/>
    </row>
    <row r="1369">
      <c r="A1369" s="17" t="str">
        <f>IFERROR(__xludf.DUMMYFUNCTION("""COMPUTED_VALUE"""),"BlackBuck")</f>
        <v>BlackBuck</v>
      </c>
      <c r="B1369" s="17" t="str">
        <f>IFERROR(__xludf.DUMMYFUNCTION("""COMPUTED_VALUE"""),"Thejasvi Bhat")</f>
        <v>Thejasvi Bhat</v>
      </c>
      <c r="C1369" s="17" t="str">
        <f>IFERROR(__xludf.DUMMYFUNCTION("""COMPUTED_VALUE"""),"CTO")</f>
        <v>CTO</v>
      </c>
      <c r="D1369" s="17"/>
      <c r="E1369" s="17"/>
      <c r="F1369" s="17" t="str">
        <f>IFERROR(__xludf.DUMMYFUNCTION("""COMPUTED_VALUE"""),"thejasvi.bhat@blackbuck.com")</f>
        <v>thejasvi.bhat@blackbuck.com</v>
      </c>
      <c r="G1369" s="17"/>
      <c r="H1369" s="17"/>
    </row>
    <row r="1370">
      <c r="A1370" s="17" t="str">
        <f>IFERROR(__xludf.DUMMYFUNCTION("""COMPUTED_VALUE"""),"Slice")</f>
        <v>Slice</v>
      </c>
      <c r="B1370" s="17" t="str">
        <f>IFERROR(__xludf.DUMMYFUNCTION("""COMPUTED_VALUE"""),"Nitin Basant")</f>
        <v>Nitin Basant</v>
      </c>
      <c r="C1370" s="17" t="str">
        <f>IFERROR(__xludf.DUMMYFUNCTION("""COMPUTED_VALUE"""),"CTO")</f>
        <v>CTO</v>
      </c>
      <c r="D1370" s="17"/>
      <c r="E1370" s="17"/>
      <c r="F1370" s="17" t="str">
        <f>IFERROR(__xludf.DUMMYFUNCTION("""COMPUTED_VALUE"""),"nitin.basant@sliceit.com")</f>
        <v>nitin.basant@sliceit.com</v>
      </c>
      <c r="G1370" s="17"/>
      <c r="H1370" s="17"/>
    </row>
    <row r="1371">
      <c r="A1371" s="17" t="str">
        <f>IFERROR(__xludf.DUMMYFUNCTION("""COMPUTED_VALUE"""),"Skyroot Aerospace")</f>
        <v>Skyroot Aerospace</v>
      </c>
      <c r="B1371" s="17" t="str">
        <f>IFERROR(__xludf.DUMMYFUNCTION("""COMPUTED_VALUE"""),"Pawan Kumar Chandana")</f>
        <v>Pawan Kumar Chandana</v>
      </c>
      <c r="C1371" s="17" t="str">
        <f>IFERROR(__xludf.DUMMYFUNCTION("""COMPUTED_VALUE"""),"Founder &amp; CTO")</f>
        <v>Founder &amp; CTO</v>
      </c>
      <c r="D1371" s="17"/>
      <c r="E1371" s="17"/>
      <c r="F1371" s="17" t="str">
        <f>IFERROR(__xludf.DUMMYFUNCTION("""COMPUTED_VALUE"""),"pawan@skyroot.in")</f>
        <v>pawan@skyroot.in</v>
      </c>
      <c r="G1371" s="17"/>
      <c r="H1371" s="17"/>
    </row>
    <row r="1372">
      <c r="A1372" s="17" t="str">
        <f>IFERROR(__xludf.DUMMYFUNCTION("""COMPUTED_VALUE"""),"Flipkart")</f>
        <v>Flipkart</v>
      </c>
      <c r="B1372" s="17" t="str">
        <f>IFERROR(__xludf.DUMMYFUNCTION("""COMPUTED_VALUE"""),"Jeyandran Venugopal")</f>
        <v>Jeyandran Venugopal</v>
      </c>
      <c r="C1372" s="17" t="str">
        <f>IFERROR(__xludf.DUMMYFUNCTION("""COMPUTED_VALUE"""),"CTO")</f>
        <v>CTO</v>
      </c>
      <c r="D1372" s="17"/>
      <c r="E1372" s="17"/>
      <c r="F1372" s="17" t="str">
        <f>IFERROR(__xludf.DUMMYFUNCTION("""COMPUTED_VALUE"""),"bbkats@gmail.com")</f>
        <v>bbkats@gmail.com</v>
      </c>
      <c r="G1372" s="17"/>
      <c r="H1372" s="17"/>
    </row>
    <row r="1373">
      <c r="A1373" s="17" t="str">
        <f>IFERROR(__xludf.DUMMYFUNCTION("""COMPUTED_VALUE"""),"Capgemini")</f>
        <v>Capgemini</v>
      </c>
      <c r="B1373" s="17" t="str">
        <f>IFERROR(__xludf.DUMMYFUNCTION("""COMPUTED_VALUE"""),"Mukesh Jain")</f>
        <v>Mukesh Jain</v>
      </c>
      <c r="C1373" s="17" t="str">
        <f>IFERROR(__xludf.DUMMYFUNCTION("""COMPUTED_VALUE"""),"CTO/Executive Vice President")</f>
        <v>CTO/Executive Vice President</v>
      </c>
      <c r="D1373" s="17"/>
      <c r="E1373" s="17"/>
      <c r="F1373" s="17" t="str">
        <f>IFERROR(__xludf.DUMMYFUNCTION("""COMPUTED_VALUE"""),"mukesh.jain@capgemini.com")</f>
        <v>mukesh.jain@capgemini.com</v>
      </c>
      <c r="G1373" s="17"/>
      <c r="H1373" s="17"/>
    </row>
    <row r="1374">
      <c r="A1374" s="17" t="str">
        <f>IFERROR(__xludf.DUMMYFUNCTION("""COMPUTED_VALUE"""),"Vedantu")</f>
        <v>Vedantu</v>
      </c>
      <c r="B1374" s="17" t="str">
        <f>IFERROR(__xludf.DUMMYFUNCTION("""COMPUTED_VALUE"""),"Anand Prakash")</f>
        <v>Anand Prakash</v>
      </c>
      <c r="C1374" s="17" t="str">
        <f>IFERROR(__xludf.DUMMYFUNCTION("""COMPUTED_VALUE"""),"Co-Founder")</f>
        <v>Co-Founder</v>
      </c>
      <c r="D1374" s="17"/>
      <c r="E1374" s="17" t="str">
        <f>IFERROR(__xludf.DUMMYFUNCTION("""COMPUTED_VALUE"""),"91 175 501 2030, +91 80 4956 6189,+919243343344")</f>
        <v>91 175 501 2030, +91 80 4956 6189,+919243343344</v>
      </c>
      <c r="F1374" s="17" t="str">
        <f>IFERROR(__xludf.DUMMYFUNCTION("""COMPUTED_VALUE"""),"anand.prakash@vedantu.com,anand_p19@hotmail.com")</f>
        <v>anand.prakash@vedantu.com,anand_p19@hotmail.com</v>
      </c>
      <c r="G1374" s="17"/>
      <c r="H1374" s="17"/>
    </row>
    <row r="1375">
      <c r="A1375" s="17" t="str">
        <f>IFERROR(__xludf.DUMMYFUNCTION("""COMPUTED_VALUE"""),"Darwinbox")</f>
        <v>Darwinbox</v>
      </c>
      <c r="B1375" s="17" t="str">
        <f>IFERROR(__xludf.DUMMYFUNCTION("""COMPUTED_VALUE"""),"Vineet Singh")</f>
        <v>Vineet Singh</v>
      </c>
      <c r="C1375" s="17" t="str">
        <f>IFERROR(__xludf.DUMMYFUNCTION("""COMPUTED_VALUE"""),"CTO &amp; Co-Founder")</f>
        <v>CTO &amp; Co-Founder</v>
      </c>
      <c r="D1375" s="17"/>
      <c r="E1375" s="17" t="str">
        <f>IFERROR(__xludf.DUMMYFUNCTION("""COMPUTED_VALUE"""),"919920037502")</f>
        <v>919920037502</v>
      </c>
      <c r="F1375" s="17" t="str">
        <f>IFERROR(__xludf.DUMMYFUNCTION("""COMPUTED_VALUE"""),"vineeet88@gmail.com")</f>
        <v>vineeet88@gmail.com</v>
      </c>
      <c r="G1375" s="17"/>
      <c r="H1375" s="17"/>
    </row>
    <row r="1376">
      <c r="A1376" s="17" t="str">
        <f>IFERROR(__xludf.DUMMYFUNCTION("""COMPUTED_VALUE"""),"Clear (ClearTax)")</f>
        <v>Clear (ClearTax)</v>
      </c>
      <c r="B1376" s="17"/>
      <c r="C1376" s="17"/>
      <c r="D1376" s="17"/>
      <c r="E1376" s="17"/>
      <c r="F1376" s="17"/>
      <c r="G1376" s="17"/>
      <c r="H1376" s="17"/>
    </row>
    <row r="1377">
      <c r="A1377" s="17" t="str">
        <f>IFERROR(__xludf.DUMMYFUNCTION("""COMPUTED_VALUE"""),"Pristyn Care")</f>
        <v>Pristyn Care</v>
      </c>
      <c r="B1377" s="17" t="str">
        <f>IFERROR(__xludf.DUMMYFUNCTION("""COMPUTED_VALUE"""),"Gaurav Bagga ")</f>
        <v>Gaurav Bagga </v>
      </c>
      <c r="C1377" s="17" t="str">
        <f>IFERROR(__xludf.DUMMYFUNCTION("""COMPUTED_VALUE"""),"CTPO")</f>
        <v>CTPO</v>
      </c>
      <c r="D1377" s="27" t="str">
        <f>IFERROR(__xludf.DUMMYFUNCTION("""COMPUTED_VALUE"""),"linkedin.com/in/baggagaurav")</f>
        <v>linkedin.com/in/baggagaurav</v>
      </c>
      <c r="E1377" s="17"/>
      <c r="F1377" s="17" t="str">
        <f>IFERROR(__xludf.DUMMYFUNCTION("""COMPUTED_VALUE"""),"gaurav.bagga@pristyncare.com")</f>
        <v>gaurav.bagga@pristyncare.com</v>
      </c>
      <c r="G1377" s="17"/>
      <c r="H1377" s="17"/>
    </row>
    <row r="1378">
      <c r="A1378" s="17" t="str">
        <f>IFERROR(__xludf.DUMMYFUNCTION("""COMPUTED_VALUE"""),"GlobalBees")</f>
        <v>GlobalBees</v>
      </c>
      <c r="B1378" s="17" t="str">
        <f>IFERROR(__xludf.DUMMYFUNCTION("""COMPUTED_VALUE"""),"Rahul Chaudhary")</f>
        <v>Rahul Chaudhary</v>
      </c>
      <c r="C1378" s="17" t="str">
        <f>IFERROR(__xludf.DUMMYFUNCTION("""COMPUTED_VALUE"""),"Head of Technology")</f>
        <v>Head of Technology</v>
      </c>
      <c r="D1378" s="27" t="str">
        <f>IFERROR(__xludf.DUMMYFUNCTION("""COMPUTED_VALUE"""),"linkedin.com/in/rahulkc")</f>
        <v>linkedin.com/in/rahulkc</v>
      </c>
      <c r="E1378" s="17"/>
      <c r="F1378" s="17" t="str">
        <f>IFERROR(__xludf.DUMMYFUNCTION("""COMPUTED_VALUE"""),"rahul@globalbees.com")</f>
        <v>rahul@globalbees.com</v>
      </c>
      <c r="G1378" s="17"/>
      <c r="H1378" s="17"/>
    </row>
    <row r="1379">
      <c r="A1379" s="17" t="str">
        <f>IFERROR(__xludf.DUMMYFUNCTION("""COMPUTED_VALUE"""),"Mensa Brands")</f>
        <v>Mensa Brands</v>
      </c>
      <c r="B1379" s="17" t="str">
        <f>IFERROR(__xludf.DUMMYFUNCTION("""COMPUTED_VALUE"""),"Vinayak Baranwal ")</f>
        <v>Vinayak Baranwal </v>
      </c>
      <c r="C1379" s="17" t="str">
        <f>IFERROR(__xludf.DUMMYFUNCTION("""COMPUTED_VALUE"""),"Head of Technology")</f>
        <v>Head of Technology</v>
      </c>
      <c r="D1379" s="27" t="str">
        <f>IFERROR(__xludf.DUMMYFUNCTION("""COMPUTED_VALUE"""),"linkedin.com/in/vinayakbaranwal")</f>
        <v>linkedin.com/in/vinayakbaranwal</v>
      </c>
      <c r="E1379" s="17"/>
      <c r="F1379" s="17" t="str">
        <f>IFERROR(__xludf.DUMMYFUNCTION("""COMPUTED_VALUE"""),"vinayak.baranwal@mensabrands.com")</f>
        <v>vinayak.baranwal@mensabrands.com</v>
      </c>
      <c r="G1379" s="17"/>
      <c r="H1379" s="17"/>
    </row>
    <row r="1380">
      <c r="A1380" s="17" t="str">
        <f>IFERROR(__xludf.DUMMYFUNCTION("""COMPUTED_VALUE"""),"DealShare")</f>
        <v>DealShare</v>
      </c>
      <c r="B1380" s="17" t="str">
        <f>IFERROR(__xludf.DUMMYFUNCTION("""COMPUTED_VALUE"""),"Saurabh Kishore")</f>
        <v>Saurabh Kishore</v>
      </c>
      <c r="C1380" s="17" t="str">
        <f>IFERROR(__xludf.DUMMYFUNCTION("""COMPUTED_VALUE"""),"CTO")</f>
        <v>CTO</v>
      </c>
      <c r="D1380" s="27" t="str">
        <f>IFERROR(__xludf.DUMMYFUNCTION("""COMPUTED_VALUE"""),"linkedin.com/in/saurabh-kishore-1046a42")</f>
        <v>linkedin.com/in/saurabh-kishore-1046a42</v>
      </c>
      <c r="E1380" s="17"/>
      <c r="F1380" s="17" t="str">
        <f>IFERROR(__xludf.DUMMYFUNCTION("""COMPUTED_VALUE"""),"saurabh.kishore@dealshare.in")</f>
        <v>saurabh.kishore@dealshare.in</v>
      </c>
      <c r="G1380" s="17"/>
      <c r="H1380" s="17"/>
    </row>
    <row r="1381">
      <c r="A1381" s="17" t="str">
        <f>IFERROR(__xludf.DUMMYFUNCTION("""COMPUTED_VALUE"""),"ElasticRun")</f>
        <v>ElasticRun</v>
      </c>
      <c r="B1381" s="17" t="str">
        <f>IFERROR(__xludf.DUMMYFUNCTION("""COMPUTED_VALUE"""),"Shitiz Bansal")</f>
        <v>Shitiz Bansal</v>
      </c>
      <c r="C1381" s="17" t="str">
        <f>IFERROR(__xludf.DUMMYFUNCTION("""COMPUTED_VALUE"""),"Co-founder and CTO")</f>
        <v>Co-founder and CTO</v>
      </c>
      <c r="D1381" s="27" t="str">
        <f>IFERROR(__xludf.DUMMYFUNCTION("""COMPUTED_VALUE"""),"linkedin.com/in/shitiz-bansal-3216057")</f>
        <v>linkedin.com/in/shitiz-bansal-3216057</v>
      </c>
      <c r="E1381" s="17"/>
      <c r="F1381" s="17" t="str">
        <f>IFERROR(__xludf.DUMMYFUNCTION("""COMPUTED_VALUE"""),"shitiz.bansal@elastic.run")</f>
        <v>shitiz.bansal@elastic.run</v>
      </c>
      <c r="G1381" s="17"/>
      <c r="H1381" s="17"/>
    </row>
    <row r="1382">
      <c r="A1382" s="17" t="str">
        <f>IFERROR(__xludf.DUMMYFUNCTION("""COMPUTED_VALUE"""),"Xpressbees")</f>
        <v>Xpressbees</v>
      </c>
      <c r="B1382" s="17"/>
      <c r="C1382" s="17"/>
      <c r="D1382" s="17"/>
      <c r="E1382" s="17"/>
      <c r="F1382" s="17"/>
      <c r="G1382" s="17"/>
      <c r="H1382" s="17"/>
    </row>
    <row r="1383">
      <c r="A1383" s="17" t="str">
        <f>IFERROR(__xludf.DUMMYFUNCTION("""COMPUTED_VALUE"""),"Amagi")</f>
        <v>Amagi</v>
      </c>
      <c r="B1383" s="17" t="str">
        <f>IFERROR(__xludf.DUMMYFUNCTION("""COMPUTED_VALUE"""),"Srividhya Srinivasan")</f>
        <v>Srividhya Srinivasan</v>
      </c>
      <c r="C1383" s="17" t="str">
        <f>IFERROR(__xludf.DUMMYFUNCTION("""COMPUTED_VALUE"""),"Co-founder and CTO")</f>
        <v>Co-founder and CTO</v>
      </c>
      <c r="D1383" s="27" t="str">
        <f>IFERROR(__xludf.DUMMYFUNCTION("""COMPUTED_VALUE"""),"linkedin.com/in/srividhya-srinivasan-60806b1")</f>
        <v>linkedin.com/in/srividhya-srinivasan-60806b1</v>
      </c>
      <c r="E1383" s="17"/>
      <c r="F1383" s="17" t="str">
        <f>IFERROR(__xludf.DUMMYFUNCTION("""COMPUTED_VALUE"""),"vidhya@amagi.com")</f>
        <v>vidhya@amagi.com</v>
      </c>
      <c r="G1383" s="17"/>
      <c r="H1383" s="17"/>
    </row>
    <row r="1384">
      <c r="A1384" s="17" t="str">
        <f>IFERROR(__xludf.DUMMYFUNCTION("""COMPUTED_VALUE"""),"BluSmart Mobility")</f>
        <v>BluSmart Mobility</v>
      </c>
      <c r="B1384" s="17" t="str">
        <f>IFERROR(__xludf.DUMMYFUNCTION("""COMPUTED_VALUE"""),"Rishabh Sood ")</f>
        <v>Rishabh Sood </v>
      </c>
      <c r="C1384" s="17" t="str">
        <f>IFERROR(__xludf.DUMMYFUNCTION("""COMPUTED_VALUE"""),"CTO (ex)")</f>
        <v>CTO (ex)</v>
      </c>
      <c r="D1384" s="27" t="str">
        <f>IFERROR(__xludf.DUMMYFUNCTION("""COMPUTED_VALUE"""),"linkedin.com/in/rishabh-sood-8b784a14")</f>
        <v>linkedin.com/in/rishabh-sood-8b784a14</v>
      </c>
      <c r="E1384" s="17"/>
      <c r="F1384" s="17" t="str">
        <f>IFERROR(__xludf.DUMMYFUNCTION("""COMPUTED_VALUE"""),"rishabh@wylth.com")</f>
        <v>rishabh@wylth.com</v>
      </c>
      <c r="G1384" s="17"/>
      <c r="H1384" s="17"/>
    </row>
    <row r="1385">
      <c r="A1385" s="17" t="str">
        <f>IFERROR(__xludf.DUMMYFUNCTION("""COMPUTED_VALUE"""),"Zetwerk")</f>
        <v>Zetwerk</v>
      </c>
      <c r="B1385" s="17" t="str">
        <f>IFERROR(__xludf.DUMMYFUNCTION("""COMPUTED_VALUE"""),"Srinath Ramakkrushnan ")</f>
        <v>Srinath Ramakkrushnan </v>
      </c>
      <c r="C1385" s="17" t="str">
        <f>IFERROR(__xludf.DUMMYFUNCTION("""COMPUTED_VALUE"""),"CTO &amp; Co-Founder")</f>
        <v>CTO &amp; Co-Founder</v>
      </c>
      <c r="D1385" s="27" t="str">
        <f>IFERROR(__xludf.DUMMYFUNCTION("""COMPUTED_VALUE"""),"linkedin.com/in/srinath-ramakkrushnan-a658629")</f>
        <v>linkedin.com/in/srinath-ramakkrushnan-a658629</v>
      </c>
      <c r="E1385" s="17"/>
      <c r="F1385" s="17" t="str">
        <f>IFERROR(__xludf.DUMMYFUNCTION("""COMPUTED_VALUE"""),"rsrinath@zetwerk.com")</f>
        <v>rsrinath@zetwerk.com</v>
      </c>
      <c r="G1385" s="17"/>
      <c r="H1385" s="17"/>
    </row>
    <row r="1386">
      <c r="A1386" s="17" t="str">
        <f>IFERROR(__xludf.DUMMYFUNCTION("""COMPUTED_VALUE"""),"Fractal Analytics")</f>
        <v>Fractal Analytics</v>
      </c>
      <c r="B1386" s="17" t="str">
        <f>IFERROR(__xludf.DUMMYFUNCTION("""COMPUTED_VALUE"""),"Shashidhar Ramakrishnaiah ")</f>
        <v>Shashidhar Ramakrishnaiah </v>
      </c>
      <c r="C1386" s="17" t="str">
        <f>IFERROR(__xludf.DUMMYFUNCTION("""COMPUTED_VALUE"""),"CTO")</f>
        <v>CTO</v>
      </c>
      <c r="D1386" s="27" t="str">
        <f>IFERROR(__xludf.DUMMYFUNCTION("""COMPUTED_VALUE"""),"linkedin.com/in/shashidhar-ramakrishnaiah-7027335")</f>
        <v>linkedin.com/in/shashidhar-ramakrishnaiah-7027335</v>
      </c>
      <c r="E1386" s="17"/>
      <c r="F1386" s="17" t="str">
        <f>IFERROR(__xludf.DUMMYFUNCTION("""COMPUTED_VALUE"""),"shashidhar.ramakrishnaiah@fractal.ai")</f>
        <v>shashidhar.ramakrishnaiah@fractal.ai</v>
      </c>
      <c r="G1386" s="17"/>
      <c r="H1386" s="17"/>
    </row>
    <row r="1387">
      <c r="A1387" s="17" t="str">
        <f>IFERROR(__xludf.DUMMYFUNCTION("""COMPUTED_VALUE"""),"LeadSquared")</f>
        <v>LeadSquared</v>
      </c>
      <c r="B1387" s="17" t="str">
        <f>IFERROR(__xludf.DUMMYFUNCTION("""COMPUTED_VALUE"""),"Pankaj Goel")</f>
        <v>Pankaj Goel</v>
      </c>
      <c r="C1387" s="17" t="str">
        <f>IFERROR(__xludf.DUMMYFUNCTION("""COMPUTED_VALUE"""),"CTO")</f>
        <v>CTO</v>
      </c>
      <c r="D1387" s="27" t="str">
        <f>IFERROR(__xludf.DUMMYFUNCTION("""COMPUTED_VALUE"""),"linkedin.com/in/pankajkgoel")</f>
        <v>linkedin.com/in/pankajkgoel</v>
      </c>
      <c r="E1387" s="17"/>
      <c r="F1387" s="17" t="str">
        <f>IFERROR(__xludf.DUMMYFUNCTION("""COMPUTED_VALUE"""),"pankaj.goel@leadsquared.com")</f>
        <v>pankaj.goel@leadsquared.com</v>
      </c>
      <c r="G1387" s="17"/>
      <c r="H1387" s="17"/>
    </row>
    <row r="1388">
      <c r="A1388" s="17" t="str">
        <f>IFERROR(__xludf.DUMMYFUNCTION("""COMPUTED_VALUE"""),"Pixxel")</f>
        <v>Pixxel</v>
      </c>
      <c r="B1388" s="17" t="str">
        <f>IFERROR(__xludf.DUMMYFUNCTION("""COMPUTED_VALUE"""),"Kshitij Khandelwal")</f>
        <v>Kshitij Khandelwal</v>
      </c>
      <c r="C1388" s="17" t="str">
        <f>IFERROR(__xludf.DUMMYFUNCTION("""COMPUTED_VALUE"""),"Founder &amp; CTO")</f>
        <v>Founder &amp; CTO</v>
      </c>
      <c r="D1388" s="27" t="str">
        <f>IFERROR(__xludf.DUMMYFUNCTION("""COMPUTED_VALUE"""),"linkedin.com/in/khandelwalkshitij")</f>
        <v>linkedin.com/in/khandelwalkshitij</v>
      </c>
      <c r="E1388" s="17"/>
      <c r="F1388" s="17" t="str">
        <f>IFERROR(__xludf.DUMMYFUNCTION("""COMPUTED_VALUE"""),"kshitij@pixxel.space")</f>
        <v>kshitij@pixxel.space</v>
      </c>
      <c r="G1388" s="17"/>
      <c r="H1388" s="17"/>
    </row>
    <row r="1389">
      <c r="A1389" s="17" t="str">
        <f>IFERROR(__xludf.DUMMYFUNCTION("""COMPUTED_VALUE"""),"Cult.fit")</f>
        <v>Cult.fit</v>
      </c>
      <c r="B1389" s="17" t="str">
        <f>IFERROR(__xludf.DUMMYFUNCTION("""COMPUTED_VALUE"""),"Santhosh Kumar ")</f>
        <v>Santhosh Kumar </v>
      </c>
      <c r="C1389" s="17" t="str">
        <f>IFERROR(__xludf.DUMMYFUNCTION("""COMPUTED_VALUE"""),"CTPO")</f>
        <v>CTPO</v>
      </c>
      <c r="D1389" s="27" t="str">
        <f>IFERROR(__xludf.DUMMYFUNCTION("""COMPUTED_VALUE"""),"https://www.linkedin.com/in/santhoshkumarj/?originalSubdomain=in")</f>
        <v>https://www.linkedin.com/in/santhoshkumarj/?originalSubdomain=in</v>
      </c>
      <c r="E1389" s="17"/>
      <c r="F1389" s="17" t="str">
        <f>IFERROR(__xludf.DUMMYFUNCTION("""COMPUTED_VALUE"""),"santhosh@curefit.com")</f>
        <v>santhosh@curefit.com</v>
      </c>
      <c r="G1389" s="17"/>
      <c r="H1389" s="17"/>
    </row>
    <row r="1390">
      <c r="A1390" s="17" t="str">
        <f>IFERROR(__xludf.DUMMYFUNCTION("""COMPUTED_VALUE"""),"HealthifyMe")</f>
        <v>HealthifyMe</v>
      </c>
      <c r="B1390" s="17" t="str">
        <f>IFERROR(__xludf.DUMMYFUNCTION("""COMPUTED_VALUE"""),"Abhijit Khasnis")</f>
        <v>Abhijit Khasnis</v>
      </c>
      <c r="C1390" s="17" t="str">
        <f>IFERROR(__xludf.DUMMYFUNCTION("""COMPUTED_VALUE"""),"CTO")</f>
        <v>CTO</v>
      </c>
      <c r="D1390" s="27" t="str">
        <f>IFERROR(__xludf.DUMMYFUNCTION("""COMPUTED_VALUE"""),"linkedin.com/in/khasnis")</f>
        <v>linkedin.com/in/khasnis</v>
      </c>
      <c r="E1390" s="17"/>
      <c r="F1390" s="17" t="str">
        <f>IFERROR(__xludf.DUMMYFUNCTION("""COMPUTED_VALUE"""),"abhijit.khasnis@healthifyme.com")</f>
        <v>abhijit.khasnis@healthifyme.com</v>
      </c>
      <c r="G1390" s="17"/>
      <c r="H1390" s="17"/>
    </row>
    <row r="1391">
      <c r="A1391" s="17" t="str">
        <f>IFERROR(__xludf.DUMMYFUNCTION("""COMPUTED_VALUE"""),"Mamaearth")</f>
        <v>Mamaearth</v>
      </c>
      <c r="B1391" s="17"/>
      <c r="C1391" s="17"/>
      <c r="D1391" s="17"/>
      <c r="E1391" s="17"/>
      <c r="F1391" s="17"/>
      <c r="G1391" s="17"/>
      <c r="H1391" s="17"/>
    </row>
    <row r="1392">
      <c r="A1392" s="17" t="str">
        <f>IFERROR(__xludf.DUMMYFUNCTION("""COMPUTED_VALUE"""),"Country Delight")</f>
        <v>Country Delight</v>
      </c>
      <c r="B1392" s="17" t="str">
        <f>IFERROR(__xludf.DUMMYFUNCTION("""COMPUTED_VALUE"""),"Kedar Panjiyar")</f>
        <v>Kedar Panjiyar</v>
      </c>
      <c r="C1392" s="17" t="str">
        <f>IFERROR(__xludf.DUMMYFUNCTION("""COMPUTED_VALUE"""),"Head of Technology")</f>
        <v>Head of Technology</v>
      </c>
      <c r="D1392" s="27" t="str">
        <f>IFERROR(__xludf.DUMMYFUNCTION("""COMPUTED_VALUE"""),"linkedin.com/in/kedarpanjiyar")</f>
        <v>linkedin.com/in/kedarpanjiyar</v>
      </c>
      <c r="E1392" s="17" t="str">
        <f>IFERROR(__xludf.DUMMYFUNCTION("""COMPUTED_VALUE"""),"918800735367")</f>
        <v>918800735367</v>
      </c>
      <c r="F1392" s="17" t="str">
        <f>IFERROR(__xludf.DUMMYFUNCTION("""COMPUTED_VALUE"""),"kpanjiyar@countrydelight.in")</f>
        <v>kpanjiyar@countrydelight.in</v>
      </c>
      <c r="G1392" s="17"/>
      <c r="H1392" s="17"/>
    </row>
    <row r="1393">
      <c r="A1393" s="17" t="str">
        <f>IFERROR(__xludf.DUMMYFUNCTION("""COMPUTED_VALUE"""),"boAt")</f>
        <v>boAt</v>
      </c>
      <c r="B1393" s="17" t="str">
        <f>IFERROR(__xludf.DUMMYFUNCTION("""COMPUTED_VALUE"""),"Aman Gupta")</f>
        <v>Aman Gupta</v>
      </c>
      <c r="C1393" s="17" t="str">
        <f>IFERROR(__xludf.DUMMYFUNCTION("""COMPUTED_VALUE"""),"Founder &amp; CTO")</f>
        <v>Founder &amp; CTO</v>
      </c>
      <c r="D1393" s="27" t="str">
        <f>IFERROR(__xludf.DUMMYFUNCTION("""COMPUTED_VALUE"""),"linkedin.com/in/aman-gupta-7217a515")</f>
        <v>linkedin.com/in/aman-gupta-7217a515</v>
      </c>
      <c r="E1393" s="17"/>
      <c r="F1393" s="17" t="str">
        <f>IFERROR(__xludf.DUMMYFUNCTION("""COMPUTED_VALUE"""),"aman.gupta@imaginemarketingindia.com")</f>
        <v>aman.gupta@imaginemarketingindia.com</v>
      </c>
      <c r="G1393" s="17"/>
      <c r="H1393" s="17"/>
    </row>
    <row r="1394">
      <c r="A1394" s="17" t="str">
        <f>IFERROR(__xludf.DUMMYFUNCTION("""COMPUTED_VALUE"""),"InsuranceDekho")</f>
        <v>InsuranceDekho</v>
      </c>
      <c r="B1394" s="17" t="str">
        <f>IFERROR(__xludf.DUMMYFUNCTION("""COMPUTED_VALUE"""),"Ish Babbar")</f>
        <v>Ish Babbar</v>
      </c>
      <c r="C1394" s="17" t="str">
        <f>IFERROR(__xludf.DUMMYFUNCTION("""COMPUTED_VALUE"""),"CTO &amp; Co-Founder")</f>
        <v>CTO &amp; Co-Founder</v>
      </c>
      <c r="D1394" s="27" t="str">
        <f>IFERROR(__xludf.DUMMYFUNCTION("""COMPUTED_VALUE"""),"linkedin.com/in/ish-babbar-920429205")</f>
        <v>linkedin.com/in/ish-babbar-920429205</v>
      </c>
      <c r="E1394" s="17"/>
      <c r="F1394" s="17" t="str">
        <f>IFERROR(__xludf.DUMMYFUNCTION("""COMPUTED_VALUE"""),"ish.babbar@insurancedekho.com")</f>
        <v>ish.babbar@insurancedekho.com</v>
      </c>
      <c r="G1394" s="17"/>
      <c r="H1394" s="17"/>
    </row>
    <row r="1395">
      <c r="A1395" s="17" t="str">
        <f>IFERROR(__xludf.DUMMYFUNCTION("""COMPUTED_VALUE"""),"Progcap")</f>
        <v>Progcap</v>
      </c>
      <c r="B1395" s="17" t="str">
        <f>IFERROR(__xludf.DUMMYFUNCTION("""COMPUTED_VALUE"""),"Ashish Gupta")</f>
        <v>Ashish Gupta</v>
      </c>
      <c r="C1395" s="17" t="str">
        <f>IFERROR(__xludf.DUMMYFUNCTION("""COMPUTED_VALUE"""),"CTPO")</f>
        <v>CTPO</v>
      </c>
      <c r="D1395" s="27" t="str">
        <f>IFERROR(__xludf.DUMMYFUNCTION("""COMPUTED_VALUE"""),"linkedin.com/in/ashishgupta97065")</f>
        <v>linkedin.com/in/ashishgupta97065</v>
      </c>
      <c r="E1395" s="17"/>
      <c r="F1395" s="17" t="str">
        <f>IFERROR(__xludf.DUMMYFUNCTION("""COMPUTED_VALUE"""),"ashish@progcap.com")</f>
        <v>ashish@progcap.com</v>
      </c>
      <c r="G1395" s="17"/>
      <c r="H1395" s="17"/>
    </row>
    <row r="1396">
      <c r="A1396" s="17" t="str">
        <f>IFERROR(__xludf.DUMMYFUNCTION("""COMPUTED_VALUE"""),"Accenture in India")</f>
        <v>Accenture in India</v>
      </c>
      <c r="B1396" s="17" t="str">
        <f>IFERROR(__xludf.DUMMYFUNCTION("""COMPUTED_VALUE"""),"Nirav Sampat")</f>
        <v>Nirav Sampat</v>
      </c>
      <c r="C1396" s="17" t="str">
        <f>IFERROR(__xludf.DUMMYFUNCTION("""COMPUTED_VALUE"""),"CTO")</f>
        <v>CTO</v>
      </c>
      <c r="D1396" s="27" t="str">
        <f>IFERROR(__xludf.DUMMYFUNCTION("""COMPUTED_VALUE"""),"linkedin.com/in/nirav-sampat-a533ab113")</f>
        <v>linkedin.com/in/nirav-sampat-a533ab113</v>
      </c>
      <c r="E1396" s="17"/>
      <c r="F1396" s="17" t="str">
        <f>IFERROR(__xludf.DUMMYFUNCTION("""COMPUTED_VALUE"""),"nirav.sampat@accenture.com")</f>
        <v>nirav.sampat@accenture.com</v>
      </c>
      <c r="G1396" s="17"/>
      <c r="H1396" s="17"/>
    </row>
    <row r="1397">
      <c r="A1397" s="17" t="str">
        <f>IFERROR(__xludf.DUMMYFUNCTION("""COMPUTED_VALUE"""),"MoEngage")</f>
        <v>MoEngage</v>
      </c>
      <c r="B1397" s="17" t="str">
        <f>IFERROR(__xludf.DUMMYFUNCTION("""COMPUTED_VALUE"""),"Yashwanth Kumar")</f>
        <v>Yashwanth Kumar</v>
      </c>
      <c r="C1397" s="17" t="str">
        <f>IFERROR(__xludf.DUMMYFUNCTION("""COMPUTED_VALUE"""),"CTO, CISO, DPO")</f>
        <v>CTO, CISO, DPO</v>
      </c>
      <c r="D1397" s="27" t="str">
        <f>IFERROR(__xludf.DUMMYFUNCTION("""COMPUTED_VALUE"""),"linkedin.com/in/yakumar")</f>
        <v>linkedin.com/in/yakumar</v>
      </c>
      <c r="E1397" s="17"/>
      <c r="F1397" s="17" t="str">
        <f>IFERROR(__xludf.DUMMYFUNCTION("""COMPUTED_VALUE"""),"yashwanth@moengage.com")</f>
        <v>yashwanth@moengage.com</v>
      </c>
      <c r="G1397" s="17"/>
      <c r="H1397" s="17"/>
    </row>
    <row r="1398">
      <c r="A1398" s="17" t="str">
        <f>IFERROR(__xludf.DUMMYFUNCTION("""COMPUTED_VALUE"""),"Wow! Momo")</f>
        <v>Wow! Momo</v>
      </c>
      <c r="B1398" s="17"/>
      <c r="C1398" s="17"/>
      <c r="D1398" s="17"/>
      <c r="E1398" s="17"/>
      <c r="F1398" s="17"/>
      <c r="G1398" s="17"/>
      <c r="H1398" s="17"/>
    </row>
    <row r="1399">
      <c r="A1399" s="17" t="str">
        <f>IFERROR(__xludf.DUMMYFUNCTION("""COMPUTED_VALUE"""),"Acko")</f>
        <v>Acko</v>
      </c>
      <c r="B1399" s="17" t="str">
        <f>IFERROR(__xludf.DUMMYFUNCTION("""COMPUTED_VALUE"""),"Vishwanath Ram")</f>
        <v>Vishwanath Ram</v>
      </c>
      <c r="C1399" s="17" t="str">
        <f>IFERROR(__xludf.DUMMYFUNCTION("""COMPUTED_VALUE"""),"CTPO")</f>
        <v>CTPO</v>
      </c>
      <c r="D1399" s="27" t="str">
        <f>IFERROR(__xludf.DUMMYFUNCTION("""COMPUTED_VALUE"""),"linkedin.com/in/vishwanath-ram-8826722")</f>
        <v>linkedin.com/in/vishwanath-ram-8826722</v>
      </c>
      <c r="E1399" s="17"/>
      <c r="F1399" s="17" t="str">
        <f>IFERROR(__xludf.DUMMYFUNCTION("""COMPUTED_VALUE"""),"vishwanath.r@acko.tech")</f>
        <v>vishwanath.r@acko.tech</v>
      </c>
      <c r="G1399" s="17"/>
      <c r="H1399" s="17"/>
    </row>
    <row r="1400">
      <c r="A1400" s="17" t="str">
        <f>IFERROR(__xludf.DUMMYFUNCTION("""COMPUTED_VALUE"""),"Digit Insurance")</f>
        <v>Digit Insurance</v>
      </c>
      <c r="B1400" s="17"/>
      <c r="C1400" s="17"/>
      <c r="D1400" s="17"/>
      <c r="E1400" s="17"/>
      <c r="F1400" s="17"/>
      <c r="G1400" s="17"/>
      <c r="H1400" s="17"/>
    </row>
    <row r="1401">
      <c r="A1401" s="17" t="str">
        <f>IFERROR(__xludf.DUMMYFUNCTION("""COMPUTED_VALUE"""),"Oxyzo")</f>
        <v>Oxyzo</v>
      </c>
      <c r="B1401" s="17" t="str">
        <f>IFERROR(__xludf.DUMMYFUNCTION("""COMPUTED_VALUE"""),"Dhruva Shree Agarwal")</f>
        <v>Dhruva Shree Agarwal</v>
      </c>
      <c r="C1401" s="17" t="str">
        <f>IFERROR(__xludf.DUMMYFUNCTION("""COMPUTED_VALUE"""),"CTO")</f>
        <v>CTO</v>
      </c>
      <c r="D1401" s="17"/>
      <c r="E1401" s="17"/>
      <c r="F1401" s="17" t="str">
        <f>IFERROR(__xludf.DUMMYFUNCTION("""COMPUTED_VALUE"""),"dhruva.s.agarwal@gmail.com,dhruva@oxyzo.in")</f>
        <v>dhruva.s.agarwal@gmail.com,dhruva@oxyzo.in</v>
      </c>
      <c r="G1401" s="17"/>
      <c r="H1401" s="17"/>
    </row>
    <row r="1402">
      <c r="A1402" s="17" t="str">
        <f>IFERROR(__xludf.DUMMYFUNCTION("""COMPUTED_VALUE"""),"Tata Consultancy Services (TCS)")</f>
        <v>Tata Consultancy Services (TCS)</v>
      </c>
      <c r="B1402" s="17" t="str">
        <f>IFERROR(__xludf.DUMMYFUNCTION("""COMPUTED_VALUE"""),"Dr. Harrick Vin")</f>
        <v>Dr. Harrick Vin</v>
      </c>
      <c r="C1402" s="17" t="str">
        <f>IFERROR(__xludf.DUMMYFUNCTION("""COMPUTED_VALUE"""),"CTO")</f>
        <v>CTO</v>
      </c>
      <c r="D1402" s="27" t="str">
        <f>IFERROR(__xludf.DUMMYFUNCTION("""COMPUTED_VALUE"""),"linkedin.com/in/harrickvin")</f>
        <v>linkedin.com/in/harrickvin</v>
      </c>
      <c r="E1402" s="17"/>
      <c r="F1402" s="17" t="str">
        <f>IFERROR(__xludf.DUMMYFUNCTION("""COMPUTED_VALUE"""),"harrick.vin@tcs.com")</f>
        <v>harrick.vin@tcs.com</v>
      </c>
      <c r="G1402" s="17"/>
      <c r="H1402" s="17"/>
    </row>
    <row r="1403">
      <c r="A1403" s="17" t="str">
        <f>IFERROR(__xludf.DUMMYFUNCTION("""COMPUTED_VALUE"""),"Infosys")</f>
        <v>Infosys</v>
      </c>
      <c r="B1403" s="17" t="str">
        <f>IFERROR(__xludf.DUMMYFUNCTION("""COMPUTED_VALUE"""),"Rafee Tarafdar ")</f>
        <v>Rafee Tarafdar </v>
      </c>
      <c r="C1403" s="17" t="str">
        <f>IFERROR(__xludf.DUMMYFUNCTION("""COMPUTED_VALUE"""),"CTO")</f>
        <v>CTO</v>
      </c>
      <c r="D1403" s="27" t="str">
        <f>IFERROR(__xludf.DUMMYFUNCTION("""COMPUTED_VALUE"""),"linkedin.com/in/rafeetarafdar")</f>
        <v>linkedin.com/in/rafeetarafdar</v>
      </c>
      <c r="E1403" s="17"/>
      <c r="F1403" s="17" t="str">
        <f>IFERROR(__xludf.DUMMYFUNCTION("""COMPUTED_VALUE"""),"rafeetarafdar@gmail.com")</f>
        <v>rafeetarafdar@gmail.com</v>
      </c>
      <c r="G1403" s="17"/>
      <c r="H1403" s="17"/>
    </row>
    <row r="1404">
      <c r="A1404" s="17" t="str">
        <f>IFERROR(__xludf.DUMMYFUNCTION("""COMPUTED_VALUE"""),"Wipro")</f>
        <v>Wipro</v>
      </c>
      <c r="B1404" s="17" t="str">
        <f>IFERROR(__xludf.DUMMYFUNCTION("""COMPUTED_VALUE"""),"Sandhya Ramachandran Arun")</f>
        <v>Sandhya Ramachandran Arun</v>
      </c>
      <c r="C1404" s="17" t="str">
        <f>IFERROR(__xludf.DUMMYFUNCTION("""COMPUTED_VALUE"""),"CTO")</f>
        <v>CTO</v>
      </c>
      <c r="D1404" s="27" t="str">
        <f>IFERROR(__xludf.DUMMYFUNCTION("""COMPUTED_VALUE"""),"linkedin.com/in/sandhyararun")</f>
        <v>linkedin.com/in/sandhyararun</v>
      </c>
      <c r="E1404" s="17"/>
      <c r="F1404" s="17" t="str">
        <f>IFERROR(__xludf.DUMMYFUNCTION("""COMPUTED_VALUE"""),"sandhya.arun@wipro.com")</f>
        <v>sandhya.arun@wipro.com</v>
      </c>
      <c r="G1404" s="17"/>
      <c r="H1404" s="17"/>
    </row>
    <row r="1405">
      <c r="A1405" s="17" t="str">
        <f>IFERROR(__xludf.DUMMYFUNCTION("""COMPUTED_VALUE"""),"HCLTech")</f>
        <v>HCLTech</v>
      </c>
      <c r="B1405" s="17" t="str">
        <f>IFERROR(__xludf.DUMMYFUNCTION("""COMPUTED_VALUE"""),"Vijay Guntur")</f>
        <v>Vijay Guntur</v>
      </c>
      <c r="C1405" s="17" t="str">
        <f>IFERROR(__xludf.DUMMYFUNCTION("""COMPUTED_VALUE"""),"CTO")</f>
        <v>CTO</v>
      </c>
      <c r="D1405" s="27" t="str">
        <f>IFERROR(__xludf.DUMMYFUNCTION("""COMPUTED_VALUE"""),"linkedin.com/in/vijay-guntur")</f>
        <v>linkedin.com/in/vijay-guntur</v>
      </c>
      <c r="E1405" s="17"/>
      <c r="F1405" s="17" t="str">
        <f>IFERROR(__xludf.DUMMYFUNCTION("""COMPUTED_VALUE"""),"gvijay@hcltech.com")</f>
        <v>gvijay@hcltech.com</v>
      </c>
      <c r="G1405" s="17"/>
      <c r="H1405" s="17"/>
    </row>
    <row r="1406">
      <c r="A1406" s="17" t="str">
        <f>IFERROR(__xludf.DUMMYFUNCTION("""COMPUTED_VALUE"""),"Tech Mahindra")</f>
        <v>Tech Mahindra</v>
      </c>
      <c r="B1406" s="17" t="str">
        <f>IFERROR(__xludf.DUMMYFUNCTION("""COMPUTED_VALUE"""),"Sham Arora")</f>
        <v>Sham Arora</v>
      </c>
      <c r="C1406" s="17" t="str">
        <f>IFERROR(__xludf.DUMMYFUNCTION("""COMPUTED_VALUE"""),"CTO")</f>
        <v>CTO</v>
      </c>
      <c r="D1406" s="27" t="str">
        <f>IFERROR(__xludf.DUMMYFUNCTION("""COMPUTED_VALUE"""),"linkedin.com/in/shamarora")</f>
        <v>linkedin.com/in/shamarora</v>
      </c>
      <c r="E1406" s="17"/>
      <c r="F1406" s="17" t="str">
        <f>IFERROR(__xludf.DUMMYFUNCTION("""COMPUTED_VALUE"""),"shamaroraa@gmail.com")</f>
        <v>shamaroraa@gmail.com</v>
      </c>
      <c r="G1406" s="17"/>
      <c r="H1406" s="17"/>
    </row>
    <row r="1407">
      <c r="A1407" s="17" t="str">
        <f>IFERROR(__xludf.DUMMYFUNCTION("""COMPUTED_VALUE"""),"LTIMindtree")</f>
        <v>LTIMindtree</v>
      </c>
      <c r="B1407" s="17" t="str">
        <f>IFERROR(__xludf.DUMMYFUNCTION("""COMPUTED_VALUE"""),"Arun Lakshmanan ")</f>
        <v>Arun Lakshmanan </v>
      </c>
      <c r="C1407" s="17" t="str">
        <f>IFERROR(__xludf.DUMMYFUNCTION("""COMPUTED_VALUE"""),"CTO")</f>
        <v>CTO</v>
      </c>
      <c r="D1407" s="27" t="str">
        <f>IFERROR(__xludf.DUMMYFUNCTION("""COMPUTED_VALUE"""),"linkedin.com/in/arun-lakshmanan-274b9050")</f>
        <v>linkedin.com/in/arun-lakshmanan-274b9050</v>
      </c>
      <c r="E1407" s="17"/>
      <c r="F1407" s="17" t="str">
        <f>IFERROR(__xludf.DUMMYFUNCTION("""COMPUTED_VALUE"""),"arun.lakshmanan@ltimindtree.com, arunachalamlaksh@gmail.com")</f>
        <v>arun.lakshmanan@ltimindtree.com, arunachalamlaksh@gmail.com</v>
      </c>
      <c r="G1407" s="17"/>
      <c r="H1407" s="17"/>
    </row>
    <row r="1408">
      <c r="A1408" s="17" t="str">
        <f>IFERROR(__xludf.DUMMYFUNCTION("""COMPUTED_VALUE"""),"L&amp;T Technology Services")</f>
        <v>L&amp;T Technology Services</v>
      </c>
      <c r="B1408" s="17" t="str">
        <f>IFERROR(__xludf.DUMMYFUNCTION("""COMPUTED_VALUE"""),"Ashish Khushu")</f>
        <v>Ashish Khushu</v>
      </c>
      <c r="C1408" s="17" t="str">
        <f>IFERROR(__xludf.DUMMYFUNCTION("""COMPUTED_VALUE"""),"CTO")</f>
        <v>CTO</v>
      </c>
      <c r="D1408" s="27" t="str">
        <f>IFERROR(__xludf.DUMMYFUNCTION("""COMPUTED_VALUE"""),"linkedin.com/in/ashish-khushu-b844101")</f>
        <v>linkedin.com/in/ashish-khushu-b844101</v>
      </c>
      <c r="E1408" s="17" t="str">
        <f>IFERROR(__xludf.DUMMYFUNCTION("""COMPUTED_VALUE"""),"91 80 2297 9123,+1 650-506-7000")</f>
        <v>91 80 2297 9123,+1 650-506-7000</v>
      </c>
      <c r="F1408" s="17" t="str">
        <f>IFERROR(__xludf.DUMMYFUNCTION("""COMPUTED_VALUE"""),"khushuashish@gmail.com,ashish.khushu@ltts.com")</f>
        <v>khushuashish@gmail.com,ashish.khushu@ltts.com</v>
      </c>
      <c r="G1408" s="17"/>
      <c r="H1408" s="17"/>
    </row>
    <row r="1409">
      <c r="A1409" s="17" t="str">
        <f>IFERROR(__xludf.DUMMYFUNCTION("""COMPUTED_VALUE"""),"Cognizant India")</f>
        <v>Cognizant India</v>
      </c>
      <c r="B1409" s="17" t="str">
        <f>IFERROR(__xludf.DUMMYFUNCTION("""COMPUTED_VALUE"""),"Senthil Ramaswamy S")</f>
        <v>Senthil Ramaswamy S</v>
      </c>
      <c r="C1409" s="17" t="str">
        <f>IFERROR(__xludf.DUMMYFUNCTION("""COMPUTED_VALUE"""),"CTO")</f>
        <v>CTO</v>
      </c>
      <c r="D1409" s="27" t="str">
        <f>IFERROR(__xludf.DUMMYFUNCTION("""COMPUTED_VALUE"""),"linkedin.com/in/senthilsan")</f>
        <v>linkedin.com/in/senthilsan</v>
      </c>
      <c r="E1409" s="17"/>
      <c r="F1409" s="17" t="str">
        <f>IFERROR(__xludf.DUMMYFUNCTION("""COMPUTED_VALUE"""),"senthil@cognizant.com")</f>
        <v>senthil@cognizant.com</v>
      </c>
      <c r="G1409" s="17"/>
      <c r="H1409" s="17"/>
    </row>
    <row r="1410">
      <c r="A1410" s="17" t="str">
        <f>IFERROR(__xludf.DUMMYFUNCTION("""COMPUTED_VALUE"""),"Accenture ")</f>
        <v>Accenture </v>
      </c>
      <c r="B1410" s="17" t="str">
        <f>IFERROR(__xludf.DUMMYFUNCTION("""COMPUTED_VALUE"""),"Rajendra Prasad")</f>
        <v>Rajendra Prasad</v>
      </c>
      <c r="C1410" s="17" t="str">
        <f>IFERROR(__xludf.DUMMYFUNCTION("""COMPUTED_VALUE"""),"CTO")</f>
        <v>CTO</v>
      </c>
      <c r="D1410" s="27" t="str">
        <f>IFERROR(__xludf.DUMMYFUNCTION("""COMPUTED_VALUE"""),"linkedin.com/in/rpautomation")</f>
        <v>linkedin.com/in/rpautomation</v>
      </c>
      <c r="E1410" s="17"/>
      <c r="F1410" s="17" t="str">
        <f>IFERROR(__xludf.DUMMYFUNCTION("""COMPUTED_VALUE"""),"rajendra.prasad@accenture.com, yrajendra.prasad1@worldnet.att.net")</f>
        <v>rajendra.prasad@accenture.com, yrajendra.prasad1@worldnet.att.net</v>
      </c>
      <c r="G1410" s="17"/>
      <c r="H1410" s="17"/>
    </row>
    <row r="1411">
      <c r="A1411" s="17" t="str">
        <f>IFERROR(__xludf.DUMMYFUNCTION("""COMPUTED_VALUE"""),"Oracle India")</f>
        <v>Oracle India</v>
      </c>
      <c r="B1411" s="17" t="str">
        <f>IFERROR(__xludf.DUMMYFUNCTION("""COMPUTED_VALUE"""),"Ashish Gandotra ")</f>
        <v>Ashish Gandotra </v>
      </c>
      <c r="C1411" s="17" t="str">
        <f>IFERROR(__xludf.DUMMYFUNCTION("""COMPUTED_VALUE"""),"CTO")</f>
        <v>CTO</v>
      </c>
      <c r="D1411" s="17"/>
      <c r="E1411" s="17"/>
      <c r="F1411" s="17" t="str">
        <f>IFERROR(__xludf.DUMMYFUNCTION("""COMPUTED_VALUE"""),"agandotra@gmail.com,ashish.gandotra@oracle.com")</f>
        <v>agandotra@gmail.com,ashish.gandotra@oracle.com</v>
      </c>
      <c r="G1411" s="17" t="str">
        <f>IFERROR(__xludf.DUMMYFUNCTION("""COMPUTED_VALUE"""),"ksengupt@in.ibm.com  Kankayan Sengupta")</f>
        <v>ksengupt@in.ibm.com  Kankayan Sengupta</v>
      </c>
      <c r="H1411" s="17"/>
    </row>
    <row r="1412">
      <c r="A1412" s="17" t="str">
        <f>IFERROR(__xludf.DUMMYFUNCTION("""COMPUTED_VALUE"""),"Zoho")</f>
        <v>Zoho</v>
      </c>
      <c r="B1412" s="17" t="str">
        <f>IFERROR(__xludf.DUMMYFUNCTION("""COMPUTED_VALUE"""),"Kuppulakshmi Krishnamoorthy")</f>
        <v>Kuppulakshmi Krishnamoorthy</v>
      </c>
      <c r="C1412" s="17" t="str">
        <f>IFERROR(__xludf.DUMMYFUNCTION("""COMPUTED_VALUE"""),"Global Head")</f>
        <v>Global Head</v>
      </c>
      <c r="D1412" s="27" t="str">
        <f>IFERROR(__xludf.DUMMYFUNCTION("""COMPUTED_VALUE"""),"linkedin.com/in/kuppukrish")</f>
        <v>linkedin.com/in/kuppukrish</v>
      </c>
      <c r="E1412" s="17"/>
      <c r="F1412" s="17" t="str">
        <f>IFERROR(__xludf.DUMMYFUNCTION("""COMPUTED_VALUE"""),"kklakshmi@gmail.com")</f>
        <v>kklakshmi@gmail.com</v>
      </c>
      <c r="G1412" s="17"/>
      <c r="H1412" s="17"/>
    </row>
    <row r="1413">
      <c r="A1413" s="17" t="str">
        <f>IFERROR(__xludf.DUMMYFUNCTION("""COMPUTED_VALUE"""),"Google India")</f>
        <v>Google India</v>
      </c>
      <c r="B1413" s="17" t="str">
        <f>IFERROR(__xludf.DUMMYFUNCTION("""COMPUTED_VALUE"""),"Madhusudan Shekar ")</f>
        <v>Madhusudan Shekar </v>
      </c>
      <c r="C1413" s="17" t="str">
        <f>IFERROR(__xludf.DUMMYFUNCTION("""COMPUTED_VALUE"""),"AI, CTO")</f>
        <v>AI, CTO</v>
      </c>
      <c r="D1413" s="17"/>
      <c r="E1413" s="17"/>
      <c r="F1413" s="17" t="str">
        <f>IFERROR(__xludf.DUMMYFUNCTION("""COMPUTED_VALUE"""),"madhusudan@google.com")</f>
        <v>madhusudan@google.com</v>
      </c>
      <c r="G1413" s="17"/>
      <c r="H1413" s="17"/>
    </row>
    <row r="1414">
      <c r="A1414" s="17" t="str">
        <f>IFERROR(__xludf.DUMMYFUNCTION("""COMPUTED_VALUE"""),"Microsoft India")</f>
        <v>Microsoft India</v>
      </c>
      <c r="B1414" s="17" t="str">
        <f>IFERROR(__xludf.DUMMYFUNCTION("""COMPUTED_VALUE"""),"Vivek Sridhar")</f>
        <v>Vivek Sridhar</v>
      </c>
      <c r="C1414" s="17" t="str">
        <f>IFERROR(__xludf.DUMMYFUNCTION("""COMPUTED_VALUE"""),"CTO")</f>
        <v>CTO</v>
      </c>
      <c r="D1414" s="27" t="str">
        <f>IFERROR(__xludf.DUMMYFUNCTION("""COMPUTED_VALUE"""),"linkedin.com/in/vivsridh")</f>
        <v>linkedin.com/in/vivsridh</v>
      </c>
      <c r="E1414" s="17"/>
      <c r="F1414" s="17" t="str">
        <f>IFERROR(__xludf.DUMMYFUNCTION("""COMPUTED_VALUE"""),"vivek.sridhar@microsoft.com")</f>
        <v>vivek.sridhar@microsoft.com</v>
      </c>
      <c r="G1414" s="17"/>
      <c r="H1414" s="17"/>
    </row>
    <row r="1415">
      <c r="A1415" s="17" t="str">
        <f>IFERROR(__xludf.DUMMYFUNCTION("""COMPUTED_VALUE"""),"SAP Labs India")</f>
        <v>SAP Labs India</v>
      </c>
      <c r="B1415" s="17" t="str">
        <f>IFERROR(__xludf.DUMMYFUNCTION("""COMPUTED_VALUE"""),"Kulmeet Bawa")</f>
        <v>Kulmeet Bawa</v>
      </c>
      <c r="C1415" s="17" t="str">
        <f>IFERROR(__xludf.DUMMYFUNCTION("""COMPUTED_VALUE"""),"MD ​")</f>
        <v>MD ​</v>
      </c>
      <c r="D1415" s="17"/>
      <c r="E1415" s="17"/>
      <c r="F1415" s="17"/>
      <c r="G1415" s="17"/>
      <c r="H1415" s="17"/>
    </row>
    <row r="1416">
      <c r="A1416" s="17" t="str">
        <f>IFERROR(__xludf.DUMMYFUNCTION("""COMPUTED_VALUE"""),"Persistent Systems")</f>
        <v>Persistent Systems</v>
      </c>
      <c r="B1416" s="17" t="str">
        <f>IFERROR(__xludf.DUMMYFUNCTION("""COMPUTED_VALUE"""),"Pandurang Kamat")</f>
        <v>Pandurang Kamat</v>
      </c>
      <c r="C1416" s="17" t="str">
        <f>IFERROR(__xludf.DUMMYFUNCTION("""COMPUTED_VALUE"""),"Ex CTO")</f>
        <v>Ex CTO</v>
      </c>
      <c r="D1416" s="27" t="str">
        <f>IFERROR(__xludf.DUMMYFUNCTION("""COMPUTED_VALUE"""),"linkedin.com/in/pandurang")</f>
        <v>linkedin.com/in/pandurang</v>
      </c>
      <c r="E1416" s="17"/>
      <c r="F1416" s="17" t="str">
        <f>IFERROR(__xludf.DUMMYFUNCTION("""COMPUTED_VALUE"""),"pandurang@suzega.com")</f>
        <v>pandurang@suzega.com</v>
      </c>
      <c r="G1416" s="17"/>
      <c r="H1416" s="17"/>
    </row>
    <row r="1417">
      <c r="A1417" s="17" t="str">
        <f>IFERROR(__xludf.DUMMYFUNCTION("""COMPUTED_VALUE"""),"KPIT Technologies")</f>
        <v>KPIT Technologies</v>
      </c>
      <c r="B1417" s="17" t="str">
        <f>IFERROR(__xludf.DUMMYFUNCTION("""COMPUTED_VALUE"""),"Anup Sable")</f>
        <v>Anup Sable</v>
      </c>
      <c r="C1417" s="17" t="str">
        <f>IFERROR(__xludf.DUMMYFUNCTION("""COMPUTED_VALUE"""),"CTO")</f>
        <v>CTO</v>
      </c>
      <c r="D1417" s="27" t="str">
        <f>IFERROR(__xludf.DUMMYFUNCTION("""COMPUTED_VALUE"""),"linkedin.com/in/anupsable")</f>
        <v>linkedin.com/in/anupsable</v>
      </c>
      <c r="E1417" s="17"/>
      <c r="F1417" s="17" t="str">
        <f>IFERROR(__xludf.DUMMYFUNCTION("""COMPUTED_VALUE"""),"anup.sable@kpit.com")</f>
        <v>anup.sable@kpit.com</v>
      </c>
      <c r="G1417" s="17"/>
      <c r="H1417" s="17"/>
    </row>
    <row r="1418">
      <c r="A1418" s="17" t="str">
        <f>IFERROR(__xludf.DUMMYFUNCTION("""COMPUTED_VALUE"""),"Mu Sigma")</f>
        <v>Mu Sigma</v>
      </c>
      <c r="B1418" s="17" t="str">
        <f>IFERROR(__xludf.DUMMYFUNCTION("""COMPUTED_VALUE"""),"Dhiraj Rajaram")</f>
        <v>Dhiraj Rajaram</v>
      </c>
      <c r="C1418" s="17" t="str">
        <f>IFERROR(__xludf.DUMMYFUNCTION("""COMPUTED_VALUE"""),"Founder/CEO ​")</f>
        <v>Founder/CEO ​</v>
      </c>
      <c r="D1418" s="17"/>
      <c r="E1418" s="17"/>
      <c r="F1418" s="17"/>
      <c r="G1418" s="17"/>
      <c r="H1418" s="17"/>
    </row>
    <row r="1419">
      <c r="A1419" s="17" t="str">
        <f>IFERROR(__xludf.DUMMYFUNCTION("""COMPUTED_VALUE"""),"Info Edge")</f>
        <v>Info Edge</v>
      </c>
      <c r="B1419" s="17" t="str">
        <f>IFERROR(__xludf.DUMMYFUNCTION("""COMPUTED_VALUE"""),"Sanjeev Bikhchandani")</f>
        <v>Sanjeev Bikhchandani</v>
      </c>
      <c r="C1419" s="17" t="str">
        <f>IFERROR(__xludf.DUMMYFUNCTION("""COMPUTED_VALUE"""),"Founder ​")</f>
        <v>Founder ​</v>
      </c>
      <c r="D1419" s="17"/>
      <c r="E1419" s="17"/>
      <c r="F1419" s="17"/>
      <c r="G1419" s="17"/>
      <c r="H1419" s="17"/>
    </row>
    <row r="1420">
      <c r="A1420" s="17" t="str">
        <f>IFERROR(__xludf.DUMMYFUNCTION("""COMPUTED_VALUE"""),"MakeMyTrip")</f>
        <v>MakeMyTrip</v>
      </c>
      <c r="B1420" s="17" t="str">
        <f>IFERROR(__xludf.DUMMYFUNCTION("""COMPUTED_VALUE"""),"Sanjay Mohan")</f>
        <v>Sanjay Mohan</v>
      </c>
      <c r="C1420" s="17" t="str">
        <f>IFERROR(__xludf.DUMMYFUNCTION("""COMPUTED_VALUE""")," CTO")</f>
        <v> CTO</v>
      </c>
      <c r="D1420" s="27" t="str">
        <f>IFERROR(__xludf.DUMMYFUNCTION("""COMPUTED_VALUE"""),"linkedin.com/in/snjymhn")</f>
        <v>linkedin.com/in/snjymhn</v>
      </c>
      <c r="E1420" s="17"/>
      <c r="F1420" s="17" t="str">
        <f>IFERROR(__xludf.DUMMYFUNCTION("""COMPUTED_VALUE"""),"sanjay.mohan@makemytrip.com")</f>
        <v>sanjay.mohan@makemytrip.com</v>
      </c>
      <c r="G1420" s="17"/>
      <c r="H1420" s="17"/>
    </row>
    <row r="1421">
      <c r="A1421" s="17" t="str">
        <f>IFERROR(__xludf.DUMMYFUNCTION("""COMPUTED_VALUE"""),"Capillary Technologies")</f>
        <v>Capillary Technologies</v>
      </c>
      <c r="B1421" s="17" t="str">
        <f>IFERROR(__xludf.DUMMYFUNCTION("""COMPUTED_VALUE"""),"Piyush Kumar")</f>
        <v>Piyush Kumar</v>
      </c>
      <c r="C1421" s="17" t="str">
        <f>IFERROR(__xludf.DUMMYFUNCTION("""COMPUTED_VALUE"""),"Piyush Kumar")</f>
        <v>Piyush Kumar</v>
      </c>
      <c r="D1421" s="27" t="str">
        <f>IFERROR(__xludf.DUMMYFUNCTION("""COMPUTED_VALUE"""),"linkedin.com/in/piyush-kumar-71425315")</f>
        <v>linkedin.com/in/piyush-kumar-71425315</v>
      </c>
      <c r="E1421" s="17"/>
      <c r="F1421" s="17" t="str">
        <f>IFERROR(__xludf.DUMMYFUNCTION("""COMPUTED_VALUE"""),"piyush.kumar@capillarytech.com")</f>
        <v>piyush.kumar@capillarytech.com</v>
      </c>
      <c r="G1421" s="17"/>
      <c r="H1421" s="17"/>
    </row>
    <row r="1422">
      <c r="A1422" s="17" t="str">
        <f>IFERROR(__xludf.DUMMYFUNCTION("""COMPUTED_VALUE"""),"Zepto")</f>
        <v>Zepto</v>
      </c>
      <c r="B1422" s="17" t="str">
        <f>IFERROR(__xludf.DUMMYFUNCTION("""COMPUTED_VALUE"""),"Kaivalya Vohra")</f>
        <v>Kaivalya Vohra</v>
      </c>
      <c r="C1422" s="17" t="str">
        <f>IFERROR(__xludf.DUMMYFUNCTION("""COMPUTED_VALUE"""),"CTO &amp; Co-Founder")</f>
        <v>CTO &amp; Co-Founder</v>
      </c>
      <c r="D1422" s="17"/>
      <c r="E1422" s="17"/>
      <c r="F1422" s="17" t="str">
        <f>IFERROR(__xludf.DUMMYFUNCTION("""COMPUTED_VALUE"""),"kaivalyavohra@gmail.com")</f>
        <v>kaivalyavohra@gmail.com</v>
      </c>
      <c r="G1422" s="17"/>
      <c r="H1422" s="17"/>
    </row>
    <row r="1423">
      <c r="A1423" s="17" t="str">
        <f>IFERROR(__xludf.DUMMYFUNCTION("""COMPUTED_VALUE"""),"upGrad")</f>
        <v>upGrad</v>
      </c>
      <c r="B1423" s="17" t="str">
        <f>IFERROR(__xludf.DUMMYFUNCTION("""COMPUTED_VALUE"""),"Deepesh Dhakad ")</f>
        <v>Deepesh Dhakad </v>
      </c>
      <c r="C1423" s="17" t="str">
        <f>IFERROR(__xludf.DUMMYFUNCTION("""COMPUTED_VALUE"""),"CPTO")</f>
        <v>CPTO</v>
      </c>
      <c r="D1423" s="27" t="str">
        <f>IFERROR(__xludf.DUMMYFUNCTION("""COMPUTED_VALUE"""),"linkedin.com/in/deepeshdhakad")</f>
        <v>linkedin.com/in/deepeshdhakad</v>
      </c>
      <c r="E1423" s="17"/>
      <c r="F1423" s="17" t="str">
        <f>IFERROR(__xludf.DUMMYFUNCTION("""COMPUTED_VALUE"""),"deepeshdhakad@gmail.com")</f>
        <v>deepeshdhakad@gmail.com</v>
      </c>
      <c r="G1423" s="17"/>
      <c r="H1423" s="17"/>
    </row>
    <row r="1424">
      <c r="A1424" s="17" t="str">
        <f>IFERROR(__xludf.DUMMYFUNCTION("""COMPUTED_VALUE"""),"BigBasket")</f>
        <v>BigBasket</v>
      </c>
      <c r="B1424" s="17" t="str">
        <f>IFERROR(__xludf.DUMMYFUNCTION("""COMPUTED_VALUE"""),"Rakshit Daga ")</f>
        <v>Rakshit Daga </v>
      </c>
      <c r="C1424" s="17" t="str">
        <f>IFERROR(__xludf.DUMMYFUNCTION("""COMPUTED_VALUE"""),"Ex CPTO")</f>
        <v>Ex CPTO</v>
      </c>
      <c r="D1424" s="27" t="str">
        <f>IFERROR(__xludf.DUMMYFUNCTION("""COMPUTED_VALUE"""),"linkedin.com/in/rakshit-daga-76b467")</f>
        <v>linkedin.com/in/rakshit-daga-76b467</v>
      </c>
      <c r="E1424" s="17"/>
      <c r="F1424" s="17" t="str">
        <f>IFERROR(__xludf.DUMMYFUNCTION("""COMPUTED_VALUE"""),"rakshit.daga@westbridgecap.com")</f>
        <v>rakshit.daga@westbridgecap.com</v>
      </c>
      <c r="G1424" s="17"/>
      <c r="H1424" s="17"/>
    </row>
    <row r="1425">
      <c r="A1425" s="17" t="str">
        <f>IFERROR(__xludf.DUMMYFUNCTION("""COMPUTED_VALUE"""),"Blinkit")</f>
        <v>Blinkit</v>
      </c>
      <c r="B1425" s="17" t="str">
        <f>IFERROR(__xludf.DUMMYFUNCTION("""COMPUTED_VALUE"""),"Sajal Gupta ")</f>
        <v>Sajal Gupta </v>
      </c>
      <c r="C1425" s="17" t="str">
        <f>IFERROR(__xludf.DUMMYFUNCTION("""COMPUTED_VALUE"""),"CTO")</f>
        <v>CTO</v>
      </c>
      <c r="D1425" s="27" t="str">
        <f>IFERROR(__xludf.DUMMYFUNCTION("""COMPUTED_VALUE"""),"linkedin.com/in/sajal-gupta-4b966742")</f>
        <v>linkedin.com/in/sajal-gupta-4b966742</v>
      </c>
      <c r="E1425" s="17"/>
      <c r="F1425" s="17" t="str">
        <f>IFERROR(__xludf.DUMMYFUNCTION("""COMPUTED_VALUE"""),"sajal.gupta@blinkit.com")</f>
        <v>sajal.gupta@blinkit.com</v>
      </c>
      <c r="G1425" s="17"/>
      <c r="H1425" s="17"/>
    </row>
    <row r="1426">
      <c r="A1426" s="17" t="str">
        <f>IFERROR(__xludf.DUMMYFUNCTION("""COMPUTED_VALUE"""),"Eruditus")</f>
        <v>Eruditus</v>
      </c>
      <c r="B1426" s="17" t="str">
        <f>IFERROR(__xludf.DUMMYFUNCTION("""COMPUTED_VALUE"""),"Bhushan Heda")</f>
        <v>Bhushan Heda</v>
      </c>
      <c r="C1426" s="17" t="str">
        <f>IFERROR(__xludf.DUMMYFUNCTION("""COMPUTED_VALUE"""),"CEO ​")</f>
        <v>CEO ​</v>
      </c>
      <c r="D1426" s="27" t="str">
        <f>IFERROR(__xludf.DUMMYFUNCTION("""COMPUTED_VALUE"""),"linkedin.com/in/bhushanheda")</f>
        <v>linkedin.com/in/bhushanheda</v>
      </c>
      <c r="E1426" s="17"/>
      <c r="F1426" s="17" t="str">
        <f>IFERROR(__xludf.DUMMYFUNCTION("""COMPUTED_VALUE"""),"bhushan.heda@emeritus.org")</f>
        <v>bhushan.heda@emeritus.org</v>
      </c>
      <c r="G1426" s="17"/>
      <c r="H1426" s="17"/>
    </row>
    <row r="1427">
      <c r="A1427" s="17" t="str">
        <f>IFERROR(__xludf.DUMMYFUNCTION("""COMPUTED_VALUE"""),"VerSe Innovation")</f>
        <v>VerSe Innovation</v>
      </c>
      <c r="B1427" s="17" t="str">
        <f>IFERROR(__xludf.DUMMYFUNCTION("""COMPUTED_VALUE"""),"Bapu Kota ")</f>
        <v>Bapu Kota </v>
      </c>
      <c r="C1427" s="17" t="str">
        <f>IFERROR(__xludf.DUMMYFUNCTION("""COMPUTED_VALUE"""),"CTO")</f>
        <v>CTO</v>
      </c>
      <c r="D1427" s="27" t="str">
        <f>IFERROR(__xludf.DUMMYFUNCTION("""COMPUTED_VALUE"""),"linkedin.com/in/bapukota")</f>
        <v>linkedin.com/in/bapukota</v>
      </c>
      <c r="E1427" s="17"/>
      <c r="F1427" s="17" t="str">
        <f>IFERROR(__xludf.DUMMYFUNCTION("""COMPUTED_VALUE"""),"bapu.kota@verse.in")</f>
        <v>bapu.kota@verse.in</v>
      </c>
      <c r="G1427" s="17"/>
      <c r="H1427" s="17"/>
    </row>
    <row r="1428">
      <c r="A1428" s="17" t="str">
        <f>IFERROR(__xludf.DUMMYFUNCTION("""COMPUTED_VALUE"""),"PhysicsWallah")</f>
        <v>PhysicsWallah</v>
      </c>
      <c r="B1428" s="17" t="str">
        <f>IFERROR(__xludf.DUMMYFUNCTION("""COMPUTED_VALUE"""),"Devesh Mishra")</f>
        <v>Devesh Mishra</v>
      </c>
      <c r="C1428" s="17" t="str">
        <f>IFERROR(__xludf.DUMMYFUNCTION("""COMPUTED_VALUE"""),"CTO")</f>
        <v>CTO</v>
      </c>
      <c r="D1428" s="27" t="str">
        <f>IFERROR(__xludf.DUMMYFUNCTION("""COMPUTED_VALUE"""),"linkedin.com/in/devesh-mishra-2aa711105")</f>
        <v>linkedin.com/in/devesh-mishra-2aa711105</v>
      </c>
      <c r="E1428" s="17"/>
      <c r="F1428" s="17" t="str">
        <f>IFERROR(__xludf.DUMMYFUNCTION("""COMPUTED_VALUE"""),"devesh@pw.live")</f>
        <v>devesh@pw.live</v>
      </c>
      <c r="G1428" s="17"/>
      <c r="H1428" s="17"/>
    </row>
    <row r="1429">
      <c r="A1429" s="17" t="str">
        <f>IFERROR(__xludf.DUMMYFUNCTION("""COMPUTED_VALUE"""),"Games24x7")</f>
        <v>Games24x7</v>
      </c>
      <c r="B1429" s="17" t="str">
        <f>IFERROR(__xludf.DUMMYFUNCTION("""COMPUTED_VALUE"""),"Rajat Bansal ")</f>
        <v>Rajat Bansal </v>
      </c>
      <c r="C1429" s="17" t="str">
        <f>IFERROR(__xludf.DUMMYFUNCTION("""COMPUTED_VALUE"""),"CTO")</f>
        <v>CTO</v>
      </c>
      <c r="D1429" s="27" t="str">
        <f>IFERROR(__xludf.DUMMYFUNCTION("""COMPUTED_VALUE"""),"linkedin.com/in/rajatbansal77")</f>
        <v>linkedin.com/in/rajatbansal77</v>
      </c>
      <c r="E1429" s="17"/>
      <c r="F1429" s="17" t="str">
        <f>IFERROR(__xludf.DUMMYFUNCTION("""COMPUTED_VALUE"""),"rajat.bansal@games24x7.com")</f>
        <v>rajat.bansal@games24x7.com</v>
      </c>
      <c r="G1429" s="17"/>
      <c r="H1429" s="17"/>
    </row>
    <row r="1430">
      <c r="A1430" s="17" t="str">
        <f>IFERROR(__xludf.DUMMYFUNCTION("""COMPUTED_VALUE"""),"Innovaccer")</f>
        <v>Innovaccer</v>
      </c>
      <c r="B1430" s="17" t="str">
        <f>IFERROR(__xludf.DUMMYFUNCTION("""COMPUTED_VALUE"""),"Ankit Maheshwari")</f>
        <v>Ankit Maheshwari</v>
      </c>
      <c r="C1430" s="17" t="str">
        <f>IFERROR(__xludf.DUMMYFUNCTION("""COMPUTED_VALUE"""),"CTO")</f>
        <v>CTO</v>
      </c>
      <c r="D1430" s="27" t="str">
        <f>IFERROR(__xludf.DUMMYFUNCTION("""COMPUTED_VALUE"""),"linkedin.com/in/ankit-mah")</f>
        <v>linkedin.com/in/ankit-mah</v>
      </c>
      <c r="E1430" s="17"/>
      <c r="F1430" s="17" t="str">
        <f>IFERROR(__xludf.DUMMYFUNCTION("""COMPUTED_VALUE"""),"ankit.maheshwari@innovaccer.com")</f>
        <v>ankit.maheshwari@innovaccer.com</v>
      </c>
      <c r="G1430" s="17"/>
      <c r="H1430" s="17"/>
    </row>
    <row r="1431">
      <c r="A1431" s="17" t="str">
        <f>IFERROR(__xludf.DUMMYFUNCTION("""COMPUTED_VALUE"""),"Hasura")</f>
        <v>Hasura</v>
      </c>
      <c r="B1431" s="17" t="str">
        <f>IFERROR(__xludf.DUMMYFUNCTION("""COMPUTED_VALUE"""),"Sandip Devarkonda")</f>
        <v>Sandip Devarkonda</v>
      </c>
      <c r="C1431" s="17" t="str">
        <f>IFERROR(__xludf.DUMMYFUNCTION("""COMPUTED_VALUE"""),"CTO")</f>
        <v>CTO</v>
      </c>
      <c r="D1431" s="27" t="str">
        <f>IFERROR(__xludf.DUMMYFUNCTION("""COMPUTED_VALUE"""),"linkedin.com/in/sandipdevarkonda")</f>
        <v>linkedin.com/in/sandipdevarkonda</v>
      </c>
      <c r="E1431" s="17"/>
      <c r="F1431" s="17" t="str">
        <f>IFERROR(__xludf.DUMMYFUNCTION("""COMPUTED_VALUE"""),"sandip@promptql.io")</f>
        <v>sandip@promptql.io</v>
      </c>
      <c r="G1431" s="17"/>
      <c r="H1431" s="17"/>
    </row>
    <row r="1432">
      <c r="A1432" s="17" t="str">
        <f>IFERROR(__xludf.DUMMYFUNCTION("""COMPUTED_VALUE"""),"Uniphore")</f>
        <v>Uniphore</v>
      </c>
      <c r="B1432" s="17" t="str">
        <f>IFERROR(__xludf.DUMMYFUNCTION("""COMPUTED_VALUE"""),"Ravi Mayuram")</f>
        <v>Ravi Mayuram</v>
      </c>
      <c r="C1432" s="17" t="str">
        <f>IFERROR(__xludf.DUMMYFUNCTION("""COMPUTED_VALUE"""),"CTO")</f>
        <v>CTO</v>
      </c>
      <c r="D1432" s="27" t="str">
        <f>IFERROR(__xludf.DUMMYFUNCTION("""COMPUTED_VALUE"""),"linkedin.com/in/ravimayuram")</f>
        <v>linkedin.com/in/ravimayuram</v>
      </c>
      <c r="E1432" s="17"/>
      <c r="F1432" s="17" t="str">
        <f>IFERROR(__xludf.DUMMYFUNCTION("""COMPUTED_VALUE"""),"ravi.mayuram@uniphore.com")</f>
        <v>ravi.mayuram@uniphore.com</v>
      </c>
      <c r="G1432" s="17"/>
      <c r="H1432" s="17"/>
    </row>
    <row r="1433">
      <c r="A1433" s="17" t="str">
        <f>IFERROR(__xludf.DUMMYFUNCTION("""COMPUTED_VALUE"""),"Perfios")</f>
        <v>Perfios</v>
      </c>
      <c r="B1433" s="17" t="str">
        <f>IFERROR(__xludf.DUMMYFUNCTION("""COMPUTED_VALUE"""),"Sumit Nigam")</f>
        <v>Sumit Nigam</v>
      </c>
      <c r="C1433" s="17" t="str">
        <f>IFERROR(__xludf.DUMMYFUNCTION("""COMPUTED_VALUE"""),"CTO")</f>
        <v>CTO</v>
      </c>
      <c r="D1433" s="27" t="str">
        <f>IFERROR(__xludf.DUMMYFUNCTION("""COMPUTED_VALUE"""),"linkedin.com/in/sumit-nigam-557343")</f>
        <v>linkedin.com/in/sumit-nigam-557343</v>
      </c>
      <c r="E1433" s="17"/>
      <c r="F1433" s="17" t="str">
        <f>IFERROR(__xludf.DUMMYFUNCTION("""COMPUTED_VALUE"""),"sumit.nigam@perfios.com")</f>
        <v>sumit.nigam@perfios.com</v>
      </c>
      <c r="G1433" s="17"/>
      <c r="H1433" s="17"/>
    </row>
    <row r="1434">
      <c r="A1434" s="17" t="str">
        <f>IFERROR(__xludf.DUMMYFUNCTION("""COMPUTED_VALUE"""),"Fibe")</f>
        <v>Fibe</v>
      </c>
      <c r="B1434" s="17" t="str">
        <f>IFERROR(__xludf.DUMMYFUNCTION("""COMPUTED_VALUE"""),"Anil Sinha")</f>
        <v>Anil Sinha</v>
      </c>
      <c r="C1434" s="17" t="str">
        <f>IFERROR(__xludf.DUMMYFUNCTION("""COMPUTED_VALUE"""),"Founder ​")</f>
        <v>Founder ​</v>
      </c>
      <c r="D1434" s="27" t="str">
        <f>IFERROR(__xludf.DUMMYFUNCTION("""COMPUTED_VALUE"""),"linkedin.com/in/anil-sinha-82261a1")</f>
        <v>linkedin.com/in/anil-sinha-82261a1</v>
      </c>
      <c r="E1434" s="17"/>
      <c r="F1434" s="17" t="str">
        <f>IFERROR(__xludf.DUMMYFUNCTION("""COMPUTED_VALUE"""),"anil.sinha@fibe.in")</f>
        <v>anil.sinha@fibe.in</v>
      </c>
      <c r="G1434" s="17"/>
      <c r="H1434" s="17"/>
    </row>
    <row r="1435">
      <c r="A1435" s="17" t="str">
        <f>IFERROR(__xludf.DUMMYFUNCTION("""COMPUTED_VALUE"""),"Moneyview")</f>
        <v>Moneyview</v>
      </c>
      <c r="B1435" s="17" t="str">
        <f>IFERROR(__xludf.DUMMYFUNCTION("""COMPUTED_VALUE"""),"Sanjay Aggarwal ")</f>
        <v>Sanjay Aggarwal </v>
      </c>
      <c r="C1435" s="17" t="str">
        <f>IFERROR(__xludf.DUMMYFUNCTION("""COMPUTED_VALUE"""),"CTO")</f>
        <v>CTO</v>
      </c>
      <c r="D1435" s="27" t="str">
        <f>IFERROR(__xludf.DUMMYFUNCTION("""COMPUTED_VALUE"""),"linkedin.com/in/sanjay-aggarwal-iitd")</f>
        <v>linkedin.com/in/sanjay-aggarwal-iitd</v>
      </c>
      <c r="E1435" s="17"/>
      <c r="F1435" s="17" t="str">
        <f>IFERROR(__xludf.DUMMYFUNCTION("""COMPUTED_VALUE"""),"sanjay@moneyview.in")</f>
        <v>sanjay@moneyview.in</v>
      </c>
      <c r="G1435" s="17"/>
      <c r="H1435" s="17"/>
    </row>
    <row r="1436">
      <c r="A1436" s="17" t="str">
        <f>IFERROR(__xludf.DUMMYFUNCTION("""COMPUTED_VALUE"""),"Easy Home Finance")</f>
        <v>Easy Home Finance</v>
      </c>
      <c r="B1436" s="17" t="str">
        <f>IFERROR(__xludf.DUMMYFUNCTION("""COMPUTED_VALUE"""),"Prerak Mehta ")</f>
        <v>Prerak Mehta </v>
      </c>
      <c r="C1436" s="17" t="str">
        <f>IFERROR(__xludf.DUMMYFUNCTION("""COMPUTED_VALUE"""),"CTO ")</f>
        <v>CTO </v>
      </c>
      <c r="D1436" s="27" t="str">
        <f>IFERROR(__xludf.DUMMYFUNCTION("""COMPUTED_VALUE"""),"https://www.linkedin.com/in/prerakm/?originalSubdomain=in")</f>
        <v>https://www.linkedin.com/in/prerakm/?originalSubdomain=in</v>
      </c>
      <c r="E1436" s="17" t="str">
        <f>IFERROR(__xludf.DUMMYFUNCTION("""COMPUTED_VALUE"""),"912266936112")</f>
        <v>912266936112</v>
      </c>
      <c r="F1436" s="17" t="str">
        <f>IFERROR(__xludf.DUMMYFUNCTION("""COMPUTED_VALUE"""),"prerak18@gmail.com")</f>
        <v>prerak18@gmail.com</v>
      </c>
      <c r="G1436" s="17" t="str">
        <f>IFERROR(__xludf.DUMMYFUNCTION("""COMPUTED_VALUE"""),"prerak18@gmail.com")</f>
        <v>prerak18@gmail.com</v>
      </c>
      <c r="H1436" s="17"/>
    </row>
    <row r="1437">
      <c r="A1437" s="17" t="str">
        <f>IFERROR(__xludf.DUMMYFUNCTION("""COMPUTED_VALUE"""),"Amazon")</f>
        <v>Amazon</v>
      </c>
      <c r="B1437" s="17" t="str">
        <f>IFERROR(__xludf.DUMMYFUNCTION("""COMPUTED_VALUE"""),"Swami Sivasubramanian")</f>
        <v>Swami Sivasubramanian</v>
      </c>
      <c r="C1437" s="17" t="str">
        <f>IFERROR(__xludf.DUMMYFUNCTION("""COMPUTED_VALUE"""),"VP Engineering, Amazon India")</f>
        <v>VP Engineering, Amazon India</v>
      </c>
      <c r="D1437" s="17"/>
      <c r="E1437" s="17"/>
      <c r="F1437" s="17" t="str">
        <f>IFERROR(__xludf.DUMMYFUNCTION("""COMPUTED_VALUE"""),"swami@amazon.com")</f>
        <v>swami@amazon.com</v>
      </c>
      <c r="G1437" s="17"/>
      <c r="H1437" s="17"/>
    </row>
    <row r="1438">
      <c r="A1438" s="17" t="str">
        <f>IFERROR(__xludf.DUMMYFUNCTION("""COMPUTED_VALUE"""),"Meta (Facebook)")</f>
        <v>Meta (Facebook)</v>
      </c>
      <c r="B1438" s="17" t="str">
        <f>IFERROR(__xludf.DUMMYFUNCTION("""COMPUTED_VALUE"""),"Arun Srinivas")</f>
        <v>Arun Srinivas</v>
      </c>
      <c r="C1438" s="17" t="str">
        <f>IFERROR(__xludf.DUMMYFUNCTION("""COMPUTED_VALUE"""),"Director &amp; India Tech Leader")</f>
        <v>Director &amp; India Tech Leader</v>
      </c>
      <c r="D1438" s="27" t="str">
        <f>IFERROR(__xludf.DUMMYFUNCTION("""COMPUTED_VALUE"""),"linkedin.com/in/arun-srinivas-6064721")</f>
        <v>linkedin.com/in/arun-srinivas-6064721</v>
      </c>
      <c r="E1438" s="17"/>
      <c r="F1438" s="17" t="str">
        <f>IFERROR(__xludf.DUMMYFUNCTION("""COMPUTED_VALUE"""),"asrinivas@fb.com")</f>
        <v>asrinivas@fb.com</v>
      </c>
      <c r="G1438" s="17" t="str">
        <f>IFERROR(__xludf.DUMMYFUNCTION("""COMPUTED_VALUE"""),"arunsrinivasishere@gmail.com")</f>
        <v>arunsrinivasishere@gmail.com</v>
      </c>
      <c r="H1438" s="17"/>
    </row>
    <row r="1439">
      <c r="A1439" s="17" t="str">
        <f>IFERROR(__xludf.DUMMYFUNCTION("""COMPUTED_VALUE"""),"NVIDIA")</f>
        <v>NVIDIA</v>
      </c>
      <c r="B1439" s="17" t="str">
        <f>IFERROR(__xludf.DUMMYFUNCTION("""COMPUTED_VALUE"""),"Vishal Dhupar")</f>
        <v>Vishal Dhupar</v>
      </c>
      <c r="C1439" s="17" t="str">
        <f>IFERROR(__xludf.DUMMYFUNCTION("""COMPUTED_VALUE"""),"Managing Director – South Asia")</f>
        <v>Managing Director – South Asia</v>
      </c>
      <c r="D1439" s="27" t="str">
        <f>IFERROR(__xludf.DUMMYFUNCTION("""COMPUTED_VALUE"""),"linkedin.com/in/vishaldhupar")</f>
        <v>linkedin.com/in/vishaldhupar</v>
      </c>
      <c r="E1439" s="17"/>
      <c r="F1439" s="17" t="str">
        <f>IFERROR(__xludf.DUMMYFUNCTION("""COMPUTED_VALUE"""),"vdhupar@nvidia.com")</f>
        <v>vdhupar@nvidia.com</v>
      </c>
      <c r="G1439" s="17"/>
      <c r="H1439" s="17"/>
    </row>
    <row r="1440">
      <c r="A1440" s="17" t="str">
        <f>IFERROR(__xludf.DUMMYFUNCTION("""COMPUTED_VALUE"""),"Intel")</f>
        <v>Intel</v>
      </c>
      <c r="B1440" s="17" t="str">
        <f>IFERROR(__xludf.DUMMYFUNCTION("""COMPUTED_VALUE"""),"Santhosh Viswanathan")</f>
        <v>Santhosh Viswanathan</v>
      </c>
      <c r="C1440" s="17" t="str">
        <f>IFERROR(__xludf.DUMMYFUNCTION("""COMPUTED_VALUE"""),"MD – Intel India")</f>
        <v>MD – Intel India</v>
      </c>
      <c r="D1440" s="27" t="str">
        <f>IFERROR(__xludf.DUMMYFUNCTION("""COMPUTED_VALUE"""),"linkedin.com/in/santhoshviswanathan")</f>
        <v>linkedin.com/in/santhoshviswanathan</v>
      </c>
      <c r="E1440" s="17"/>
      <c r="F1440" s="17" t="str">
        <f>IFERROR(__xludf.DUMMYFUNCTION("""COMPUTED_VALUE"""),"santhosh.viswanathan@intel.com")</f>
        <v>santhosh.viswanathan@intel.com</v>
      </c>
      <c r="G1440" s="17"/>
      <c r="H1440" s="17"/>
    </row>
    <row r="1441">
      <c r="A1441" s="17" t="str">
        <f>IFERROR(__xludf.DUMMYFUNCTION("""COMPUTED_VALUE"""),"Qualcomm")</f>
        <v>Qualcomm</v>
      </c>
      <c r="B1441" s="17" t="str">
        <f>IFERROR(__xludf.DUMMYFUNCTION("""COMPUTED_VALUE"""),"Savi Soin")</f>
        <v>Savi Soin</v>
      </c>
      <c r="C1441" s="17" t="str">
        <f>IFERROR(__xludf.DUMMYFUNCTION("""COMPUTED_VALUE"""),"President – Qualcomm India")</f>
        <v>President – Qualcomm India</v>
      </c>
      <c r="D1441" s="27" t="str">
        <f>IFERROR(__xludf.DUMMYFUNCTION("""COMPUTED_VALUE"""),"linkedin.com/in/savi-soin-050a17")</f>
        <v>linkedin.com/in/savi-soin-050a17</v>
      </c>
      <c r="E1441" s="17"/>
      <c r="F1441" s="17" t="str">
        <f>IFERROR(__xludf.DUMMYFUNCTION("""COMPUTED_VALUE"""),"savis@qti.qualcomm.com")</f>
        <v>savis@qti.qualcomm.com</v>
      </c>
      <c r="G1441" s="17" t="str">
        <f>IFERROR(__xludf.DUMMYFUNCTION("""COMPUTED_VALUE"""),"savis@qualcomm.com")</f>
        <v>savis@qualcomm.com</v>
      </c>
      <c r="H1441" s="17"/>
    </row>
    <row r="1442">
      <c r="A1442" s="17" t="str">
        <f>IFERROR(__xludf.DUMMYFUNCTION("""COMPUTED_VALUE"""),"AMD")</f>
        <v>AMD</v>
      </c>
      <c r="B1442" s="17" t="str">
        <f>IFERROR(__xludf.DUMMYFUNCTION("""COMPUTED_VALUE"""),"Vinay Sinha")</f>
        <v>Vinay Sinha</v>
      </c>
      <c r="C1442" s="17" t="str">
        <f>IFERROR(__xludf.DUMMYFUNCTION("""COMPUTED_VALUE"""),"Tech VP &amp; MD India")</f>
        <v>Tech VP &amp; MD India</v>
      </c>
      <c r="D1442" s="27" t="str">
        <f>IFERROR(__xludf.DUMMYFUNCTION("""COMPUTED_VALUE"""),"linkedin.com/in/vinay-sinha-33092389")</f>
        <v>linkedin.com/in/vinay-sinha-33092389</v>
      </c>
      <c r="E1442" s="17"/>
      <c r="F1442" s="17" t="str">
        <f>IFERROR(__xludf.DUMMYFUNCTION("""COMPUTED_VALUE"""),"vinay.sinha@amd.com")</f>
        <v>vinay.sinha@amd.com</v>
      </c>
      <c r="G1442" s="17"/>
      <c r="H1442" s="17"/>
    </row>
    <row r="1443">
      <c r="A1443" s="17" t="str">
        <f>IFERROR(__xludf.DUMMYFUNCTION("""COMPUTED_VALUE"""),"Broadcom")</f>
        <v>Broadcom</v>
      </c>
      <c r="B1443" s="17" t="str">
        <f>IFERROR(__xludf.DUMMYFUNCTION("""COMPUTED_VALUE"""),"Sandeep Bhatia")</f>
        <v>Sandeep Bhatia</v>
      </c>
      <c r="C1443" s="17" t="str">
        <f>IFERROR(__xludf.DUMMYFUNCTION("""COMPUTED_VALUE"""),"Senior Engineering Director ")</f>
        <v>Senior Engineering Director </v>
      </c>
      <c r="D1443" s="27" t="str">
        <f>IFERROR(__xludf.DUMMYFUNCTION("""COMPUTED_VALUE"""),"linkedin.com/in/sandeep-bhatia-8957045")</f>
        <v>linkedin.com/in/sandeep-bhatia-8957045</v>
      </c>
      <c r="E1443" s="17"/>
      <c r="F1443" s="17" t="str">
        <f>IFERROR(__xludf.DUMMYFUNCTION("""COMPUTED_VALUE"""),"sandeepb@broadcom.com")</f>
        <v>sandeepb@broadcom.com</v>
      </c>
      <c r="G1443" s="17"/>
      <c r="H1443" s="17"/>
    </row>
    <row r="1444">
      <c r="A1444" s="17" t="str">
        <f>IFERROR(__xludf.DUMMYFUNCTION("""COMPUTED_VALUE"""),"Adobe")</f>
        <v>Adobe</v>
      </c>
      <c r="B1444" s="17" t="str">
        <f>IFERROR(__xludf.DUMMYFUNCTION("""COMPUTED_VALUE"""),"Rajeev Sharma ")</f>
        <v>Rajeev Sharma </v>
      </c>
      <c r="C1444" s="17" t="str">
        <f>IFERROR(__xludf.DUMMYFUNCTION("""COMPUTED_VALUE"""),"VP Engineering, Adobe India")</f>
        <v>VP Engineering, Adobe India</v>
      </c>
      <c r="D1444" s="27" t="str">
        <f>IFERROR(__xludf.DUMMYFUNCTION("""COMPUTED_VALUE"""),"linkedin.com/in/rajeev9778")</f>
        <v>linkedin.com/in/rajeev9778</v>
      </c>
      <c r="E1444" s="17"/>
      <c r="F1444" s="17" t="str">
        <f>IFERROR(__xludf.DUMMYFUNCTION("""COMPUTED_VALUE"""),"rsharma@adobe.com")</f>
        <v>rsharma@adobe.com</v>
      </c>
      <c r="G1444" s="17"/>
      <c r="H1444" s="17"/>
    </row>
    <row r="1445">
      <c r="A1445" s="17" t="str">
        <f>IFERROR(__xludf.DUMMYFUNCTION("""COMPUTED_VALUE"""),"Salesforce")</f>
        <v>Salesforce</v>
      </c>
      <c r="B1445" s="17" t="str">
        <f>IFERROR(__xludf.DUMMYFUNCTION("""COMPUTED_VALUE"""),"Arundhati Bhattacharya")</f>
        <v>Arundhati Bhattacharya</v>
      </c>
      <c r="C1445" s="17" t="str">
        <f>IFERROR(__xludf.DUMMYFUNCTION("""COMPUTED_VALUE"""),"Chairperson &amp; CEO – Salesforce India")</f>
        <v>Chairperson &amp; CEO – Salesforce India</v>
      </c>
      <c r="D1445" s="27" t="str">
        <f>IFERROR(__xludf.DUMMYFUNCTION("""COMPUTED_VALUE"""),"linkedin.com/in/arundhati-bhattacharya-salesforce")</f>
        <v>linkedin.com/in/arundhati-bhattacharya-salesforce</v>
      </c>
      <c r="E1445" s="17"/>
      <c r="F1445" s="17" t="str">
        <f>IFERROR(__xludf.DUMMYFUNCTION("""COMPUTED_VALUE"""),"abhattacharya@salesforce.com")</f>
        <v>abhattacharya@salesforce.com</v>
      </c>
      <c r="G1445" s="17"/>
      <c r="H1445" s="17"/>
    </row>
    <row r="1446">
      <c r="A1446" s="17" t="str">
        <f>IFERROR(__xludf.DUMMYFUNCTION("""COMPUTED_VALUE"""),"PayPal")</f>
        <v>PayPal</v>
      </c>
      <c r="B1446" s="17" t="str">
        <f>IFERROR(__xludf.DUMMYFUNCTION("""COMPUTED_VALUE"""),"Sathish Selladurai")</f>
        <v>Sathish Selladurai</v>
      </c>
      <c r="C1446" s="17" t="str">
        <f>IFERROR(__xludf.DUMMYFUNCTION("""COMPUTED_VALUE"""),"CTO, PayPal India")</f>
        <v>CTO, PayPal India</v>
      </c>
      <c r="D1446" s="27" t="str">
        <f>IFERROR(__xludf.DUMMYFUNCTION("""COMPUTED_VALUE"""),"linkedin.com/in/srini-venkatesan")</f>
        <v>linkedin.com/in/srini-venkatesan</v>
      </c>
      <c r="E1446" s="17"/>
      <c r="F1446" s="17" t="str">
        <f>IFERROR(__xludf.DUMMYFUNCTION("""COMPUTED_VALUE"""),"svenkatesan@paypal.com")</f>
        <v>svenkatesan@paypal.com</v>
      </c>
      <c r="G1446" s="17"/>
      <c r="H1446" s="17"/>
    </row>
    <row r="1447">
      <c r="A1447" s="17" t="str">
        <f>IFERROR(__xludf.DUMMYFUNCTION("""COMPUTED_VALUE"""),"Stripe")</f>
        <v>Stripe</v>
      </c>
      <c r="B1447" s="17" t="str">
        <f>IFERROR(__xludf.DUMMYFUNCTION("""COMPUTED_VALUE"""),"Arjun Sethi")</f>
        <v>Arjun Sethi</v>
      </c>
      <c r="C1447" s="17" t="str">
        <f>IFERROR(__xludf.DUMMYFUNCTION("""COMPUTED_VALUE"""),"India Engineering Leadership")</f>
        <v>India Engineering Leadership</v>
      </c>
      <c r="D1447" s="27" t="str">
        <f>IFERROR(__xludf.DUMMYFUNCTION("""COMPUTED_VALUE"""),"linkedin.com/in/asethi")</f>
        <v>linkedin.com/in/asethi</v>
      </c>
      <c r="E1447" s="17"/>
      <c r="F1447" s="17" t="str">
        <f>IFERROR(__xludf.DUMMYFUNCTION("""COMPUTED_VALUE"""),"arjun@littleinc.com")</f>
        <v>arjun@littleinc.com</v>
      </c>
      <c r="G1447" s="17"/>
      <c r="H1447" s="17"/>
    </row>
    <row r="1448">
      <c r="A1448" s="17" t="str">
        <f>IFERROR(__xludf.DUMMYFUNCTION("""COMPUTED_VALUE"""),"Uber")</f>
        <v>Uber</v>
      </c>
      <c r="B1448" s="17" t="str">
        <f>IFERROR(__xludf.DUMMYFUNCTION("""COMPUTED_VALUE"""),"Prabhjeet Singh")</f>
        <v>Prabhjeet Singh</v>
      </c>
      <c r="C1448" s="17" t="str">
        <f>IFERROR(__xludf.DUMMYFUNCTION("""COMPUTED_VALUE"""),"President – Uber India")</f>
        <v>President – Uber India</v>
      </c>
      <c r="D1448" s="27" t="str">
        <f>IFERROR(__xludf.DUMMYFUNCTION("""COMPUTED_VALUE"""),"linkedin.com/in/prabhjeetsingh1")</f>
        <v>linkedin.com/in/prabhjeetsingh1</v>
      </c>
      <c r="E1448" s="17"/>
      <c r="F1448" s="17" t="str">
        <f>IFERROR(__xludf.DUMMYFUNCTION("""COMPUTED_VALUE"""),"prabhjeet@gmail.com")</f>
        <v>prabhjeet@gmail.com</v>
      </c>
      <c r="G1448" s="17"/>
      <c r="H1448" s="17"/>
    </row>
    <row r="1449">
      <c r="A1449" s="17" t="str">
        <f>IFERROR(__xludf.DUMMYFUNCTION("""COMPUTED_VALUE"""),"Airbnb")</f>
        <v>Airbnb</v>
      </c>
      <c r="B1449" s="17" t="str">
        <f>IFERROR(__xludf.DUMMYFUNCTION("""COMPUTED_VALUE"""),"Amit Dubey")</f>
        <v>Amit Dubey</v>
      </c>
      <c r="C1449" s="17" t="str">
        <f>IFERROR(__xludf.DUMMYFUNCTION("""COMPUTED_VALUE"""),"Senior Director")</f>
        <v>Senior Director</v>
      </c>
      <c r="D1449" s="27" t="str">
        <f>IFERROR(__xludf.DUMMYFUNCTION("""COMPUTED_VALUE"""),"linkedin.com/in/amitkrdubey")</f>
        <v>linkedin.com/in/amitkrdubey</v>
      </c>
      <c r="E1449" s="17"/>
      <c r="F1449" s="17" t="str">
        <f>IFERROR(__xludf.DUMMYFUNCTION("""COMPUTED_VALUE"""),"amit.dubey@airbnb.com")</f>
        <v>amit.dubey@airbnb.com</v>
      </c>
      <c r="G1449" s="17"/>
      <c r="H1449" s="17"/>
    </row>
    <row r="1450">
      <c r="A1450" s="17" t="str">
        <f>IFERROR(__xludf.DUMMYFUNCTION("""COMPUTED_VALUE"""),"Netflix")</f>
        <v>Netflix</v>
      </c>
      <c r="B1450" s="17" t="str">
        <f>IFERROR(__xludf.DUMMYFUNCTION("""COMPUTED_VALUE"""),"Monika Shergill")</f>
        <v>Monika Shergill</v>
      </c>
      <c r="C1450" s="17" t="str">
        <f>IFERROR(__xludf.DUMMYFUNCTION("""COMPUTED_VALUE"""),"VP Content (India Tech Ops interface)")</f>
        <v>VP Content (India Tech Ops interface)</v>
      </c>
      <c r="D1450" s="27" t="str">
        <f>IFERROR(__xludf.DUMMYFUNCTION("""COMPUTED_VALUE"""),"linkedin.com/in/monika-shergill-8a616b2b")</f>
        <v>linkedin.com/in/monika-shergill-8a616b2b</v>
      </c>
      <c r="E1450" s="17"/>
      <c r="F1450" s="17" t="str">
        <f>IFERROR(__xludf.DUMMYFUNCTION("""COMPUTED_VALUE"""),"mshergill@netflix.com")</f>
        <v>mshergill@netflix.com</v>
      </c>
      <c r="G1450" s="17"/>
      <c r="H1450" s="17"/>
    </row>
    <row r="1451">
      <c r="A1451" s="17" t="str">
        <f>IFERROR(__xludf.DUMMYFUNCTION("""COMPUTED_VALUE"""),"Dropbox")</f>
        <v>Dropbox</v>
      </c>
      <c r="B1451" s="17" t="str">
        <f>IFERROR(__xludf.DUMMYFUNCTION("""COMPUTED_VALUE"""),"Ashok Reddy")</f>
        <v>Ashok Reddy</v>
      </c>
      <c r="C1451" s="17" t="str">
        <f>IFERROR(__xludf.DUMMYFUNCTION("""COMPUTED_VALUE"""),"India Engineering Head")</f>
        <v>India Engineering Head</v>
      </c>
      <c r="D1451" s="17"/>
      <c r="E1451" s="17"/>
      <c r="F1451" s="17"/>
      <c r="G1451" s="17"/>
      <c r="H1451" s="17"/>
    </row>
    <row r="1452">
      <c r="A1452" s="17" t="str">
        <f>IFERROR(__xludf.DUMMYFUNCTION("""COMPUTED_VALUE"""),"LinkedIn")</f>
        <v>LinkedIn</v>
      </c>
      <c r="B1452" s="17" t="str">
        <f>IFERROR(__xludf.DUMMYFUNCTION("""COMPUTED_VALUE"""),"Ashutosh Gupta")</f>
        <v>Ashutosh Gupta</v>
      </c>
      <c r="C1452" s="17" t="str">
        <f>IFERROR(__xludf.DUMMYFUNCTION("""COMPUTED_VALUE"""),"VP Engineering")</f>
        <v>VP Engineering</v>
      </c>
      <c r="D1452" s="17"/>
      <c r="E1452" s="17"/>
      <c r="F1452" s="17"/>
      <c r="G1452" s="17"/>
      <c r="H1452" s="17"/>
    </row>
    <row r="1453">
      <c r="A1453" s="17" t="str">
        <f>IFERROR(__xludf.DUMMYFUNCTION("""COMPUTED_VALUE"""),"Airtel")</f>
        <v>Airtel</v>
      </c>
      <c r="B1453" s="17" t="str">
        <f>IFERROR(__xludf.DUMMYFUNCTION("""COMPUTED_VALUE"""),"Gopal Vittal")</f>
        <v>Gopal Vittal</v>
      </c>
      <c r="C1453" s="17" t="str">
        <f>IFERROR(__xludf.DUMMYFUNCTION("""COMPUTED_VALUE"""),"CEO, Head Tech")</f>
        <v>CEO, Head Tech</v>
      </c>
      <c r="D1453" s="17"/>
      <c r="E1453" s="17"/>
      <c r="F1453" s="17" t="str">
        <f>IFERROR(__xludf.DUMMYFUNCTION("""COMPUTED_VALUE"""),"CEO.India@airtel.com")</f>
        <v>CEO.India@airtel.com</v>
      </c>
      <c r="G1453" s="17"/>
      <c r="H1453" s="17"/>
    </row>
    <row r="1454">
      <c r="A1454" s="17" t="str">
        <f>IFERROR(__xludf.DUMMYFUNCTION("""COMPUTED_VALUE"""),"Verizon")</f>
        <v>Verizon</v>
      </c>
      <c r="B1454" s="17" t="str">
        <f>IFERROR(__xludf.DUMMYFUNCTION("""COMPUTED_VALUE"""),"Aparna Khurjekar")</f>
        <v>Aparna Khurjekar</v>
      </c>
      <c r="C1454" s="17" t="str">
        <f>IFERROR(__xludf.DUMMYFUNCTION("""COMPUTED_VALUE"""),"India Technology Head")</f>
        <v>India Technology Head</v>
      </c>
      <c r="D1454" s="27" t="str">
        <f>IFERROR(__xludf.DUMMYFUNCTION("""COMPUTED_VALUE"""),"linkedin.com/in/aparna-khurjekar")</f>
        <v>linkedin.com/in/aparna-khurjekar</v>
      </c>
      <c r="E1454" s="17"/>
      <c r="F1454" s="17" t="str">
        <f>IFERROR(__xludf.DUMMYFUNCTION("""COMPUTED_VALUE"""),"aparna.khurjekar@verizonwireless.com")</f>
        <v>aparna.khurjekar@verizonwireless.com</v>
      </c>
      <c r="G1454" s="17"/>
      <c r="H1454" s="17"/>
    </row>
    <row r="1455">
      <c r="A1455" s="17" t="str">
        <f>IFERROR(__xludf.DUMMYFUNCTION("""COMPUTED_VALUE"""),"Dell Technologies")</f>
        <v>Dell Technologies</v>
      </c>
      <c r="B1455" s="17" t="str">
        <f>IFERROR(__xludf.DUMMYFUNCTION("""COMPUTED_VALUE"""),"manish Gupta")</f>
        <v>manish Gupta</v>
      </c>
      <c r="C1455" s="17" t="str">
        <f>IFERROR(__xludf.DUMMYFUNCTION("""COMPUTED_VALUE"""),"President India (Tech Ops)")</f>
        <v>President India (Tech Ops)</v>
      </c>
      <c r="D1455" s="27" t="str">
        <f>IFERROR(__xludf.DUMMYFUNCTION("""COMPUTED_VALUE"""),"linkedin.com/in/manishgupta05")</f>
        <v>linkedin.com/in/manishgupta05</v>
      </c>
      <c r="E1455" s="17"/>
      <c r="F1455" s="17" t="str">
        <f>IFERROR(__xludf.DUMMYFUNCTION("""COMPUTED_VALUE"""),"manish_gupta@dell.com, ")</f>
        <v>manish_gupta@dell.com, </v>
      </c>
      <c r="G1455" s="17" t="str">
        <f>IFERROR(__xludf.DUMMYFUNCTION("""COMPUTED_VALUE"""),"manishgupta@mailcity.com")</f>
        <v>manishgupta@mailcity.com</v>
      </c>
      <c r="H1455" s="17"/>
    </row>
    <row r="1456">
      <c r="A1456" s="17" t="str">
        <f>IFERROR(__xludf.DUMMYFUNCTION("""COMPUTED_VALUE"""),"Info USA")</f>
        <v>Info USA</v>
      </c>
      <c r="B1456" s="17" t="str">
        <f>IFERROR(__xludf.DUMMYFUNCTION("""COMPUTED_VALUE"""),"Vinod Gupta")</f>
        <v>Vinod Gupta</v>
      </c>
      <c r="C1456" s="17" t="str">
        <f>IFERROR(__xludf.DUMMYFUNCTION("""COMPUTED_VALUE"""),"Founder &amp; CTO")</f>
        <v>Founder &amp; CTO</v>
      </c>
      <c r="D1456" s="27" t="str">
        <f>IFERROR(__xludf.DUMMYFUNCTION("""COMPUTED_VALUE"""),"linkedin.com/in/vinod-gupta-everest")</f>
        <v>linkedin.com/in/vinod-gupta-everest</v>
      </c>
      <c r="E1456" s="17"/>
      <c r="F1456" s="17" t="str">
        <f>IFERROR(__xludf.DUMMYFUNCTION("""COMPUTED_VALUE"""),"vin@vingupta.com, vinodgupta1946@gmail.com, vinod@everestusa.net")</f>
        <v>vin@vingupta.com, vinodgupta1946@gmail.com, vinod@everestusa.net</v>
      </c>
      <c r="G1456" s="17"/>
      <c r="H1456" s="17"/>
    </row>
    <row r="1457">
      <c r="A1457" s="17" t="str">
        <f>IFERROR(__xludf.DUMMYFUNCTION("""COMPUTED_VALUE"""),"HP Inc.")</f>
        <v>HP Inc.</v>
      </c>
      <c r="B1457" s="17" t="str">
        <f>IFERROR(__xludf.DUMMYFUNCTION("""COMPUTED_VALUE"""),"Ipsita Dasgupta")</f>
        <v>Ipsita Dasgupta</v>
      </c>
      <c r="C1457" s="17" t="str">
        <f>IFERROR(__xludf.DUMMYFUNCTION("""COMPUTED_VALUE"""),"MD India")</f>
        <v>MD India</v>
      </c>
      <c r="D1457" s="27" t="str">
        <f>IFERROR(__xludf.DUMMYFUNCTION("""COMPUTED_VALUE"""),"linkedin.com/in/ipsita-dasgupta-66244")</f>
        <v>linkedin.com/in/ipsita-dasgupta-66244</v>
      </c>
      <c r="E1457" s="17"/>
      <c r="F1457" s="17" t="str">
        <f>IFERROR(__xludf.DUMMYFUNCTION("""COMPUTED_VALUE"""),"ipsita.dasgupta@hp.com")</f>
        <v>ipsita.dasgupta@hp.com</v>
      </c>
      <c r="G1457" s="17" t="str">
        <f>IFERROR(__xludf.DUMMYFUNCTION("""COMPUTED_VALUE"""),"ipsitadasgupta@gmail.com")</f>
        <v>ipsitadasgupta@gmail.com</v>
      </c>
      <c r="H1457" s="17"/>
    </row>
    <row r="1458">
      <c r="A1458" s="17" t="str">
        <f>IFERROR(__xludf.DUMMYFUNCTION("""COMPUTED_VALUE"""),"Palo Alto Networks")</f>
        <v>Palo Alto Networks</v>
      </c>
      <c r="B1458" s="17" t="str">
        <f>IFERROR(__xludf.DUMMYFUNCTION("""COMPUTED_VALUE"""),"Anshul Garg")</f>
        <v>Anshul Garg</v>
      </c>
      <c r="C1458" s="17" t="str">
        <f>IFERROR(__xludf.DUMMYFUNCTION("""COMPUTED_VALUE"""),"VP Engineering, India")</f>
        <v>VP Engineering, India</v>
      </c>
      <c r="D1458" s="17"/>
      <c r="E1458" s="17"/>
      <c r="F1458" s="17"/>
      <c r="G1458" s="17"/>
      <c r="H1458" s="17"/>
    </row>
    <row r="1459">
      <c r="A1459" s="17" t="str">
        <f>IFERROR(__xludf.DUMMYFUNCTION("""COMPUTED_VALUE"""),"Fortinet")</f>
        <v>Fortinet</v>
      </c>
      <c r="B1459" s="17" t="str">
        <f>IFERROR(__xludf.DUMMYFUNCTION("""COMPUTED_VALUE"""),"Vivek Srivastava")</f>
        <v>Vivek Srivastava</v>
      </c>
      <c r="C1459" s="17" t="str">
        <f>IFERROR(__xludf.DUMMYFUNCTION("""COMPUTED_VALUE"""),"Regional Engineering Head")</f>
        <v>Regional Engineering Head</v>
      </c>
      <c r="D1459" s="27" t="str">
        <f>IFERROR(__xludf.DUMMYFUNCTION("""COMPUTED_VALUE"""),"linkedin.com/in/vivek-srivastava-cybersecurity")</f>
        <v>linkedin.com/in/vivek-srivastava-cybersecurity</v>
      </c>
      <c r="E1459" s="17"/>
      <c r="F1459" s="17" t="str">
        <f>IFERROR(__xludf.DUMMYFUNCTION("""COMPUTED_VALUE"""),"vsrivastava@fortinet.com")</f>
        <v>vsrivastava@fortinet.com</v>
      </c>
      <c r="G1459" s="17"/>
      <c r="H1459" s="17"/>
    </row>
    <row r="1460">
      <c r="A1460" s="17" t="str">
        <f>IFERROR(__xludf.DUMMYFUNCTION("""COMPUTED_VALUE"""),"CrowdStrike")</f>
        <v>CrowdStrike</v>
      </c>
      <c r="B1460" s="17" t="str">
        <f>IFERROR(__xludf.DUMMYFUNCTION("""COMPUTED_VALUE"""),"Anil Z Chakravarthy ")</f>
        <v>Anil Z Chakravarthy </v>
      </c>
      <c r="C1460" s="17" t="str">
        <f>IFERROR(__xludf.DUMMYFUNCTION("""COMPUTED_VALUE"""),"Director, Engineering")</f>
        <v>Director, Engineering</v>
      </c>
      <c r="D1460" s="27" t="str">
        <f>IFERROR(__xludf.DUMMYFUNCTION("""COMPUTED_VALUE"""),"linkedin.com/in/anil-z-chakravarthy-54481016")</f>
        <v>linkedin.com/in/anil-z-chakravarthy-54481016</v>
      </c>
      <c r="E1460" s="17"/>
      <c r="F1460" s="17" t="str">
        <f>IFERROR(__xludf.DUMMYFUNCTION("""COMPUTED_VALUE"""),"anil.chakravarthy@crowdstrike.com")</f>
        <v>anil.chakravarthy@crowdstrike.com</v>
      </c>
      <c r="G1460" s="17" t="str">
        <f>IFERROR(__xludf.DUMMYFUNCTION("""COMPUTED_VALUE"""),"anilchakravarthy@gmail.com")</f>
        <v>anilchakravarthy@gmail.com</v>
      </c>
      <c r="H1460" s="17"/>
    </row>
    <row r="1461">
      <c r="A1461" s="17" t="str">
        <f>IFERROR(__xludf.DUMMYFUNCTION("""COMPUTED_VALUE"""),"Snowflake")</f>
        <v>Snowflake</v>
      </c>
      <c r="B1461" s="17" t="str">
        <f>IFERROR(__xludf.DUMMYFUNCTION("""COMPUTED_VALUE"""),"Vijayant Rai")</f>
        <v>Vijayant Rai</v>
      </c>
      <c r="C1461" s="17" t="str">
        <f>IFERROR(__xludf.DUMMYFUNCTION("""COMPUTED_VALUE"""),"Managing Director, Engineering")</f>
        <v>Managing Director, Engineering</v>
      </c>
      <c r="D1461" s="27" t="str">
        <f>IFERROR(__xludf.DUMMYFUNCTION("""COMPUTED_VALUE"""),"linkedin.com/in/vijayant-rai-226203a")</f>
        <v>linkedin.com/in/vijayant-rai-226203a</v>
      </c>
      <c r="E1461" s="17"/>
      <c r="F1461" s="17" t="str">
        <f>IFERROR(__xludf.DUMMYFUNCTION("""COMPUTED_VALUE"""),"vijayantrai@gmail.com")</f>
        <v>vijayantrai@gmail.com</v>
      </c>
      <c r="G1461" s="17"/>
      <c r="H1461" s="17"/>
    </row>
    <row r="1462">
      <c r="A1462" s="17" t="str">
        <f>IFERROR(__xludf.DUMMYFUNCTION("""COMPUTED_VALUE"""),"Workday")</f>
        <v>Workday</v>
      </c>
      <c r="B1462" s="17" t="str">
        <f>IFERROR(__xludf.DUMMYFUNCTION("""COMPUTED_VALUE"""),"Ranjit Mavinkurve")</f>
        <v>Ranjit Mavinkurve</v>
      </c>
      <c r="C1462" s="17" t="str">
        <f>IFERROR(__xludf.DUMMYFUNCTION("""COMPUTED_VALUE"""),"VP Engineering")</f>
        <v>VP Engineering</v>
      </c>
      <c r="D1462" s="27" t="str">
        <f>IFERROR(__xludf.DUMMYFUNCTION("""COMPUTED_VALUE"""),"linkedin.com/in/ranjitmavinkurve")</f>
        <v>linkedin.com/in/ranjitmavinkurve</v>
      </c>
      <c r="E1462" s="17"/>
      <c r="F1462" s="17" t="str">
        <f>IFERROR(__xludf.DUMMYFUNCTION("""COMPUTED_VALUE"""),"ranjit.mavinkurve@workday.com")</f>
        <v>ranjit.mavinkurve@workday.com</v>
      </c>
      <c r="G1462" s="17" t="str">
        <f>IFERROR(__xludf.DUMMYFUNCTION("""COMPUTED_VALUE"""),"ranjit@mavinkurve.com")</f>
        <v>ranjit@mavinkurve.com</v>
      </c>
      <c r="H1462" s="17" t="str">
        <f>IFERROR(__xludf.DUMMYFUNCTION("""COMPUTED_VALUE"""),"ranjitmavinkurve@gmail.com")</f>
        <v>ranjitmavinkurve@gmail.com</v>
      </c>
    </row>
    <row r="1463">
      <c r="A1463" s="17" t="str">
        <f>IFERROR(__xludf.DUMMYFUNCTION("""COMPUTED_VALUE"""),"Atlassian")</f>
        <v>Atlassian</v>
      </c>
      <c r="B1463" s="17" t="str">
        <f>IFERROR(__xludf.DUMMYFUNCTION("""COMPUTED_VALUE"""),"Rajeev Rajan")</f>
        <v>Rajeev Rajan</v>
      </c>
      <c r="C1463" s="17" t="str">
        <f>IFERROR(__xludf.DUMMYFUNCTION("""COMPUTED_VALUE"""),"Head of Engineering, India")</f>
        <v>Head of Engineering, India</v>
      </c>
      <c r="D1463" s="27" t="str">
        <f>IFERROR(__xludf.DUMMYFUNCTION("""COMPUTED_VALUE"""),"linkedin.com/in/rajeev-rajan")</f>
        <v>linkedin.com/in/rajeev-rajan</v>
      </c>
      <c r="E1463" s="17"/>
      <c r="F1463" s="17" t="str">
        <f>IFERROR(__xludf.DUMMYFUNCTION("""COMPUTED_VALUE"""),"rrajan@atlassian.com")</f>
        <v>rrajan@atlassian.com</v>
      </c>
      <c r="G1463" s="17" t="str">
        <f>IFERROR(__xludf.DUMMYFUNCTION("""COMPUTED_VALUE"""),"rajeevrajan@hotmail.com")</f>
        <v>rajeevrajan@hotmail.com</v>
      </c>
      <c r="H1463" s="17"/>
    </row>
    <row r="1464">
      <c r="A1464" s="17" t="str">
        <f>IFERROR(__xludf.DUMMYFUNCTION("""COMPUTED_VALUE"""),"Docusign")</f>
        <v>Docusign</v>
      </c>
      <c r="B1464" s="17" t="str">
        <f>IFERROR(__xludf.DUMMYFUNCTION("""COMPUTED_VALUE"""),"Sagnik Nandy")</f>
        <v>Sagnik Nandy</v>
      </c>
      <c r="C1464" s="17" t="str">
        <f>IFERROR(__xludf.DUMMYFUNCTION("""COMPUTED_VALUE"""),"CTO")</f>
        <v>CTO</v>
      </c>
      <c r="D1464" s="27" t="str">
        <f>IFERROR(__xludf.DUMMYFUNCTION("""COMPUTED_VALUE"""),"linkedin.com/in/sagnik-nandy")</f>
        <v>linkedin.com/in/sagnik-nandy</v>
      </c>
      <c r="E1464" s="17"/>
      <c r="F1464" s="17" t="str">
        <f>IFERROR(__xludf.DUMMYFUNCTION("""COMPUTED_VALUE"""),"sagnik.nandy@docusign.com")</f>
        <v>sagnik.nandy@docusign.com</v>
      </c>
      <c r="G1464" s="17" t="str">
        <f>IFERROR(__xludf.DUMMYFUNCTION("""COMPUTED_VALUE"""),"sagniknandy@gmail.com")</f>
        <v>sagniknandy@gmail.com</v>
      </c>
      <c r="H1464" s="17"/>
    </row>
    <row r="1465">
      <c r="A1465" s="17" t="str">
        <f>IFERROR(__xludf.DUMMYFUNCTION("""COMPUTED_VALUE"""),"Visa")</f>
        <v>Visa</v>
      </c>
      <c r="B1465" s="17" t="str">
        <f>IFERROR(__xludf.DUMMYFUNCTION("""COMPUTED_VALUE"""),"Vaibhav Taranekar")</f>
        <v>Vaibhav Taranekar</v>
      </c>
      <c r="C1465" s="17" t="str">
        <f>IFERROR(__xludf.DUMMYFUNCTION("""COMPUTED_VALUE"""),"VP and COO")</f>
        <v>VP and COO</v>
      </c>
      <c r="D1465" s="27" t="str">
        <f>IFERROR(__xludf.DUMMYFUNCTION("""COMPUTED_VALUE"""),"linkedin.com/in/vaibhav-taranekar-a50b5916")</f>
        <v>linkedin.com/in/vaibhav-taranekar-a50b5916</v>
      </c>
      <c r="E1465" s="17"/>
      <c r="F1465" s="17" t="str">
        <f>IFERROR(__xludf.DUMMYFUNCTION("""COMPUTED_VALUE"""),"vaibhavtaranekar@gmail.com")</f>
        <v>vaibhavtaranekar@gmail.com</v>
      </c>
      <c r="G1465" s="17"/>
      <c r="H1465" s="17"/>
    </row>
    <row r="1466">
      <c r="A1466" s="17" t="str">
        <f>IFERROR(__xludf.DUMMYFUNCTION("""COMPUTED_VALUE"""),"Mastercard")</f>
        <v>Mastercard</v>
      </c>
      <c r="B1466" s="17" t="str">
        <f>IFERROR(__xludf.DUMMYFUNCTION("""COMPUTED_VALUE"""),"Vikas Varma")</f>
        <v>Vikas Varma</v>
      </c>
      <c r="C1466" s="17" t="str">
        <f>IFERROR(__xludf.DUMMYFUNCTION("""COMPUTED_VALUE"""),"CTO India")</f>
        <v>CTO India</v>
      </c>
      <c r="D1466" s="27" t="str">
        <f>IFERROR(__xludf.DUMMYFUNCTION("""COMPUTED_VALUE"""),"linkedin.com/in/vikasvarma")</f>
        <v>linkedin.com/in/vikasvarma</v>
      </c>
      <c r="E1466" s="17"/>
      <c r="F1466" s="17" t="str">
        <f>IFERROR(__xludf.DUMMYFUNCTION("""COMPUTED_VALUE"""),"vikas_varma@mastercard.com")</f>
        <v>vikas_varma@mastercard.com</v>
      </c>
      <c r="G1466" s="17" t="str">
        <f>IFERROR(__xludf.DUMMYFUNCTION("""COMPUTED_VALUE"""),"varmavix@gmail.com")</f>
        <v>varmavix@gmail.com</v>
      </c>
      <c r="H1466" s="17"/>
    </row>
    <row r="1467">
      <c r="A1467" s="17" t="str">
        <f>IFERROR(__xludf.DUMMYFUNCTION("""COMPUTED_VALUE"""),"American Express")</f>
        <v>American Express</v>
      </c>
      <c r="B1467" s="17" t="str">
        <f>IFERROR(__xludf.DUMMYFUNCTION("""COMPUTED_VALUE""")," Radhakrishnan")</f>
        <v> Radhakrishnan</v>
      </c>
      <c r="C1467" s="17" t="str">
        <f>IFERROR(__xludf.DUMMYFUNCTION("""COMPUTED_VALUE"""),"Vice President and Head")</f>
        <v>Vice President and Head</v>
      </c>
      <c r="D1467" s="27" t="str">
        <f>IFERROR(__xludf.DUMMYFUNCTION("""COMPUTED_VALUE"""),"linkedin.com/in/radhakrishnan-g-7111515")</f>
        <v>linkedin.com/in/radhakrishnan-g-7111515</v>
      </c>
      <c r="E1467" s="17"/>
      <c r="F1467" s="17" t="str">
        <f>IFERROR(__xludf.DUMMYFUNCTION("""COMPUTED_VALUE"""),"radhakrishnan.g@americanexpress.com")</f>
        <v>radhakrishnan.g@americanexpress.com</v>
      </c>
      <c r="G1467" s="17" t="str">
        <f>IFERROR(__xludf.DUMMYFUNCTION("""COMPUTED_VALUE"""),"radkrish_76@yahoo.com")</f>
        <v>radkrish_76@yahoo.com</v>
      </c>
      <c r="H1467" s="17"/>
    </row>
    <row r="1468">
      <c r="A1468" s="17" t="str">
        <f>IFERROR(__xludf.DUMMYFUNCTION("""COMPUTED_VALUE"""),"Bloomberg")</f>
        <v>Bloomberg</v>
      </c>
      <c r="B1468" s="17" t="str">
        <f>IFERROR(__xludf.DUMMYFUNCTION("""COMPUTED_VALUE"""),"Rohan Bhindwale")</f>
        <v>Rohan Bhindwale</v>
      </c>
      <c r="C1468" s="17" t="str">
        <f>IFERROR(__xludf.DUMMYFUNCTION("""COMPUTED_VALUE"""),"Head of India Engineering")</f>
        <v>Head of India Engineering</v>
      </c>
      <c r="D1468" s="27" t="str">
        <f>IFERROR(__xludf.DUMMYFUNCTION("""COMPUTED_VALUE"""),"linkedin.com/in/rohan-bhindwale")</f>
        <v>linkedin.com/in/rohan-bhindwale</v>
      </c>
      <c r="E1468" s="17"/>
      <c r="F1468" s="17" t="str">
        <f>IFERROR(__xludf.DUMMYFUNCTION("""COMPUTED_VALUE"""),"rbhindwale@bloomberg.net")</f>
        <v>rbhindwale@bloomberg.net</v>
      </c>
      <c r="G1468" s="17" t="str">
        <f>IFERROR(__xludf.DUMMYFUNCTION("""COMPUTED_VALUE"""),"rohanbhindwale@gmail.com")</f>
        <v>rohanbhindwale@gmail.com</v>
      </c>
      <c r="H1468" s="17"/>
    </row>
    <row r="1469">
      <c r="A1469" s="17" t="str">
        <f>IFERROR(__xludf.DUMMYFUNCTION("""COMPUTED_VALUE"""),"Siemens")</f>
        <v>Siemens</v>
      </c>
      <c r="B1469" s="17" t="str">
        <f>IFERROR(__xludf.DUMMYFUNCTION("""COMPUTED_VALUE"""),"Sunil Mathur")</f>
        <v>Sunil Mathur</v>
      </c>
      <c r="C1469" s="17" t="str">
        <f>IFERROR(__xludf.DUMMYFUNCTION("""COMPUTED_VALUE"""),"MD &amp; India Tech Lead")</f>
        <v>MD &amp; India Tech Lead</v>
      </c>
      <c r="D1469" s="27" t="str">
        <f>IFERROR(__xludf.DUMMYFUNCTION("""COMPUTED_VALUE"""),"linkedin.com/in/sunil-mathur")</f>
        <v>linkedin.com/in/sunil-mathur</v>
      </c>
      <c r="E1469" s="17"/>
      <c r="F1469" s="17" t="str">
        <f>IFERROR(__xludf.DUMMYFUNCTION("""COMPUTED_VALUE"""),"sunil.mathur@siemens.com")</f>
        <v>sunil.mathur@siemens.com</v>
      </c>
      <c r="G1469" s="17"/>
      <c r="H1469" s="17"/>
    </row>
    <row r="1470">
      <c r="A1470" s="17" t="str">
        <f>IFERROR(__xludf.DUMMYFUNCTION("""COMPUTED_VALUE"""),"Bosch")</f>
        <v>Bosch</v>
      </c>
      <c r="B1470" s="17" t="str">
        <f>IFERROR(__xludf.DUMMYFUNCTION("""COMPUTED_VALUE"""),"Guru Mallikarjuna")</f>
        <v>Guru Mallikarjuna</v>
      </c>
      <c r="C1470" s="17" t="str">
        <f>IFERROR(__xludf.DUMMYFUNCTION("""COMPUTED_VALUE"""),"CTO Bosch India")</f>
        <v>CTO Bosch India</v>
      </c>
      <c r="D1470" s="27" t="str">
        <f>IFERROR(__xludf.DUMMYFUNCTION("""COMPUTED_VALUE"""),"linkedin.com/in/guru-mallikarjuna-8054b82")</f>
        <v>linkedin.com/in/guru-mallikarjuna-8054b82</v>
      </c>
      <c r="E1470" s="17"/>
      <c r="F1470" s="17" t="str">
        <f>IFERROR(__xludf.DUMMYFUNCTION("""COMPUTED_VALUE"""),"guru.mallikarjuna@bosch.com")</f>
        <v>guru.mallikarjuna@bosch.com</v>
      </c>
      <c r="G1470" s="17"/>
      <c r="H1470" s="17"/>
    </row>
    <row r="1471">
      <c r="A1471" s="17" t="str">
        <f>IFERROR(__xludf.DUMMYFUNCTION("""COMPUTED_VALUE"""),"ABB")</f>
        <v>ABB</v>
      </c>
      <c r="B1471" s="17" t="str">
        <f>IFERROR(__xludf.DUMMYFUNCTION("""COMPUTED_VALUE"""),"Sanjeev Sharma")</f>
        <v>Sanjeev Sharma</v>
      </c>
      <c r="C1471" s="17" t="str">
        <f>IFERROR(__xludf.DUMMYFUNCTION("""COMPUTED_VALUE"""),"Country Head &amp; Tech Oversight")</f>
        <v>Country Head &amp; Tech Oversight</v>
      </c>
      <c r="D1471" s="27" t="str">
        <f>IFERROR(__xludf.DUMMYFUNCTION("""COMPUTED_VALUE"""),"linkedin.com/in/sanjeev-sharma-5b47a010")</f>
        <v>linkedin.com/in/sanjeev-sharma-5b47a010</v>
      </c>
      <c r="E1471" s="17"/>
      <c r="F1471" s="17" t="str">
        <f>IFERROR(__xludf.DUMMYFUNCTION("""COMPUTED_VALUE"""),"sanjeev.sharmalvs@gmail.com")</f>
        <v>sanjeev.sharmalvs@gmail.com</v>
      </c>
      <c r="G1471" s="17" t="str">
        <f>IFERROR(__xludf.DUMMYFUNCTION("""COMPUTED_VALUE"""),"sanjeevsharmalvs@gmail.com")</f>
        <v>sanjeevsharmalvs@gmail.com</v>
      </c>
      <c r="H1471" s="17"/>
    </row>
    <row r="1472">
      <c r="A1472" s="17" t="str">
        <f>IFERROR(__xludf.DUMMYFUNCTION("""COMPUTED_VALUE"""),"Schneider Electric")</f>
        <v>Schneider Electric</v>
      </c>
      <c r="B1472" s="17" t="str">
        <f>IFERROR(__xludf.DUMMYFUNCTION("""COMPUTED_VALUE"""),"Deepak Sharma")</f>
        <v>Deepak Sharma</v>
      </c>
      <c r="C1472" s="17" t="str">
        <f>IFERROR(__xludf.DUMMYFUNCTION("""COMPUTED_VALUE"""),"CEO &amp; Tech Leader India")</f>
        <v>CEO &amp; Tech Leader India</v>
      </c>
      <c r="D1472" s="27" t="str">
        <f>IFERROR(__xludf.DUMMYFUNCTION("""COMPUTED_VALUE"""),"linkedin.com/in/deepak-sharma-41b0079")</f>
        <v>linkedin.com/in/deepak-sharma-41b0079</v>
      </c>
      <c r="E1472" s="17"/>
      <c r="F1472" s="17" t="str">
        <f>IFERROR(__xludf.DUMMYFUNCTION("""COMPUTED_VALUE"""),"deepak.sharma@se.com")</f>
        <v>deepak.sharma@se.com</v>
      </c>
      <c r="G1472" s="17"/>
      <c r="H1472" s="17"/>
    </row>
    <row r="1473">
      <c r="A1473" s="17" t="str">
        <f>IFERROR(__xludf.DUMMYFUNCTION("""COMPUTED_VALUE"""),"GE Digital")</f>
        <v>GE Digital</v>
      </c>
      <c r="B1473" s="17" t="str">
        <f>IFERROR(__xludf.DUMMYFUNCTION("""COMPUTED_VALUE"""),"Sampath Kumar")</f>
        <v>Sampath Kumar</v>
      </c>
      <c r="C1473" s="17" t="str">
        <f>IFERROR(__xludf.DUMMYFUNCTION("""COMPUTED_VALUE"""),"CTO India")</f>
        <v>CTO India</v>
      </c>
      <c r="D1473" s="27" t="str">
        <f>IFERROR(__xludf.DUMMYFUNCTION("""COMPUTED_VALUE"""),"linkedin.com/in/adilrehan")</f>
        <v>linkedin.com/in/adilrehan</v>
      </c>
      <c r="E1473" s="17"/>
      <c r="F1473" s="17" t="str">
        <f>IFERROR(__xludf.DUMMYFUNCTION("""COMPUTED_VALUE"""),"adilrehan@yahoo.com")</f>
        <v>adilrehan@yahoo.com</v>
      </c>
      <c r="G1473" s="27" t="str">
        <f>IFERROR(__xludf.DUMMYFUNCTION("""COMPUTED_VALUE"""),"https://www.linkedin.com/in/siddharth-mahanot-a887253/")</f>
        <v>https://www.linkedin.com/in/siddharth-mahanot-a887253/</v>
      </c>
      <c r="H1473" s="17"/>
    </row>
    <row r="1474">
      <c r="A1474" s="17" t="str">
        <f>IFERROR(__xludf.DUMMYFUNCTION("""COMPUTED_VALUE"""),"Philips")</f>
        <v>Philips</v>
      </c>
      <c r="B1474" s="17" t="str">
        <f>IFERROR(__xludf.DUMMYFUNCTION("""COMPUTED_VALUE"""),"Bharath Sesha")</f>
        <v>Bharath Sesha</v>
      </c>
      <c r="C1474" s="17" t="str">
        <f>IFERROR(__xludf.DUMMYFUNCTION("""COMPUTED_VALUE"""),"CTO Philips Innovation Campus")</f>
        <v>CTO Philips Innovation Campus</v>
      </c>
      <c r="D1474" s="17"/>
      <c r="E1474" s="17"/>
      <c r="F1474" s="17"/>
      <c r="G1474" s="17" t="str">
        <f>IFERROR(__xludf.DUMMYFUNCTION("""COMPUTED_VALUE""")," ")</f>
        <v> </v>
      </c>
      <c r="H1474" s="17"/>
    </row>
    <row r="1475">
      <c r="A1475" s="17" t="str">
        <f>IFERROR(__xludf.DUMMYFUNCTION("""COMPUTED_VALUE"""),"Honeywell")</f>
        <v>Honeywell</v>
      </c>
      <c r="B1475" s="17" t="str">
        <f>IFERROR(__xludf.DUMMYFUNCTION("""COMPUTED_VALUE"""),"Ashish Modi")</f>
        <v>Ashish Modi</v>
      </c>
      <c r="C1475" s="17" t="str">
        <f>IFERROR(__xludf.DUMMYFUNCTION("""COMPUTED_VALUE"""),"CTO Honeywell India")</f>
        <v>CTO Honeywell India</v>
      </c>
      <c r="D1475" s="27" t="str">
        <f>IFERROR(__xludf.DUMMYFUNCTION("""COMPUTED_VALUE"""),"linkedin.com/in/ashish-modi-27504a2")</f>
        <v>linkedin.com/in/ashish-modi-27504a2</v>
      </c>
      <c r="E1475" s="17"/>
      <c r="F1475" s="17" t="str">
        <f>IFERROR(__xludf.DUMMYFUNCTION("""COMPUTED_VALUE"""),"ashish.modi@honeywell.com")</f>
        <v>ashish.modi@honeywell.com</v>
      </c>
      <c r="G1475" s="17"/>
      <c r="H1475" s="17"/>
    </row>
    <row r="1476">
      <c r="A1476" s="17" t="str">
        <f>IFERROR(__xludf.DUMMYFUNCTION("""COMPUTED_VALUE"""),"Ericsson")</f>
        <v>Ericsson</v>
      </c>
      <c r="B1476" s="17" t="str">
        <f>IFERROR(__xludf.DUMMYFUNCTION("""COMPUTED_VALUE"""),"Nitin Bansal")</f>
        <v>Nitin Bansal</v>
      </c>
      <c r="C1476" s="17" t="str">
        <f>IFERROR(__xludf.DUMMYFUNCTION("""COMPUTED_VALUE"""),"MD &amp; CTO India")</f>
        <v>MD &amp; CTO India</v>
      </c>
      <c r="D1476" s="27" t="str">
        <f>IFERROR(__xludf.DUMMYFUNCTION("""COMPUTED_VALUE"""),"linkedin.com/in/nitinbansal70")</f>
        <v>linkedin.com/in/nitinbansal70</v>
      </c>
      <c r="E1476" s="17"/>
      <c r="F1476" s="17" t="str">
        <f>IFERROR(__xludf.DUMMYFUNCTION("""COMPUTED_VALUE"""),"nitin.bansal@ericsson.com")</f>
        <v>nitin.bansal@ericsson.com</v>
      </c>
      <c r="G1476" s="17" t="str">
        <f>IFERROR(__xludf.DUMMYFUNCTION("""COMPUTED_VALUE"""),"bansal.nitin@chicagobooth.edu")</f>
        <v>bansal.nitin@chicagobooth.edu</v>
      </c>
      <c r="H1476" s="17" t="str">
        <f>IFERROR(__xludf.DUMMYFUNCTION("""COMPUTED_VALUE"""),"nbansal2@gmail.com")</f>
        <v>nbansal2@gmail.com</v>
      </c>
    </row>
    <row r="1477">
      <c r="A1477" s="17" t="str">
        <f>IFERROR(__xludf.DUMMYFUNCTION("""COMPUTED_VALUE"""),"Nokia")</f>
        <v>Nokia</v>
      </c>
      <c r="B1477" s="17" t="str">
        <f>IFERROR(__xludf.DUMMYFUNCTION("""COMPUTED_VALUE"""),"Tarun Chhabra")</f>
        <v>Tarun Chhabra</v>
      </c>
      <c r="C1477" s="17" t="str">
        <f>IFERROR(__xludf.DUMMYFUNCTION("""COMPUTED_VALUE"""),"India Engineering Head")</f>
        <v>India Engineering Head</v>
      </c>
      <c r="D1477" s="27" t="str">
        <f>IFERROR(__xludf.DUMMYFUNCTION("""COMPUTED_VALUE"""),"linkedin.com/in/tarun-chhabra-7296373")</f>
        <v>linkedin.com/in/tarun-chhabra-7296373</v>
      </c>
      <c r="E1477" s="17"/>
      <c r="F1477" s="17" t="str">
        <f>IFERROR(__xludf.DUMMYFUNCTION("""COMPUTED_VALUE"""),"tarun.chhabra@nokia.com")</f>
        <v>tarun.chhabra@nokia.com</v>
      </c>
      <c r="G1477" s="17"/>
      <c r="H1477" s="17"/>
    </row>
    <row r="1478">
      <c r="A1478" s="17" t="str">
        <f>IFERROR(__xludf.DUMMYFUNCTION("""COMPUTED_VALUE"""),"JP Morgan Chase")</f>
        <v>JP Morgan Chase</v>
      </c>
      <c r="B1478" s="17" t="str">
        <f>IFERROR(__xludf.DUMMYFUNCTION("""COMPUTED_VALUE"""),"Ravi Pasupuleti")</f>
        <v>Ravi Pasupuleti</v>
      </c>
      <c r="C1478" s="17" t="str">
        <f>IFERROR(__xludf.DUMMYFUNCTION("""COMPUTED_VALUE"""),"Managing Director, Global Technology")</f>
        <v>Managing Director, Global Technology</v>
      </c>
      <c r="D1478" s="27" t="str">
        <f>IFERROR(__xludf.DUMMYFUNCTION("""COMPUTED_VALUE"""),"linkedin.com/in/ravi-pasupuleti-2b91a16")</f>
        <v>linkedin.com/in/ravi-pasupuleti-2b91a16</v>
      </c>
      <c r="E1478" s="17"/>
      <c r="F1478" s="17" t="str">
        <f>IFERROR(__xludf.DUMMYFUNCTION("""COMPUTED_VALUE"""),"ravi.pasupuleti@jpmchase.com")</f>
        <v>ravi.pasupuleti@jpmchase.com</v>
      </c>
      <c r="G1478" s="17"/>
      <c r="H1478" s="17"/>
    </row>
    <row r="1479">
      <c r="A1479" s="17" t="str">
        <f>IFERROR(__xludf.DUMMYFUNCTION("""COMPUTED_VALUE"""),"Goldman Sachs")</f>
        <v>Goldman Sachs</v>
      </c>
      <c r="B1479" s="17" t="str">
        <f>IFERROR(__xludf.DUMMYFUNCTION("""COMPUTED_VALUE"""),"Anand Gupta")</f>
        <v>Anand Gupta</v>
      </c>
      <c r="C1479" s="17" t="str">
        <f>IFERROR(__xludf.DUMMYFUNCTION("""COMPUTED_VALUE"""),"India Tech Head")</f>
        <v>India Tech Head</v>
      </c>
      <c r="D1479" s="27" t="str">
        <f>IFERROR(__xludf.DUMMYFUNCTION("""COMPUTED_VALUE"""),"linkedin.com/in/anandguptags")</f>
        <v>linkedin.com/in/anandguptags</v>
      </c>
      <c r="E1479" s="17"/>
      <c r="F1479" s="17" t="str">
        <f>IFERROR(__xludf.DUMMYFUNCTION("""COMPUTED_VALUE"""),"anand.gupta@gs.com")</f>
        <v>anand.gupta@gs.com</v>
      </c>
      <c r="G1479" s="17"/>
      <c r="H1479" s="17"/>
    </row>
    <row r="1480">
      <c r="A1480" s="17" t="str">
        <f>IFERROR(__xludf.DUMMYFUNCTION("""COMPUTED_VALUE"""),"Morgan Stanley")</f>
        <v>Morgan Stanley</v>
      </c>
      <c r="B1480" s="17" t="str">
        <f>IFERROR(__xludf.DUMMYFUNCTION("""COMPUTED_VALUE"""),"Aparna M")</f>
        <v>Aparna M</v>
      </c>
      <c r="C1480" s="17" t="str">
        <f>IFERROR(__xludf.DUMMYFUNCTION("""COMPUTED_VALUE"""),"Director, Tech")</f>
        <v>Director, Tech</v>
      </c>
      <c r="D1480" s="27" t="str">
        <f>IFERROR(__xludf.DUMMYFUNCTION("""COMPUTED_VALUE"""),"linkedin.com/in/aparna-rm")</f>
        <v>linkedin.com/in/aparna-rm</v>
      </c>
      <c r="E1480" s="17"/>
      <c r="F1480" s="17" t="str">
        <f>IFERROR(__xludf.DUMMYFUNCTION("""COMPUTED_VALUE"""),"raparna@morganstanley.com")</f>
        <v>raparna@morganstanley.com</v>
      </c>
      <c r="G1480" s="17" t="str">
        <f>IFERROR(__xludf.DUMMYFUNCTION("""COMPUTED_VALUE"""),"aparnamane1998@gmail.com")</f>
        <v>aparnamane1998@gmail.com</v>
      </c>
      <c r="H1480" s="17" t="str">
        <f>IFERROR(__xludf.DUMMYFUNCTION("""COMPUTED_VALUE"""),"aparnacode98@gmail.com")</f>
        <v>aparnacode98@gmail.com</v>
      </c>
    </row>
    <row r="1481">
      <c r="A1481" s="17" t="str">
        <f>IFERROR(__xludf.DUMMYFUNCTION("""COMPUTED_VALUE"""),"Accenture")</f>
        <v>Accenture</v>
      </c>
      <c r="B1481" s="17" t="str">
        <f>IFERROR(__xludf.DUMMYFUNCTION("""COMPUTED_VALUE"""),"Venugopal Murali Prabhu")</f>
        <v>Venugopal Murali Prabhu</v>
      </c>
      <c r="C1481" s="17" t="str">
        <f>IFERROR(__xludf.DUMMYFUNCTION("""COMPUTED_VALUE"""),"MD Technology – India")</f>
        <v>MD Technology – India</v>
      </c>
      <c r="D1481" s="27" t="str">
        <f>IFERROR(__xludf.DUMMYFUNCTION("""COMPUTED_VALUE"""),"linkedin.com/in/mvenugopal")</f>
        <v>linkedin.com/in/mvenugopal</v>
      </c>
      <c r="E1481" s="17"/>
      <c r="F1481" s="17" t="str">
        <f>IFERROR(__xludf.DUMMYFUNCTION("""COMPUTED_VALUE"""),"venugopal.prabhu@accenture.com")</f>
        <v>venugopal.prabhu@accenture.com</v>
      </c>
      <c r="G1481" s="17" t="str">
        <f>IFERROR(__xludf.DUMMYFUNCTION("""COMPUTED_VALUE"""),"mvenugopal21@gmail.com")</f>
        <v>mvenugopal21@gmail.com</v>
      </c>
      <c r="H1481" s="17"/>
    </row>
    <row r="1482">
      <c r="A1482" s="17" t="str">
        <f>IFERROR(__xludf.DUMMYFUNCTION("""COMPUTED_VALUE"""),"Samsung Electronics")</f>
        <v>Samsung Electronics</v>
      </c>
      <c r="B1482" s="17" t="str">
        <f>IFERROR(__xludf.DUMMYFUNCTION("""COMPUTED_VALUE"""),"Kyungyun Roo")</f>
        <v>Kyungyun Roo</v>
      </c>
      <c r="C1482" s="17" t="str">
        <f>IFERROR(__xludf.DUMMYFUNCTION("""COMPUTED_VALUE"""),"President – Samsung R&amp;D India")</f>
        <v>President – Samsung R&amp;D India</v>
      </c>
      <c r="D1482" s="27" t="str">
        <f>IFERROR(__xludf.DUMMYFUNCTION("""COMPUTED_VALUE"""),"linkedin.com/in/kyroo")</f>
        <v>linkedin.com/in/kyroo</v>
      </c>
      <c r="E1482" s="17"/>
      <c r="F1482" s="17"/>
      <c r="G1482" s="17"/>
      <c r="H1482" s="17"/>
    </row>
    <row r="1483">
      <c r="A1483" s="17" t="str">
        <f>IFERROR(__xludf.DUMMYFUNCTION("""COMPUTED_VALUE"""),"Sony Group")</f>
        <v>Sony Group</v>
      </c>
      <c r="B1483" s="17" t="str">
        <f>IFERROR(__xludf.DUMMYFUNCTION("""COMPUTED_VALUE"""),"Sunil Nayyar")</f>
        <v>Sunil Nayyar</v>
      </c>
      <c r="C1483" s="17" t="str">
        <f>IFERROR(__xludf.DUMMYFUNCTION("""COMPUTED_VALUE"""),"President – Sony India (Tech oversight)")</f>
        <v>President – Sony India (Tech oversight)</v>
      </c>
      <c r="D1483" s="27" t="str">
        <f>IFERROR(__xludf.DUMMYFUNCTION("""COMPUTED_VALUE"""),"linkedin.com/in/sunil-nayyar-a769831")</f>
        <v>linkedin.com/in/sunil-nayyar-a769831</v>
      </c>
      <c r="E1483" s="17"/>
      <c r="F1483" s="17" t="str">
        <f>IFERROR(__xludf.DUMMYFUNCTION("""COMPUTED_VALUE"""),"priyankasunil@gmail.com")</f>
        <v>priyankasunil@gmail.com</v>
      </c>
      <c r="G1483" s="17"/>
      <c r="H1483" s="17"/>
    </row>
    <row r="1484">
      <c r="A1484" s="17" t="str">
        <f>IFERROR(__xludf.DUMMYFUNCTION("""COMPUTED_VALUE"""),"Panasonic")</f>
        <v>Panasonic</v>
      </c>
      <c r="B1484" s="17" t="str">
        <f>IFERROR(__xludf.DUMMYFUNCTION("""COMPUTED_VALUE"""),"Manish Sharma")</f>
        <v>Manish Sharma</v>
      </c>
      <c r="C1484" s="17" t="str">
        <f>IFERROR(__xludf.DUMMYFUNCTION("""COMPUTED_VALUE"""),"Chairman – Panasonic India")</f>
        <v>Chairman – Panasonic India</v>
      </c>
      <c r="D1484" s="27" t="str">
        <f>IFERROR(__xludf.DUMMYFUNCTION("""COMPUTED_VALUE"""),"linkedin.com/in/manishsharmapanasonic")</f>
        <v>linkedin.com/in/manishsharmapanasonic</v>
      </c>
      <c r="E1484" s="17"/>
      <c r="F1484" s="17" t="str">
        <f>IFERROR(__xludf.DUMMYFUNCTION("""COMPUTED_VALUE"""),"sharma.manish@jp.panasonic.com, smanish1972@gmail.com")</f>
        <v>sharma.manish@jp.panasonic.com, smanish1972@gmail.com</v>
      </c>
      <c r="G1484" s="17"/>
      <c r="H1484" s="17"/>
    </row>
    <row r="1485">
      <c r="A1485" s="17" t="str">
        <f>IFERROR(__xludf.DUMMYFUNCTION("""COMPUTED_VALUE"""),"LG Electronics")</f>
        <v>LG Electronics</v>
      </c>
      <c r="B1485" s="17" t="str">
        <f>IFERROR(__xludf.DUMMYFUNCTION("""COMPUTED_VALUE"""),"Hong Ju Jeon")</f>
        <v>Hong Ju Jeon</v>
      </c>
      <c r="C1485" s="17" t="str">
        <f>IFERROR(__xludf.DUMMYFUNCTION("""COMPUTED_VALUE"""),"Managing Director – LG India")</f>
        <v>Managing Director – LG India</v>
      </c>
      <c r="D1485" s="17"/>
      <c r="E1485" s="17"/>
      <c r="F1485" s="17"/>
      <c r="G1485" s="17"/>
      <c r="H1485" s="17"/>
    </row>
    <row r="1486">
      <c r="A1486" s="17" t="str">
        <f>IFERROR(__xludf.DUMMYFUNCTION("""COMPUTED_VALUE"""),"Hitachi")</f>
        <v>Hitachi</v>
      </c>
      <c r="B1486" s="17" t="str">
        <f>IFERROR(__xludf.DUMMYFUNCTION("""COMPUTED_VALUE"""),"Venu Nuguri")</f>
        <v>Venu Nuguri</v>
      </c>
      <c r="C1486" s="17" t="str">
        <f>IFERROR(__xludf.DUMMYFUNCTION("""COMPUTED_VALUE"""),"MD &amp; CEO – Hitachi India")</f>
        <v>MD &amp; CEO – Hitachi India</v>
      </c>
      <c r="D1486" s="27" t="str">
        <f>IFERROR(__xludf.DUMMYFUNCTION("""COMPUTED_VALUE"""),"linkedin.com/in/n-venu-hitachi-energy")</f>
        <v>linkedin.com/in/n-venu-hitachi-energy</v>
      </c>
      <c r="E1486" s="17"/>
      <c r="F1486" s="17" t="str">
        <f>IFERROR(__xludf.DUMMYFUNCTION("""COMPUTED_VALUE"""),"venunuguri@gmail.com, n.venu@hitachienergy.com")</f>
        <v>venunuguri@gmail.com, n.venu@hitachienergy.com</v>
      </c>
      <c r="G1486" s="17"/>
      <c r="H1486" s="17"/>
    </row>
    <row r="1487">
      <c r="A1487" s="17" t="str">
        <f>IFERROR(__xludf.DUMMYFUNCTION("""COMPUTED_VALUE"""),"NEC Corporation")</f>
        <v>NEC Corporation</v>
      </c>
      <c r="B1487" s="17" t="str">
        <f>IFERROR(__xludf.DUMMYFUNCTION("""COMPUTED_VALUE"""),"Atul Karadekar")</f>
        <v>Atul Karadekar</v>
      </c>
      <c r="C1487" s="17" t="str">
        <f>IFERROR(__xludf.DUMMYFUNCTION("""COMPUTED_VALUE"""),"India Engineering Head")</f>
        <v>India Engineering Head</v>
      </c>
      <c r="D1487" s="27" t="str">
        <f>IFERROR(__xludf.DUMMYFUNCTION("""COMPUTED_VALUE"""),"linkedin.com/in/alok-srivastava-95ab424")</f>
        <v>linkedin.com/in/alok-srivastava-95ab424</v>
      </c>
      <c r="E1487" s="17"/>
      <c r="F1487" s="17" t="str">
        <f>IFERROR(__xludf.DUMMYFUNCTION("""COMPUTED_VALUE"""),"alok.srivastava@nechclst.in, alok1srivastava@gmail.com")</f>
        <v>alok.srivastava@nechclst.in, alok1srivastava@gmail.com</v>
      </c>
      <c r="G1487" s="17"/>
      <c r="H1487" s="17"/>
    </row>
    <row r="1488">
      <c r="A1488" s="17" t="str">
        <f>IFERROR(__xludf.DUMMYFUNCTION("""COMPUTED_VALUE"""),"Mitsubishi Electric")</f>
        <v>Mitsubishi Electric</v>
      </c>
      <c r="B1488" s="17" t="str">
        <f>IFERROR(__xludf.DUMMYFUNCTION("""COMPUTED_VALUE"""),"Pramod Arora")</f>
        <v>Pramod Arora</v>
      </c>
      <c r="C1488" s="17" t="str">
        <f>IFERROR(__xludf.DUMMYFUNCTION("""COMPUTED_VALUE"""),"India Systems &amp; R&amp;D Head")</f>
        <v>India Systems &amp; R&amp;D Head</v>
      </c>
      <c r="D1488" s="27" t="str">
        <f>IFERROR(__xludf.DUMMYFUNCTION("""COMPUTED_VALUE"""),"linkedin.com/in/parmod-arora-mitsubishi")</f>
        <v>linkedin.com/in/parmod-arora-mitsubishi</v>
      </c>
      <c r="E1488" s="17"/>
      <c r="F1488" s="17" t="str">
        <f>IFERROR(__xludf.DUMMYFUNCTION("""COMPUTED_VALUE"""),"parmod@mitsubishielectric.in, arorapk1967@yahoo.com")</f>
        <v>parmod@mitsubishielectric.in, arorapk1967@yahoo.com</v>
      </c>
      <c r="G1488" s="17"/>
      <c r="H1488" s="17"/>
    </row>
    <row r="1489">
      <c r="A1489" s="17" t="str">
        <f>IFERROR(__xludf.DUMMYFUNCTION("""COMPUTED_VALUE"""),"Infineon Technologies")</f>
        <v>Infineon Technologies</v>
      </c>
      <c r="B1489" s="17" t="str">
        <f>IFERROR(__xludf.DUMMYFUNCTION("""COMPUTED_VALUE"""),"CS Chua")</f>
        <v>CS Chua</v>
      </c>
      <c r="C1489" s="17" t="str">
        <f>IFERROR(__xludf.DUMMYFUNCTION("""COMPUTED_VALUE"""),"President – Infineon India")</f>
        <v>President – Infineon India</v>
      </c>
      <c r="D1489" s="27" t="str">
        <f>IFERROR(__xludf.DUMMYFUNCTION("""COMPUTED_VALUE"""),"linkedin.com/in/c-s-chua")</f>
        <v>linkedin.com/in/c-s-chua</v>
      </c>
      <c r="E1489" s="17"/>
      <c r="F1489" s="17" t="str">
        <f>IFERROR(__xludf.DUMMYFUNCTION("""COMPUTED_VALUE"""),"cs.chua@infineon.com, chua6517@gmail.com")</f>
        <v>cs.chua@infineon.com, chua6517@gmail.com</v>
      </c>
      <c r="G1489" s="17"/>
      <c r="H1489" s="17"/>
    </row>
    <row r="1490">
      <c r="A1490" s="17" t="str">
        <f>IFERROR(__xludf.DUMMYFUNCTION("""COMPUTED_VALUE"""),"Micron Technology")</f>
        <v>Micron Technology</v>
      </c>
      <c r="B1490" s="17" t="str">
        <f>IFERROR(__xludf.DUMMYFUNCTION("""COMPUTED_VALUE"""),"Sanjay Mehrotra")</f>
        <v>Sanjay Mehrotra</v>
      </c>
      <c r="C1490" s="17" t="str">
        <f>IFERROR(__xludf.DUMMYFUNCTION("""COMPUTED_VALUE"""),"President – Micron India")</f>
        <v>President – Micron India</v>
      </c>
      <c r="D1490" s="27" t="str">
        <f>IFERROR(__xludf.DUMMYFUNCTION("""COMPUTED_VALUE"""),"linkedin.com/in/sanjay-mehrotra")</f>
        <v>linkedin.com/in/sanjay-mehrotra</v>
      </c>
      <c r="E1490" s="17"/>
      <c r="F1490" s="17" t="str">
        <f>IFERROR(__xludf.DUMMYFUNCTION("""COMPUTED_VALUE"""),"smehrotra@micron.com, smehrotra@cox.net")</f>
        <v>smehrotra@micron.com, smehrotra@cox.net</v>
      </c>
      <c r="G1490" s="17"/>
      <c r="H1490" s="17"/>
    </row>
    <row r="1491">
      <c r="A1491" s="17" t="str">
        <f>IFERROR(__xludf.DUMMYFUNCTION("""COMPUTED_VALUE"""),"Texas Instruments")</f>
        <v>Texas Instruments</v>
      </c>
      <c r="B1491" s="17" t="str">
        <f>IFERROR(__xludf.DUMMYFUNCTION("""COMPUTED_VALUE"""),"Santhosh Kumar ")</f>
        <v>Santhosh Kumar </v>
      </c>
      <c r="C1491" s="17" t="str">
        <f>IFERROR(__xludf.DUMMYFUNCTION("""COMPUTED_VALUE"""),"Managing Director – TI India")</f>
        <v>Managing Director – TI India</v>
      </c>
      <c r="D1491" s="27" t="str">
        <f>IFERROR(__xludf.DUMMYFUNCTION("""COMPUTED_VALUE"""),"linkedin.com/in/santhosh-kumar-ba34877")</f>
        <v>linkedin.com/in/santhosh-kumar-ba34877</v>
      </c>
      <c r="E1491" s="17"/>
      <c r="F1491" s="17" t="str">
        <f>IFERROR(__xludf.DUMMYFUNCTION("""COMPUTED_VALUE"""),"sant@ti.com")</f>
        <v>sant@ti.com</v>
      </c>
      <c r="G1491" s="17"/>
      <c r="H1491" s="17"/>
    </row>
    <row r="1492">
      <c r="A1492" s="17" t="str">
        <f>IFERROR(__xludf.DUMMYFUNCTION("""COMPUTED_VALUE"""),"STMicroelectronics")</f>
        <v>STMicroelectronics</v>
      </c>
      <c r="B1492" s="17" t="str">
        <f>IFERROR(__xludf.DUMMYFUNCTION("""COMPUTED_VALUE"""),"Ashok Jain")</f>
        <v>Ashok Jain</v>
      </c>
      <c r="C1492" s="17" t="str">
        <f>IFERROR(__xludf.DUMMYFUNCTION("""COMPUTED_VALUE"""),"VP &amp; MD India")</f>
        <v>VP &amp; MD India</v>
      </c>
      <c r="D1492" s="27" t="str">
        <f>IFERROR(__xludf.DUMMYFUNCTION("""COMPUTED_VALUE"""),"linkedin.com/in/ashok-jain-1a1b676")</f>
        <v>linkedin.com/in/ashok-jain-1a1b676</v>
      </c>
      <c r="E1492" s="17"/>
      <c r="F1492" s="17" t="str">
        <f>IFERROR(__xludf.DUMMYFUNCTION("""COMPUTED_VALUE"""),"ashokjaininc@gmail.com")</f>
        <v>ashokjaininc@gmail.com</v>
      </c>
      <c r="G1492" s="17"/>
      <c r="H1492" s="17"/>
    </row>
    <row r="1493">
      <c r="A1493" s="17" t="str">
        <f>IFERROR(__xludf.DUMMYFUNCTION("""COMPUTED_VALUE"""),"Lam Research")</f>
        <v>Lam Research</v>
      </c>
      <c r="B1493" s="17" t="str">
        <f>IFERROR(__xludf.DUMMYFUNCTION("""COMPUTED_VALUE"""),"Sesha Varadarajan")</f>
        <v>Sesha Varadarajan</v>
      </c>
      <c r="C1493" s="17" t="str">
        <f>IFERROR(__xludf.DUMMYFUNCTION("""COMPUTED_VALUE"""),"India Engineering Head")</f>
        <v>India Engineering Head</v>
      </c>
      <c r="D1493" s="27" t="str">
        <f>IFERROR(__xludf.DUMMYFUNCTION("""COMPUTED_VALUE"""),"linkedin.com/in/sesha-varadarajan-742b011")</f>
        <v>linkedin.com/in/sesha-varadarajan-742b011</v>
      </c>
      <c r="E1493" s="17"/>
      <c r="F1493" s="17" t="str">
        <f>IFERROR(__xludf.DUMMYFUNCTION("""COMPUTED_VALUE"""),"sesha.varadarajan@lamresearch.com")</f>
        <v>sesha.varadarajan@lamresearch.com</v>
      </c>
      <c r="G1493" s="17"/>
      <c r="H1493" s="17"/>
    </row>
    <row r="1494">
      <c r="A1494" s="17" t="str">
        <f>IFERROR(__xludf.DUMMYFUNCTION("""COMPUTED_VALUE"""),"Applied Materials")</f>
        <v>Applied Materials</v>
      </c>
      <c r="B1494" s="17" t="str">
        <f>IFERROR(__xludf.DUMMYFUNCTION("""COMPUTED_VALUE"""),"Pankaj Saxena")</f>
        <v>Pankaj Saxena</v>
      </c>
      <c r="C1494" s="17" t="str">
        <f>IFERROR(__xludf.DUMMYFUNCTION("""COMPUTED_VALUE"""),"VP Engineering India")</f>
        <v>VP Engineering India</v>
      </c>
      <c r="D1494" s="27" t="str">
        <f>IFERROR(__xludf.DUMMYFUNCTION("""COMPUTED_VALUE"""),"linkedin.com/in/pankaj-saxena-9882347")</f>
        <v>linkedin.com/in/pankaj-saxena-9882347</v>
      </c>
      <c r="E1494" s="17"/>
      <c r="F1494" s="17" t="str">
        <f>IFERROR(__xludf.DUMMYFUNCTION("""COMPUTED_VALUE"""),"pankaj_sysman@yahoo.com, pankaj.saxena@nielsen.com")</f>
        <v>pankaj_sysman@yahoo.com, pankaj.saxena@nielsen.com</v>
      </c>
      <c r="G1494" s="17"/>
      <c r="H1494" s="17"/>
    </row>
    <row r="1495">
      <c r="A1495" s="17" t="str">
        <f>IFERROR(__xludf.DUMMYFUNCTION("""COMPUTED_VALUE"""),"KLA Corporation")</f>
        <v>KLA Corporation</v>
      </c>
      <c r="B1495" s="17" t="str">
        <f>IFERROR(__xludf.DUMMYFUNCTION("""COMPUTED_VALUE"""),"Ram Joshi")</f>
        <v>Ram Joshi</v>
      </c>
      <c r="C1495" s="17" t="str">
        <f>IFERROR(__xludf.DUMMYFUNCTION("""COMPUTED_VALUE"""),"VP Engineering – India")</f>
        <v>VP Engineering – India</v>
      </c>
      <c r="D1495" s="27" t="str">
        <f>IFERROR(__xludf.DUMMYFUNCTION("""COMPUTED_VALUE"""),"linkedin.com/in/pramach2")</f>
        <v>linkedin.com/in/pramach2</v>
      </c>
      <c r="E1495" s="17"/>
      <c r="F1495" s="17" t="str">
        <f>IFERROR(__xludf.DUMMYFUNCTION("""COMPUTED_VALUE"""),"pradeep.ramachandran@kla-tencor.com")</f>
        <v>pradeep.ramachandran@kla-tencor.com</v>
      </c>
      <c r="G1495" s="17"/>
      <c r="H1495" s="17"/>
    </row>
    <row r="1496">
      <c r="A1496" s="17" t="str">
        <f>IFERROR(__xludf.DUMMYFUNCTION("""COMPUTED_VALUE"""),"Red Hat")</f>
        <v>Red Hat</v>
      </c>
      <c r="B1496" s="17" t="str">
        <f>IFERROR(__xludf.DUMMYFUNCTION("""COMPUTED_VALUE"""),"Ashesh Badani")</f>
        <v>Ashesh Badani</v>
      </c>
      <c r="C1496" s="17" t="str">
        <f>IFERROR(__xludf.DUMMYFUNCTION("""COMPUTED_VALUE"""),"SVP Engineering")</f>
        <v>SVP Engineering</v>
      </c>
      <c r="D1496" s="27" t="str">
        <f>IFERROR(__xludf.DUMMYFUNCTION("""COMPUTED_VALUE"""),"linkedin.com/in/asheshbadani")</f>
        <v>linkedin.com/in/asheshbadani</v>
      </c>
      <c r="E1496" s="17"/>
      <c r="F1496" s="17" t="str">
        <f>IFERROR(__xludf.DUMMYFUNCTION("""COMPUTED_VALUE"""),"abadani@redhat.com")</f>
        <v>abadani@redhat.com</v>
      </c>
      <c r="G1496" s="17"/>
      <c r="H1496" s="17"/>
    </row>
    <row r="1497">
      <c r="A1497" s="17" t="str">
        <f>IFERROR(__xludf.DUMMYFUNCTION("""COMPUTED_VALUE"""),"Nutanix")</f>
        <v>Nutanix</v>
      </c>
      <c r="B1497" s="17" t="str">
        <f>IFERROR(__xludf.DUMMYFUNCTION("""COMPUTED_VALUE"""),"Rajiv Ramaswami")</f>
        <v>Rajiv Ramaswami</v>
      </c>
      <c r="C1497" s="17" t="str">
        <f>IFERROR(__xludf.DUMMYFUNCTION("""COMPUTED_VALUE"""),"CEO (India Engineering Oversight)")</f>
        <v>CEO (India Engineering Oversight)</v>
      </c>
      <c r="D1497" s="27" t="str">
        <f>IFERROR(__xludf.DUMMYFUNCTION("""COMPUTED_VALUE"""),"linkedin.com/in/rajiv-ramaswami-b365704")</f>
        <v>linkedin.com/in/rajiv-ramaswami-b365704</v>
      </c>
      <c r="E1497" s="17"/>
      <c r="F1497" s="17" t="str">
        <f>IFERROR(__xludf.DUMMYFUNCTION("""COMPUTED_VALUE"""),"rr@nutanix.com")</f>
        <v>rr@nutanix.com</v>
      </c>
      <c r="G1497" s="17"/>
      <c r="H1497" s="17"/>
    </row>
    <row r="1498">
      <c r="A1498" s="17" t="str">
        <f>IFERROR(__xludf.DUMMYFUNCTION("""COMPUTED_VALUE"""),"Synopsys")</f>
        <v>Synopsys</v>
      </c>
      <c r="B1498" s="17" t="str">
        <f>IFERROR(__xludf.DUMMYFUNCTION("""COMPUTED_VALUE"""),"Shankar Krishnamoorthy")</f>
        <v>Shankar Krishnamoorthy</v>
      </c>
      <c r="C1498" s="17" t="str">
        <f>IFERROR(__xludf.DUMMYFUNCTION("""COMPUTED_VALUE"""),"GM – India R&amp;D")</f>
        <v>GM – India R&amp;D</v>
      </c>
      <c r="D1498" s="27" t="str">
        <f>IFERROR(__xludf.DUMMYFUNCTION("""COMPUTED_VALUE"""),"linkedin.com/in/shankar-krishnamoorthy-614ab6")</f>
        <v>linkedin.com/in/shankar-krishnamoorthy-614ab6</v>
      </c>
      <c r="E1498" s="17"/>
      <c r="F1498" s="17" t="str">
        <f>IFERROR(__xludf.DUMMYFUNCTION("""COMPUTED_VALUE"""),"edashankar@gmail.com")</f>
        <v>edashankar@gmail.com</v>
      </c>
      <c r="G1498" s="17"/>
      <c r="H1498" s="17"/>
    </row>
    <row r="1499">
      <c r="A1499" s="17" t="str">
        <f>IFERROR(__xludf.DUMMYFUNCTION("""COMPUTED_VALUE"""),"Cadence Design Systems")</f>
        <v>Cadence Design Systems</v>
      </c>
      <c r="B1499" s="17" t="str">
        <f>IFERROR(__xludf.DUMMYFUNCTION("""COMPUTED_VALUE"""),"Anirudh Devgan")</f>
        <v>Anirudh Devgan</v>
      </c>
      <c r="C1499" s="17" t="str">
        <f>IFERROR(__xludf.DUMMYFUNCTION("""COMPUTED_VALUE"""),"CEO")</f>
        <v>CEO</v>
      </c>
      <c r="D1499" s="27" t="str">
        <f>IFERROR(__xludf.DUMMYFUNCTION("""COMPUTED_VALUE"""),"linkedin.com/in/devgan")</f>
        <v>linkedin.com/in/devgan</v>
      </c>
      <c r="E1499" s="17"/>
      <c r="F1499" s="17" t="str">
        <f>IFERROR(__xludf.DUMMYFUNCTION("""COMPUTED_VALUE"""),"anirudhdevgan@gmail.com")</f>
        <v>anirudhdevgan@gmail.com</v>
      </c>
      <c r="G1499" s="17"/>
      <c r="H1499" s="17"/>
    </row>
    <row r="1500">
      <c r="A1500" s="17" t="str">
        <f>IFERROR(__xludf.DUMMYFUNCTION("""COMPUTED_VALUE"""),"Electronic Arts")</f>
        <v>Electronic Arts</v>
      </c>
      <c r="B1500" s="17" t="str">
        <f>IFERROR(__xludf.DUMMYFUNCTION("""COMPUTED_VALUE"""),"Maya Rajan")</f>
        <v>Maya Rajan</v>
      </c>
      <c r="C1500" s="17" t="str">
        <f>IFERROR(__xludf.DUMMYFUNCTION("""COMPUTED_VALUE"""),"SVP Engineering")</f>
        <v>SVP Engineering</v>
      </c>
      <c r="D1500" s="27" t="str">
        <f>IFERROR(__xludf.DUMMYFUNCTION("""COMPUTED_VALUE"""),"linkedin.com/in/ankur-anand-01825621")</f>
        <v>linkedin.com/in/ankur-anand-01825621</v>
      </c>
      <c r="E1500" s="17"/>
      <c r="F1500" s="17" t="str">
        <f>IFERROR(__xludf.DUMMYFUNCTION("""COMPUTED_VALUE"""),"ankur13anand@gmail.com, dnanarukna@gmail.com")</f>
        <v>ankur13anand@gmail.com, dnanarukna@gmail.com</v>
      </c>
      <c r="G1500" s="17"/>
      <c r="H1500" s="17"/>
    </row>
    <row r="1501">
      <c r="A1501" s="17" t="str">
        <f>IFERROR(__xludf.DUMMYFUNCTION("""COMPUTED_VALUE"""),"Wise")</f>
        <v>Wise</v>
      </c>
      <c r="B1501" s="17" t="str">
        <f>IFERROR(__xludf.DUMMYFUNCTION("""COMPUTED_VALUE"""),"Harsh Sinha")</f>
        <v>Harsh Sinha</v>
      </c>
      <c r="C1501" s="17" t="str">
        <f>IFERROR(__xludf.DUMMYFUNCTION("""COMPUTED_VALUE"""),"CTO")</f>
        <v>CTO</v>
      </c>
      <c r="D1501" s="27" t="str">
        <f>IFERROR(__xludf.DUMMYFUNCTION("""COMPUTED_VALUE"""),"linkedin.com/in/hasinha")</f>
        <v>linkedin.com/in/hasinha</v>
      </c>
      <c r="E1501" s="17"/>
      <c r="F1501" s="17" t="str">
        <f>IFERROR(__xludf.DUMMYFUNCTION("""COMPUTED_VALUE"""),"harsh.sinha@transferwise.com, harshsinha@gmail.com")</f>
        <v>harsh.sinha@transferwise.com, harshsinha@gmail.com</v>
      </c>
      <c r="G1501" s="17"/>
      <c r="H1501" s="17"/>
    </row>
    <row r="1502">
      <c r="A1502" s="17" t="str">
        <f>IFERROR(__xludf.DUMMYFUNCTION("""COMPUTED_VALUE"""),"Revolut")</f>
        <v>Revolut</v>
      </c>
      <c r="B1502" s="17" t="str">
        <f>IFERROR(__xludf.DUMMYFUNCTION("""COMPUTED_VALUE"""),"Paroma Chatterjee ")</f>
        <v>Paroma Chatterjee </v>
      </c>
      <c r="C1502" s="17" t="str">
        <f>IFERROR(__xludf.DUMMYFUNCTION("""COMPUTED_VALUE"""),"CTO &amp; CEO")</f>
        <v>CTO &amp; CEO</v>
      </c>
      <c r="D1502" s="27" t="str">
        <f>IFERROR(__xludf.DUMMYFUNCTION("""COMPUTED_VALUE"""),"linkedin.com/in/paroma-chatterjee-503193")</f>
        <v>linkedin.com/in/paroma-chatterjee-503193</v>
      </c>
      <c r="E1502" s="17"/>
      <c r="F1502" s="17" t="str">
        <f>IFERROR(__xludf.DUMMYFUNCTION("""COMPUTED_VALUE"""),"paromachatterjee@gmail.com, paroma.chatterjee@revolut.com")</f>
        <v>paromachatterjee@gmail.com, paroma.chatterjee@revolut.com</v>
      </c>
      <c r="G1502" s="17"/>
      <c r="H1502" s="17"/>
    </row>
    <row r="1503">
      <c r="A1503" s="17" t="str">
        <f>IFERROR(__xludf.DUMMYFUNCTION("""COMPUTED_VALUE"""),"Aarti Industries")</f>
        <v>Aarti Industries</v>
      </c>
      <c r="B1503" s="17" t="str">
        <f>IFERROR(__xludf.DUMMYFUNCTION("""COMPUTED_VALUE"""),"bhaskaran rajagopalan")</f>
        <v>bhaskaran rajagopalan</v>
      </c>
      <c r="C1503" s="17" t="str">
        <f>IFERROR(__xludf.DUMMYFUNCTION("""COMPUTED_VALUE"""),"CTO")</f>
        <v>CTO</v>
      </c>
      <c r="D1503" s="27" t="str">
        <f>IFERROR(__xludf.DUMMYFUNCTION("""COMPUTED_VALUE"""),"linkedin.com/in/bhaskaran-rajagopalan-289aa79")</f>
        <v>linkedin.com/in/bhaskaran-rajagopalan-289aa79</v>
      </c>
      <c r="E1503" s="17"/>
      <c r="F1503" s="17" t="str">
        <f>IFERROR(__xludf.DUMMYFUNCTION("""COMPUTED_VALUE"""),"r_bhaski@yahoo.com, bhaskaran.rajagopalan@aarti-industries.com")</f>
        <v>r_bhaski@yahoo.com, bhaskaran.rajagopalan@aarti-industries.com</v>
      </c>
      <c r="G1503" s="17"/>
      <c r="H1503" s="17"/>
    </row>
    <row r="1504">
      <c r="A1504" s="17" t="str">
        <f>IFERROR(__xludf.DUMMYFUNCTION("""COMPUTED_VALUE"""),"Tetr &amp; Masters’ Union")</f>
        <v>Tetr &amp; Masters’ Union</v>
      </c>
      <c r="B1504" s="17" t="str">
        <f>IFERROR(__xludf.DUMMYFUNCTION("""COMPUTED_VALUE"""),"Pratham Mittal ")</f>
        <v>Pratham Mittal </v>
      </c>
      <c r="C1504" s="17" t="str">
        <f>IFERROR(__xludf.DUMMYFUNCTION("""COMPUTED_VALUE"""),"CTO &amp; Co-Founder")</f>
        <v>CTO &amp; Co-Founder</v>
      </c>
      <c r="D1504" s="27" t="str">
        <f>IFERROR(__xludf.DUMMYFUNCTION("""COMPUTED_VALUE"""),"linkedin.com/in/prathammittal")</f>
        <v>linkedin.com/in/prathammittal</v>
      </c>
      <c r="E1504" s="17"/>
      <c r="F1504" s="17" t="str">
        <f>IFERROR(__xludf.DUMMYFUNCTION("""COMPUTED_VALUE"""),"pratham@mastersunion.org, doscopratham@gmail.com")</f>
        <v>pratham@mastersunion.org, doscopratham@gmail.com</v>
      </c>
      <c r="G1504" s="17"/>
      <c r="H1504" s="17"/>
    </row>
    <row r="1505">
      <c r="A1505" s="17" t="str">
        <f>IFERROR(__xludf.DUMMYFUNCTION("""COMPUTED_VALUE"""),"ADL")</f>
        <v>ADL</v>
      </c>
      <c r="B1505" s="17" t="str">
        <f>IFERROR(__xludf.DUMMYFUNCTION("""COMPUTED_VALUE"""),"Satya Easwaran")</f>
        <v>Satya Easwaran</v>
      </c>
      <c r="C1505" s="17" t="str">
        <f>IFERROR(__xludf.DUMMYFUNCTION("""COMPUTED_VALUE"""),"CTO")</f>
        <v>CTO</v>
      </c>
      <c r="D1505" s="27" t="str">
        <f>IFERROR(__xludf.DUMMYFUNCTION("""COMPUTED_VALUE"""),"linkedin.com/in/satya-easwaran-7292071")</f>
        <v>linkedin.com/in/satya-easwaran-7292071</v>
      </c>
      <c r="E1505" s="17"/>
      <c r="F1505" s="17" t="str">
        <f>IFERROR(__xludf.DUMMYFUNCTION("""COMPUTED_VALUE"""),"satya@amplinth.ai, esatya@gmail.com")</f>
        <v>satya@amplinth.ai, esatya@gmail.com</v>
      </c>
      <c r="G1505" s="17"/>
      <c r="H1505" s="17"/>
    </row>
    <row r="1506">
      <c r="A1506" s="27" t="str">
        <f>IFERROR(__xludf.DUMMYFUNCTION("""COMPUTED_VALUE"""),"Metadome.ai")</f>
        <v>Metadome.ai</v>
      </c>
      <c r="B1506" s="17" t="str">
        <f>IFERROR(__xludf.DUMMYFUNCTION("""COMPUTED_VALUE"""),"Mohit Malik")</f>
        <v>Mohit Malik</v>
      </c>
      <c r="C1506" s="17" t="str">
        <f>IFERROR(__xludf.DUMMYFUNCTION("""COMPUTED_VALUE"""),"CTO &amp; Co-Founder")</f>
        <v>CTO &amp; Co-Founder</v>
      </c>
      <c r="D1506" s="27" t="str">
        <f>IFERROR(__xludf.DUMMYFUNCTION("""COMPUTED_VALUE"""),"linkedin.com/in/mohit-malik-9a658a136")</f>
        <v>linkedin.com/in/mohit-malik-9a658a136</v>
      </c>
      <c r="E1506" s="17"/>
      <c r="F1506" s="17" t="str">
        <f>IFERROR(__xludf.DUMMYFUNCTION("""COMPUTED_VALUE"""),"mohit@thb.co.in, 1988malik@gmail.com")</f>
        <v>mohit@thb.co.in, 1988malik@gmail.com</v>
      </c>
      <c r="G1506" s="17"/>
      <c r="H1506" s="17"/>
    </row>
    <row r="1507">
      <c r="A1507" s="17" t="str">
        <f>IFERROR(__xludf.DUMMYFUNCTION("""COMPUTED_VALUE"""),"Airbus")</f>
        <v>Airbus</v>
      </c>
      <c r="B1507" s="17" t="str">
        <f>IFERROR(__xludf.DUMMYFUNCTION("""COMPUTED_VALUE"""),"Siddharth Balachandran ")</f>
        <v>Siddharth Balachandran </v>
      </c>
      <c r="C1507" s="17" t="str">
        <f>IFERROR(__xludf.DUMMYFUNCTION("""COMPUTED_VALUE"""),"Head of India Engineering")</f>
        <v>Head of India Engineering</v>
      </c>
      <c r="D1507" s="27" t="str">
        <f>IFERROR(__xludf.DUMMYFUNCTION("""COMPUTED_VALUE"""),"linkedin.com/in/siddharth-balachandran")</f>
        <v>linkedin.com/in/siddharth-balachandran</v>
      </c>
      <c r="E1507" s="17"/>
      <c r="F1507" s="17" t="str">
        <f>IFERROR(__xludf.DUMMYFUNCTION("""COMPUTED_VALUE"""),"siddharth.balachandran@airbus.com")</f>
        <v>siddharth.balachandran@airbus.com</v>
      </c>
      <c r="G1507" s="17"/>
      <c r="H1507" s="17"/>
    </row>
    <row r="1508">
      <c r="A1508" s="17" t="str">
        <f>IFERROR(__xludf.DUMMYFUNCTION("""COMPUTED_VALUE"""),"Alstom")</f>
        <v>Alstom</v>
      </c>
      <c r="B1508" s="17" t="str">
        <f>IFERROR(__xludf.DUMMYFUNCTION("""COMPUTED_VALUE"""),"Anand Bhardwaj")</f>
        <v>Anand Bhardwaj</v>
      </c>
      <c r="C1508" s="17" t="str">
        <f>IFERROR(__xludf.DUMMYFUNCTION("""COMPUTED_VALUE"""),"India Head - Train System")</f>
        <v>India Head - Train System</v>
      </c>
      <c r="D1508" s="27" t="str">
        <f>IFERROR(__xludf.DUMMYFUNCTION("""COMPUTED_VALUE"""),"linkedin.com/in/anand-bhardwaj-131b186")</f>
        <v>linkedin.com/in/anand-bhardwaj-131b186</v>
      </c>
      <c r="E1508" s="17"/>
      <c r="F1508" s="17" t="str">
        <f>IFERROR(__xludf.DUMMYFUNCTION("""COMPUTED_VALUE"""),"anand.bhardwaj@alstom.com")</f>
        <v>anand.bhardwaj@alstom.com</v>
      </c>
      <c r="G1508" s="17"/>
      <c r="H1508" s="17"/>
    </row>
    <row r="1509">
      <c r="A1509" s="17" t="str">
        <f>IFERROR(__xludf.DUMMYFUNCTION("""COMPUTED_VALUE"""),"Amplus Solar")</f>
        <v>Amplus Solar</v>
      </c>
      <c r="B1509" s="17" t="str">
        <f>IFERROR(__xludf.DUMMYFUNCTION("""COMPUTED_VALUE"""),"Sharad Pungalia")</f>
        <v>Sharad Pungalia</v>
      </c>
      <c r="C1509" s="17" t="str">
        <f>IFERROR(__xludf.DUMMYFUNCTION("""COMPUTED_VALUE"""),"Senior VP")</f>
        <v>Senior VP</v>
      </c>
      <c r="D1509" s="27" t="str">
        <f>IFERROR(__xludf.DUMMYFUNCTION("""COMPUTED_VALUE"""),"linkedin.com/in/sharad-pungalia-40249b16")</f>
        <v>linkedin.com/in/sharad-pungalia-40249b16</v>
      </c>
      <c r="E1509" s="17"/>
      <c r="F1509" s="17" t="str">
        <f>IFERROR(__xludf.DUMMYFUNCTION("""COMPUTED_VALUE"""),"sharad.p@gentari.com")</f>
        <v>sharad.p@gentari.com</v>
      </c>
      <c r="G1509" s="17"/>
      <c r="H1509" s="17"/>
    </row>
    <row r="1510">
      <c r="A1510" s="17" t="str">
        <f>IFERROR(__xludf.DUMMYFUNCTION("""COMPUTED_VALUE"""),"AppDynamic")</f>
        <v>AppDynamic</v>
      </c>
      <c r="B1510" s="17" t="str">
        <f>IFERROR(__xludf.DUMMYFUNCTION("""COMPUTED_VALUE"""),"Pratik Kumar ")</f>
        <v>Pratik Kumar </v>
      </c>
      <c r="C1510" s="17" t="str">
        <f>IFERROR(__xludf.DUMMYFUNCTION("""COMPUTED_VALUE"""),"CTO &amp; Co-Founder")</f>
        <v>CTO &amp; Co-Founder</v>
      </c>
      <c r="D1510" s="27" t="str">
        <f>IFERROR(__xludf.DUMMYFUNCTION("""COMPUTED_VALUE"""),"linkedin.com/in/pratik-kumar-a07185b")</f>
        <v>linkedin.com/in/pratik-kumar-a07185b</v>
      </c>
      <c r="E1510" s="17"/>
      <c r="F1510" s="17" t="str">
        <f>IFERROR(__xludf.DUMMYFUNCTION("""COMPUTED_VALUE"""),"pratik@appdynamic.com")</f>
        <v>pratik@appdynamic.com</v>
      </c>
      <c r="G1510" s="17"/>
      <c r="H1510" s="17"/>
    </row>
    <row r="1511">
      <c r="A1511" s="17" t="str">
        <f>IFERROR(__xludf.DUMMYFUNCTION("""COMPUTED_VALUE"""),"Aria Matrix")</f>
        <v>Aria Matrix</v>
      </c>
      <c r="B1511" s="17" t="str">
        <f>IFERROR(__xludf.DUMMYFUNCTION("""COMPUTED_VALUE"""),"Umesh Shanghvi")</f>
        <v>Umesh Shanghvi</v>
      </c>
      <c r="C1511" s="17" t="str">
        <f>IFERROR(__xludf.DUMMYFUNCTION("""COMPUTED_VALUE"""),"Head - Innovation &amp; Technology Development")</f>
        <v>Head - Innovation &amp; Technology Development</v>
      </c>
      <c r="D1511" s="27" t="str">
        <f>IFERROR(__xludf.DUMMYFUNCTION("""COMPUTED_VALUE"""),"linkedin.com/in/umesh-shanghvi-571a3274")</f>
        <v>linkedin.com/in/umesh-shanghvi-571a3274</v>
      </c>
      <c r="E1511" s="17"/>
      <c r="F1511" s="17" t="str">
        <f>IFERROR(__xludf.DUMMYFUNCTION("""COMPUTED_VALUE"""),"umesh.shanghvi@airamatrix.com, umesh.shanghvi@gmail.com")</f>
        <v>umesh.shanghvi@airamatrix.com, umesh.shanghvi@gmail.com</v>
      </c>
      <c r="G1511" s="17"/>
      <c r="H1511" s="17"/>
    </row>
    <row r="1512">
      <c r="A1512" s="17" t="str">
        <f>IFERROR(__xludf.DUMMYFUNCTION("""COMPUTED_VALUE""")," McKinsey")</f>
        <v> McKinsey</v>
      </c>
      <c r="B1512" s="17" t="str">
        <f>IFERROR(__xludf.DUMMYFUNCTION("""COMPUTED_VALUE"""),"Sumit S ")</f>
        <v>Sumit S </v>
      </c>
      <c r="C1512" s="17" t="str">
        <f>IFERROR(__xludf.DUMMYFUNCTION("""COMPUTED_VALUE"""),"Partner")</f>
        <v>Partner</v>
      </c>
      <c r="D1512" s="27" t="str">
        <f>IFERROR(__xludf.DUMMYFUNCTION("""COMPUTED_VALUE"""),"linkedin.com/in/sumitcan")</f>
        <v>linkedin.com/in/sumitcan</v>
      </c>
      <c r="E1512" s="17"/>
      <c r="F1512" s="17" t="str">
        <f>IFERROR(__xludf.DUMMYFUNCTION("""COMPUTED_VALUE"""),"sumit_s@mckinsey.com, sumitcan@gmail.com")</f>
        <v>sumit_s@mckinsey.com, sumitcan@gmail.com</v>
      </c>
      <c r="G1512" s="17"/>
      <c r="H1512" s="17"/>
    </row>
    <row r="1513">
      <c r="A1513" s="17" t="str">
        <f>IFERROR(__xludf.DUMMYFUNCTION("""COMPUTED_VALUE"""),"Multiples Alternate Asset Management")</f>
        <v>Multiples Alternate Asset Management</v>
      </c>
      <c r="B1513" s="17" t="str">
        <f>IFERROR(__xludf.DUMMYFUNCTION("""COMPUTED_VALUE"""),"Renuka Ramnath")</f>
        <v>Renuka Ramnath</v>
      </c>
      <c r="C1513" s="17" t="str">
        <f>IFERROR(__xludf.DUMMYFUNCTION("""COMPUTED_VALUE"""),"Founder, MD and CEO")</f>
        <v>Founder, MD and CEO</v>
      </c>
      <c r="D1513" s="27" t="str">
        <f>IFERROR(__xludf.DUMMYFUNCTION("""COMPUTED_VALUE"""),"linkedin.com/in/renukaramnath")</f>
        <v>linkedin.com/in/renukaramnath</v>
      </c>
      <c r="E1513" s="17"/>
      <c r="F1513" s="17" t="str">
        <f>IFERROR(__xludf.DUMMYFUNCTION("""COMPUTED_VALUE"""),"renuka.linkedin@multiplesequity.com, renuka.r@icicibank.com")</f>
        <v>renuka.linkedin@multiplesequity.com, renuka.r@icicibank.com</v>
      </c>
      <c r="G1513" s="17"/>
      <c r="H1513" s="17"/>
    </row>
    <row r="1514">
      <c r="A1514" s="17" t="str">
        <f>IFERROR(__xludf.DUMMYFUNCTION("""COMPUTED_VALUE"""),"Arth Design")</f>
        <v>Arth Design</v>
      </c>
      <c r="B1514" s="17" t="str">
        <f>IFERROR(__xludf.DUMMYFUNCTION("""COMPUTED_VALUE"""),"Abhishek Sinha")</f>
        <v>Abhishek Sinha</v>
      </c>
      <c r="C1514" s="17" t="str">
        <f>IFERROR(__xludf.DUMMYFUNCTION("""COMPUTED_VALUE"""),"CTO")</f>
        <v>CTO</v>
      </c>
      <c r="D1514" s="27" t="str">
        <f>IFERROR(__xludf.DUMMYFUNCTION("""COMPUTED_VALUE"""),"linkedin.com/in/abhishek-sinha-bgl")</f>
        <v>linkedin.com/in/abhishek-sinha-bgl</v>
      </c>
      <c r="E1514" s="17"/>
      <c r="F1514" s="17" t="str">
        <f>IFERROR(__xludf.DUMMYFUNCTION("""COMPUTED_VALUE"""),"abhishek.sinha4@gmail.com, abhishek@arth.us.com, abhisheksinha4@gmail.com")</f>
        <v>abhishek.sinha4@gmail.com, abhishek@arth.us.com, abhisheksinha4@gmail.com</v>
      </c>
      <c r="G1514" s="17"/>
      <c r="H1514" s="17"/>
    </row>
    <row r="1515">
      <c r="A1515" s="17" t="str">
        <f>IFERROR(__xludf.DUMMYFUNCTION("""COMPUTED_VALUE"""),"Avery Dennison")</f>
        <v>Avery Dennison</v>
      </c>
      <c r="B1515" s="17"/>
      <c r="C1515" s="17"/>
      <c r="D1515" s="17"/>
      <c r="E1515" s="17"/>
      <c r="F1515" s="17"/>
      <c r="G1515" s="17"/>
      <c r="H1515" s="17"/>
    </row>
    <row r="1516">
      <c r="A1516" s="17" t="str">
        <f>IFERROR(__xludf.DUMMYFUNCTION("""COMPUTED_VALUE"""),"Axtria")</f>
        <v>Axtria</v>
      </c>
      <c r="B1516" s="17" t="str">
        <f>IFERROR(__xludf.DUMMYFUNCTION("""COMPUTED_VALUE"""),"Jaswinder Chadha")</f>
        <v>Jaswinder Chadha</v>
      </c>
      <c r="C1516" s="17" t="str">
        <f>IFERROR(__xludf.DUMMYFUNCTION("""COMPUTED_VALUE"""),"President &amp; CEO ")</f>
        <v>President &amp; CEO </v>
      </c>
      <c r="D1516" s="27" t="str">
        <f>IFERROR(__xludf.DUMMYFUNCTION("""COMPUTED_VALUE"""),"linkedin.com/in/jchadha")</f>
        <v>linkedin.com/in/jchadha</v>
      </c>
      <c r="E1516" s="17"/>
      <c r="F1516" s="17" t="str">
        <f>IFERROR(__xludf.DUMMYFUNCTION("""COMPUTED_VALUE"""),"jchadha@gmail.com, jchadha@axtria.com, jchadha@yahoo.com")</f>
        <v>jchadha@gmail.com, jchadha@axtria.com, jchadha@yahoo.com</v>
      </c>
      <c r="G1516" s="17"/>
      <c r="H1516" s="17"/>
    </row>
    <row r="1517">
      <c r="A1517" s="17" t="str">
        <f>IFERROR(__xludf.DUMMYFUNCTION("""COMPUTED_VALUE"""),"Axxela")</f>
        <v>Axxela</v>
      </c>
      <c r="B1517" s="17" t="str">
        <f>IFERROR(__xludf.DUMMYFUNCTION("""COMPUTED_VALUE"""),"Nikhil Somani")</f>
        <v>Nikhil Somani</v>
      </c>
      <c r="C1517" s="17" t="str">
        <f>IFERROR(__xludf.DUMMYFUNCTION("""COMPUTED_VALUE"""),"Director ")</f>
        <v>Director </v>
      </c>
      <c r="D1517" s="27" t="str">
        <f>IFERROR(__xludf.DUMMYFUNCTION("""COMPUTED_VALUE"""),"linkedin.com/in/nikhil-somani-00441b6")</f>
        <v>linkedin.com/in/nikhil-somani-00441b6</v>
      </c>
      <c r="E1517" s="17"/>
      <c r="F1517" s="17" t="str">
        <f>IFERROR(__xludf.DUMMYFUNCTION("""COMPUTED_VALUE"""),"nikhilsomanisrcc@gmail.com, nikhil.somani@axxela.in")</f>
        <v>nikhilsomanisrcc@gmail.com, nikhil.somani@axxela.in</v>
      </c>
      <c r="G1517" s="17"/>
      <c r="H1517" s="17"/>
    </row>
    <row r="1518">
      <c r="A1518" s="17" t="str">
        <f>IFERROR(__xludf.DUMMYFUNCTION("""COMPUTED_VALUE"""),"Bajaj Auto")</f>
        <v>Bajaj Auto</v>
      </c>
      <c r="B1518" s="17" t="str">
        <f>IFERROR(__xludf.DUMMYFUNCTION("""COMPUTED_VALUE"""),"Ramtilak Ananthan ")</f>
        <v>Ramtilak Ananthan </v>
      </c>
      <c r="C1518" s="17" t="str">
        <f>IFERROR(__xludf.DUMMYFUNCTION("""COMPUTED_VALUE"""),"VP")</f>
        <v>VP</v>
      </c>
      <c r="D1518" s="27" t="str">
        <f>IFERROR(__xludf.DUMMYFUNCTION("""COMPUTED_VALUE"""),"linkedin.com/in/ramtilak-ananthan-ab56994")</f>
        <v>linkedin.com/in/ramtilak-ananthan-ab56994</v>
      </c>
      <c r="E1518" s="17"/>
      <c r="F1518" s="17" t="str">
        <f>IFERROR(__xludf.DUMMYFUNCTION("""COMPUTED_VALUE"""),"ramtilak@bajajauto.co.in")</f>
        <v>ramtilak@bajajauto.co.in</v>
      </c>
      <c r="G1518" s="17"/>
      <c r="H1518" s="17"/>
    </row>
    <row r="1519">
      <c r="A1519" s="17" t="str">
        <f>IFERROR(__xludf.DUMMYFUNCTION("""COMPUTED_VALUE"""),"Wells Fargo")</f>
        <v>Wells Fargo</v>
      </c>
      <c r="B1519" s="17" t="str">
        <f>IFERROR(__xludf.DUMMYFUNCTION("""COMPUTED_VALUE"""),"Sashank Bojja")</f>
        <v>Sashank Bojja</v>
      </c>
      <c r="C1519" s="17" t="str">
        <f>IFERROR(__xludf.DUMMYFUNCTION("""COMPUTED_VALUE"""),"Executive Director - CTO ")</f>
        <v>Executive Director - CTO </v>
      </c>
      <c r="D1519" s="27" t="str">
        <f>IFERROR(__xludf.DUMMYFUNCTION("""COMPUTED_VALUE"""),"linkedin.com/in/sashankbojja")</f>
        <v>linkedin.com/in/sashankbojja</v>
      </c>
      <c r="E1519" s="17"/>
      <c r="F1519" s="17" t="str">
        <f>IFERROR(__xludf.DUMMYFUNCTION("""COMPUTED_VALUE"""),"sashank.bojja@wellsfargo.com")</f>
        <v>sashank.bojja@wellsfargo.com</v>
      </c>
      <c r="G1519" s="17"/>
      <c r="H1519" s="17"/>
    </row>
    <row r="1520">
      <c r="A1520" s="17" t="str">
        <f>IFERROR(__xludf.DUMMYFUNCTION("""COMPUTED_VALUE"""),"Bidgely")</f>
        <v>Bidgely</v>
      </c>
      <c r="B1520" s="17" t="str">
        <f>IFERROR(__xludf.DUMMYFUNCTION("""COMPUTED_VALUE"""),"Vivek Garud")</f>
        <v>Vivek Garud</v>
      </c>
      <c r="C1520" s="17" t="str">
        <f>IFERROR(__xludf.DUMMYFUNCTION("""COMPUTED_VALUE"""),"Co-Founder &amp; CTO")</f>
        <v>Co-Founder &amp; CTO</v>
      </c>
      <c r="D1520" s="27" t="str">
        <f>IFERROR(__xludf.DUMMYFUNCTION("""COMPUTED_VALUE"""),"linkedin.com/in/vgarud")</f>
        <v>linkedin.com/in/vgarud</v>
      </c>
      <c r="E1520" s="17"/>
      <c r="F1520" s="17" t="str">
        <f>IFERROR(__xludf.DUMMYFUNCTION("""COMPUTED_VALUE"""),"vgarud@bidgely.com, vgarud@gmail.com")</f>
        <v>vgarud@bidgely.com, vgarud@gmail.com</v>
      </c>
      <c r="G1520" s="17"/>
      <c r="H1520" s="17"/>
    </row>
    <row r="1521">
      <c r="A1521" s="17" t="str">
        <f>IFERROR(__xludf.DUMMYFUNCTION("""COMPUTED_VALUE"""),"Blue Yonder")</f>
        <v>Blue Yonder</v>
      </c>
      <c r="B1521" s="17" t="str">
        <f>IFERROR(__xludf.DUMMYFUNCTION("""COMPUTED_VALUE"""),"Ravikumar Beli ")</f>
        <v>Ravikumar Beli </v>
      </c>
      <c r="C1521" s="17" t="str">
        <f>IFERROR(__xludf.DUMMYFUNCTION("""COMPUTED_VALUE"""),"CTO")</f>
        <v>CTO</v>
      </c>
      <c r="D1521" s="27" t="str">
        <f>IFERROR(__xludf.DUMMYFUNCTION("""COMPUTED_VALUE"""),"linkedin.com/in/ravikumar-beli-9273b51a")</f>
        <v>linkedin.com/in/ravikumar-beli-9273b51a</v>
      </c>
      <c r="E1521" s="17"/>
      <c r="F1521" s="17" t="str">
        <f>IFERROR(__xludf.DUMMYFUNCTION("""COMPUTED_VALUE"""),"ravikumar.beli@blueyonder.com, ravikumar.beli@pgcdigital.ai, ravibeli@gmail.com")</f>
        <v>ravikumar.beli@blueyonder.com, ravikumar.beli@pgcdigital.ai, ravibeli@gmail.com</v>
      </c>
      <c r="G1521" s="17"/>
      <c r="H1521" s="17"/>
    </row>
    <row r="1522">
      <c r="A1522" s="17" t="str">
        <f>IFERROR(__xludf.DUMMYFUNCTION("""COMPUTED_VALUE"""),"Bridge i2i")</f>
        <v>Bridge i2i</v>
      </c>
      <c r="B1522" s="17" t="str">
        <f>IFERROR(__xludf.DUMMYFUNCTION("""COMPUTED_VALUE"""),"Pritam Kanti Paul")</f>
        <v>Pritam Kanti Paul</v>
      </c>
      <c r="C1522" s="17" t="str">
        <f>IFERROR(__xludf.DUMMYFUNCTION("""COMPUTED_VALUE"""),"Co-Founder &amp; CTO")</f>
        <v>Co-Founder &amp; CTO</v>
      </c>
      <c r="D1522" s="27" t="str">
        <f>IFERROR(__xludf.DUMMYFUNCTION("""COMPUTED_VALUE"""),"linkedin.com/in/pritam-kanti-paul-49b7544")</f>
        <v>linkedin.com/in/pritam-kanti-paul-49b7544</v>
      </c>
      <c r="E1522" s="17"/>
      <c r="F1522" s="17" t="str">
        <f>IFERROR(__xludf.DUMMYFUNCTION("""COMPUTED_VALUE"""),"paul@accenture.com, polupal@yahoo.com")</f>
        <v>paul@accenture.com, polupal@yahoo.com</v>
      </c>
      <c r="G1522" s="17"/>
      <c r="H1522" s="17"/>
    </row>
    <row r="1523">
      <c r="A1523" s="17" t="str">
        <f>IFERROR(__xludf.DUMMYFUNCTION("""COMPUTED_VALUE"""),"C2L Biz")</f>
        <v>C2L Biz</v>
      </c>
      <c r="B1523" s="17"/>
      <c r="C1523" s="17"/>
      <c r="D1523" s="17"/>
      <c r="E1523" s="17"/>
      <c r="F1523" s="17"/>
      <c r="G1523" s="17"/>
      <c r="H1523" s="17"/>
    </row>
    <row r="1524">
      <c r="A1524" s="17" t="str">
        <f>IFERROR(__xludf.DUMMYFUNCTION("""COMPUTED_VALUE"""),"Caterpillar")</f>
        <v>Caterpillar</v>
      </c>
      <c r="B1524" s="17"/>
      <c r="C1524" s="17"/>
      <c r="D1524" s="17"/>
      <c r="E1524" s="17"/>
      <c r="F1524" s="17"/>
      <c r="G1524" s="17"/>
      <c r="H1524" s="17"/>
    </row>
    <row r="1525">
      <c r="A1525" s="17" t="str">
        <f>IFERROR(__xludf.DUMMYFUNCTION("""COMPUTED_VALUE"""),"Ceremorphic")</f>
        <v>Ceremorphic</v>
      </c>
      <c r="B1525" s="17"/>
      <c r="C1525" s="17"/>
      <c r="D1525" s="17"/>
      <c r="E1525" s="17"/>
      <c r="F1525" s="17"/>
      <c r="G1525" s="17"/>
      <c r="H1525" s="17"/>
    </row>
    <row r="1526">
      <c r="A1526" s="17" t="str">
        <f>IFERROR(__xludf.DUMMYFUNCTION("""COMPUTED_VALUE"""),"Chadha &amp; Chadha")</f>
        <v>Chadha &amp; Chadha</v>
      </c>
      <c r="B1526" s="17"/>
      <c r="C1526" s="17"/>
      <c r="D1526" s="17"/>
      <c r="E1526" s="17"/>
      <c r="F1526" s="17"/>
      <c r="G1526" s="17"/>
      <c r="H1526" s="17"/>
    </row>
    <row r="1527">
      <c r="A1527" s="17" t="str">
        <f>IFERROR(__xludf.DUMMYFUNCTION("""COMPUTED_VALUE"""),"Chowgule &amp; Co")</f>
        <v>Chowgule &amp; Co</v>
      </c>
      <c r="B1527" s="17"/>
      <c r="C1527" s="17"/>
      <c r="D1527" s="17"/>
      <c r="E1527" s="17"/>
      <c r="F1527" s="17"/>
      <c r="G1527" s="17"/>
      <c r="H1527" s="17"/>
    </row>
    <row r="1528">
      <c r="A1528" s="17" t="str">
        <f>IFERROR(__xludf.DUMMYFUNCTION("""COMPUTED_VALUE"""),"Citi")</f>
        <v>Citi</v>
      </c>
      <c r="B1528" s="17" t="str">
        <f>IFERROR(__xludf.DUMMYFUNCTION("""COMPUTED_VALUE"""),"Amin Kasmani")</f>
        <v>Amin Kasmani</v>
      </c>
      <c r="C1528" s="17" t="str">
        <f>IFERROR(__xludf.DUMMYFUNCTION("""COMPUTED_VALUE"""),"Director, Board Member")</f>
        <v>Director, Board Member</v>
      </c>
      <c r="D1528" s="27" t="str">
        <f>IFERROR(__xludf.DUMMYFUNCTION("""COMPUTED_VALUE"""),"linkedin.com/in/amin-kasmani-6279681b")</f>
        <v>linkedin.com/in/amin-kasmani-6279681b</v>
      </c>
      <c r="E1528" s="17"/>
      <c r="F1528" s="17" t="str">
        <f>IFERROR(__xludf.DUMMYFUNCTION("""COMPUTED_VALUE"""),"amin.kasmani@citigroup.com")</f>
        <v>amin.kasmani@citigroup.com</v>
      </c>
      <c r="G1528" s="17"/>
      <c r="H1528" s="17"/>
    </row>
    <row r="1529">
      <c r="A1529" s="17" t="str">
        <f>IFERROR(__xludf.DUMMYFUNCTION("""COMPUTED_VALUE"""),"Citrix Systems")</f>
        <v>Citrix Systems</v>
      </c>
      <c r="B1529" s="17"/>
      <c r="C1529" s="17"/>
      <c r="D1529" s="17"/>
      <c r="E1529" s="17"/>
      <c r="F1529" s="17"/>
      <c r="G1529" s="17"/>
      <c r="H1529" s="17"/>
    </row>
    <row r="1530">
      <c r="A1530" s="17" t="str">
        <f>IFERROR(__xludf.DUMMYFUNCTION("""COMPUTED_VALUE"""),"Cohesity")</f>
        <v>Cohesity</v>
      </c>
      <c r="B1530" s="17"/>
      <c r="C1530" s="17"/>
      <c r="D1530" s="17"/>
      <c r="E1530" s="17"/>
      <c r="F1530" s="17"/>
      <c r="G1530" s="17"/>
      <c r="H1530" s="17"/>
    </row>
    <row r="1531">
      <c r="A1531" s="17" t="str">
        <f>IFERROR(__xludf.DUMMYFUNCTION("""COMPUTED_VALUE"""),"Deskera")</f>
        <v>Deskera</v>
      </c>
      <c r="B1531" s="17"/>
      <c r="C1531" s="17"/>
      <c r="D1531" s="17"/>
      <c r="E1531" s="17"/>
      <c r="F1531" s="17"/>
      <c r="G1531" s="17"/>
      <c r="H1531" s="17"/>
    </row>
    <row r="1532">
      <c r="A1532" s="17" t="str">
        <f>IFERROR(__xludf.DUMMYFUNCTION("""COMPUTED_VALUE"""),"Dr Reddy’s")</f>
        <v>Dr Reddy’s</v>
      </c>
      <c r="B1532" s="17"/>
      <c r="C1532" s="17"/>
      <c r="D1532" s="17"/>
      <c r="E1532" s="17"/>
      <c r="F1532" s="17"/>
      <c r="G1532" s="17"/>
      <c r="H1532" s="17"/>
    </row>
    <row r="1533">
      <c r="A1533" s="17" t="str">
        <f>IFERROR(__xludf.DUMMYFUNCTION("""COMPUTED_VALUE"""),"E-Ring")</f>
        <v>E-Ring</v>
      </c>
      <c r="B1533" s="17"/>
      <c r="C1533" s="17"/>
      <c r="D1533" s="17"/>
      <c r="E1533" s="17"/>
      <c r="F1533" s="17"/>
      <c r="G1533" s="17"/>
      <c r="H1533" s="17"/>
    </row>
    <row r="1534">
      <c r="A1534" s="17" t="str">
        <f>IFERROR(__xludf.DUMMYFUNCTION("""COMPUTED_VALUE"""),"Ekanek")</f>
        <v>Ekanek</v>
      </c>
      <c r="B1534" s="17"/>
      <c r="C1534" s="17"/>
      <c r="D1534" s="17"/>
      <c r="E1534" s="17"/>
      <c r="F1534" s="17"/>
      <c r="G1534" s="17"/>
      <c r="H1534" s="17"/>
    </row>
    <row r="1535">
      <c r="A1535" s="17" t="str">
        <f>IFERROR(__xludf.DUMMYFUNCTION("""COMPUTED_VALUE"""),"Enphase")</f>
        <v>Enphase</v>
      </c>
      <c r="B1535" s="17"/>
      <c r="C1535" s="17"/>
      <c r="D1535" s="17"/>
      <c r="E1535" s="17"/>
      <c r="F1535" s="17"/>
      <c r="G1535" s="17"/>
      <c r="H1535" s="17"/>
    </row>
    <row r="1536">
      <c r="A1536" s="17" t="str">
        <f>IFERROR(__xludf.DUMMYFUNCTION("""COMPUTED_VALUE"""),"EY GDS")</f>
        <v>EY GDS</v>
      </c>
      <c r="B1536" s="17"/>
      <c r="C1536" s="17"/>
      <c r="D1536" s="17"/>
      <c r="E1536" s="17"/>
      <c r="F1536" s="17"/>
      <c r="G1536" s="17"/>
      <c r="H1536" s="17"/>
    </row>
    <row r="1537">
      <c r="A1537" s="17" t="str">
        <f>IFERROR(__xludf.DUMMYFUNCTION("""COMPUTED_VALUE"""),"Fargey")</f>
        <v>Fargey</v>
      </c>
      <c r="B1537" s="17"/>
      <c r="C1537" s="17"/>
      <c r="D1537" s="17"/>
      <c r="E1537" s="17"/>
      <c r="F1537" s="17"/>
      <c r="G1537" s="17"/>
      <c r="H1537" s="17"/>
    </row>
    <row r="1538">
      <c r="A1538" s="17" t="str">
        <f>IFERROR(__xludf.DUMMYFUNCTION("""COMPUTED_VALUE"""),"FCS Software")</f>
        <v>FCS Software</v>
      </c>
      <c r="B1538" s="17"/>
      <c r="C1538" s="17"/>
      <c r="D1538" s="17"/>
      <c r="E1538" s="17"/>
      <c r="F1538" s="17"/>
      <c r="G1538" s="17"/>
      <c r="H1538" s="17"/>
    </row>
    <row r="1539">
      <c r="A1539" s="17" t="str">
        <f>IFERROR(__xludf.DUMMYFUNCTION("""COMPUTED_VALUE"""),"FN MathLogic")</f>
        <v>FN MathLogic</v>
      </c>
      <c r="B1539" s="17"/>
      <c r="C1539" s="17"/>
      <c r="D1539" s="17"/>
      <c r="E1539" s="17"/>
      <c r="F1539" s="17"/>
      <c r="G1539" s="17"/>
      <c r="H1539" s="17"/>
    </row>
    <row r="1540">
      <c r="A1540" s="17" t="str">
        <f>IFERROR(__xludf.DUMMYFUNCTION("""COMPUTED_VALUE"""),"GE EDP")</f>
        <v>GE EDP</v>
      </c>
      <c r="B1540" s="17"/>
      <c r="C1540" s="17"/>
      <c r="D1540" s="17"/>
      <c r="E1540" s="17"/>
      <c r="F1540" s="17"/>
      <c r="G1540" s="17"/>
      <c r="H1540" s="17"/>
    </row>
    <row r="1541">
      <c r="A1541" s="17" t="str">
        <f>IFERROR(__xludf.DUMMYFUNCTION("""COMPUTED_VALUE"""),"Green Point Technology")</f>
        <v>Green Point Technology</v>
      </c>
      <c r="B1541" s="17"/>
      <c r="C1541" s="17"/>
      <c r="D1541" s="17"/>
      <c r="E1541" s="17"/>
      <c r="F1541" s="17"/>
      <c r="G1541" s="17"/>
      <c r="H1541" s="17"/>
    </row>
    <row r="1542">
      <c r="A1542" s="17" t="str">
        <f>IFERROR(__xludf.DUMMYFUNCTION("""COMPUTED_VALUE"""),"Haber")</f>
        <v>Haber</v>
      </c>
      <c r="B1542" s="17"/>
      <c r="C1542" s="17"/>
      <c r="D1542" s="17"/>
      <c r="E1542" s="17"/>
      <c r="F1542" s="17"/>
      <c r="G1542" s="17"/>
      <c r="H1542" s="17"/>
    </row>
    <row r="1543">
      <c r="A1543" s="27" t="str">
        <f>IFERROR(__xludf.DUMMYFUNCTION("""COMPUTED_VALUE"""),"Housing.com")</f>
        <v>Housing.com</v>
      </c>
      <c r="B1543" s="17"/>
      <c r="C1543" s="17"/>
      <c r="D1543" s="17"/>
      <c r="E1543" s="17"/>
      <c r="F1543" s="17"/>
      <c r="G1543" s="17"/>
      <c r="H1543" s="17"/>
    </row>
    <row r="1544">
      <c r="A1544" s="17" t="str">
        <f>IFERROR(__xludf.DUMMYFUNCTION("""COMPUTED_VALUE"""),"IARC")</f>
        <v>IARC</v>
      </c>
      <c r="B1544" s="17"/>
      <c r="C1544" s="17"/>
      <c r="D1544" s="17"/>
      <c r="E1544" s="17"/>
      <c r="F1544" s="17"/>
      <c r="G1544" s="17"/>
      <c r="H1544" s="17"/>
    </row>
    <row r="1545">
      <c r="A1545" s="17" t="str">
        <f>IFERROR(__xludf.DUMMYFUNCTION("""COMPUTED_VALUE"""),"IIFL")</f>
        <v>IIFL</v>
      </c>
      <c r="B1545" s="17"/>
      <c r="C1545" s="17"/>
      <c r="D1545" s="17"/>
      <c r="E1545" s="17"/>
      <c r="F1545" s="17"/>
      <c r="G1545" s="17"/>
      <c r="H1545" s="17"/>
    </row>
    <row r="1546">
      <c r="A1546" s="17" t="str">
        <f>IFERROR(__xludf.DUMMYFUNCTION("""COMPUTED_VALUE"""),"Innoplexus")</f>
        <v>Innoplexus</v>
      </c>
      <c r="B1546" s="17"/>
      <c r="C1546" s="17"/>
      <c r="D1546" s="17"/>
      <c r="E1546" s="17"/>
      <c r="F1546" s="17"/>
      <c r="G1546" s="17"/>
      <c r="H1546" s="17"/>
    </row>
    <row r="1547">
      <c r="A1547" s="17" t="str">
        <f>IFERROR(__xludf.DUMMYFUNCTION("""COMPUTED_VALUE"""),"Jalan")</f>
        <v>Jalan</v>
      </c>
      <c r="B1547" s="17"/>
      <c r="C1547" s="17"/>
      <c r="D1547" s="17"/>
      <c r="E1547" s="17"/>
      <c r="F1547" s="17"/>
      <c r="G1547" s="17"/>
      <c r="H1547" s="17"/>
    </row>
    <row r="1548">
      <c r="A1548" s="17" t="str">
        <f>IFERROR(__xludf.DUMMYFUNCTION("""COMPUTED_VALUE"""),"Jaguar Land Rover")</f>
        <v>Jaguar Land Rover</v>
      </c>
      <c r="B1548" s="17"/>
      <c r="C1548" s="17"/>
      <c r="D1548" s="17"/>
      <c r="E1548" s="17"/>
      <c r="F1548" s="17"/>
      <c r="G1548" s="17"/>
      <c r="H1548" s="17"/>
    </row>
    <row r="1549">
      <c r="A1549" s="17" t="str">
        <f>IFERROR(__xludf.DUMMYFUNCTION("""COMPUTED_VALUE"""),"Khurana &amp; Khurana")</f>
        <v>Khurana &amp; Khurana</v>
      </c>
      <c r="B1549" s="17"/>
      <c r="C1549" s="17"/>
      <c r="D1549" s="17"/>
      <c r="E1549" s="17"/>
      <c r="F1549" s="17"/>
      <c r="G1549" s="17"/>
      <c r="H1549" s="17"/>
    </row>
    <row r="1550">
      <c r="A1550" s="17" t="str">
        <f>IFERROR(__xludf.DUMMYFUNCTION("""COMPUTED_VALUE"""),"Konica Minolta")</f>
        <v>Konica Minolta</v>
      </c>
      <c r="B1550" s="17"/>
      <c r="C1550" s="17"/>
      <c r="D1550" s="17"/>
      <c r="E1550" s="17"/>
      <c r="F1550" s="17"/>
      <c r="G1550" s="17"/>
      <c r="H1550" s="17"/>
    </row>
    <row r="1551">
      <c r="A1551" s="17" t="str">
        <f>IFERROR(__xludf.DUMMYFUNCTION("""COMPUTED_VALUE"""),"L&amp;T Infotech")</f>
        <v>L&amp;T Infotech</v>
      </c>
      <c r="B1551" s="17"/>
      <c r="C1551" s="17"/>
      <c r="D1551" s="17"/>
      <c r="E1551" s="17"/>
      <c r="F1551" s="17"/>
      <c r="G1551" s="17"/>
      <c r="H1551" s="17"/>
    </row>
    <row r="1552">
      <c r="A1552" s="17" t="str">
        <f>IFERROR(__xludf.DUMMYFUNCTION("""COMPUTED_VALUE"""),"Leam")</f>
        <v>Leam</v>
      </c>
      <c r="B1552" s="17"/>
      <c r="C1552" s="17"/>
      <c r="D1552" s="17"/>
      <c r="E1552" s="17"/>
      <c r="F1552" s="17"/>
      <c r="G1552" s="17"/>
      <c r="H1552" s="17"/>
    </row>
    <row r="1553">
      <c r="A1553" s="17" t="str">
        <f>IFERROR(__xludf.DUMMYFUNCTION("""COMPUTED_VALUE"""),"Legato")</f>
        <v>Legato</v>
      </c>
      <c r="B1553" s="17"/>
      <c r="C1553" s="17"/>
      <c r="D1553" s="17"/>
      <c r="E1553" s="17"/>
      <c r="F1553" s="17"/>
      <c r="G1553" s="17"/>
      <c r="H1553" s="17"/>
    </row>
    <row r="1554">
      <c r="A1554" s="17" t="str">
        <f>IFERROR(__xludf.DUMMYFUNCTION("""COMPUTED_VALUE"""),"Loadshare")</f>
        <v>Loadshare</v>
      </c>
      <c r="B1554" s="17"/>
      <c r="C1554" s="17"/>
      <c r="D1554" s="17"/>
      <c r="E1554" s="17"/>
      <c r="F1554" s="17"/>
      <c r="G1554" s="17"/>
      <c r="H1554" s="17"/>
    </row>
    <row r="1555">
      <c r="A1555" s="17" t="str">
        <f>IFERROR(__xludf.DUMMYFUNCTION("""COMPUTED_VALUE"""),"Lumenci")</f>
        <v>Lumenci</v>
      </c>
      <c r="B1555" s="17"/>
      <c r="C1555" s="17"/>
      <c r="D1555" s="17"/>
      <c r="E1555" s="17"/>
      <c r="F1555" s="17"/>
      <c r="G1555" s="17"/>
      <c r="H1555" s="17"/>
    </row>
    <row r="1556">
      <c r="A1556" s="17" t="str">
        <f>IFERROR(__xludf.DUMMYFUNCTION("""COMPUTED_VALUE"""),"Maco Corp")</f>
        <v>Maco Corp</v>
      </c>
      <c r="B1556" s="17"/>
      <c r="C1556" s="17"/>
      <c r="D1556" s="17"/>
      <c r="E1556" s="17"/>
      <c r="F1556" s="17"/>
      <c r="G1556" s="17"/>
      <c r="H1556" s="17"/>
    </row>
    <row r="1557">
      <c r="A1557" s="17" t="str">
        <f>IFERROR(__xludf.DUMMYFUNCTION("""COMPUTED_VALUE"""),"Mareana")</f>
        <v>Mareana</v>
      </c>
      <c r="B1557" s="17"/>
      <c r="C1557" s="17"/>
      <c r="D1557" s="17"/>
      <c r="E1557" s="17"/>
      <c r="F1557" s="17"/>
      <c r="G1557" s="17"/>
      <c r="H1557" s="17"/>
    </row>
    <row r="1558">
      <c r="A1558" s="17" t="str">
        <f>IFERROR(__xludf.DUMMYFUNCTION("""COMPUTED_VALUE"""),"Mentor Graphics")</f>
        <v>Mentor Graphics</v>
      </c>
      <c r="B1558" s="17"/>
      <c r="C1558" s="17"/>
      <c r="D1558" s="17"/>
      <c r="E1558" s="17"/>
      <c r="F1558" s="17"/>
      <c r="G1558" s="17"/>
      <c r="H1558" s="17"/>
    </row>
    <row r="1559">
      <c r="A1559" s="17" t="str">
        <f>IFERROR(__xludf.DUMMYFUNCTION("""COMPUTED_VALUE"""),"MTX")</f>
        <v>MTX</v>
      </c>
      <c r="B1559" s="17"/>
      <c r="C1559" s="17"/>
      <c r="D1559" s="17"/>
      <c r="E1559" s="17"/>
      <c r="F1559" s="17"/>
      <c r="G1559" s="17"/>
      <c r="H1559" s="17"/>
    </row>
    <row r="1560">
      <c r="A1560" s="17" t="str">
        <f>IFERROR(__xludf.DUMMYFUNCTION("""COMPUTED_VALUE"""),"MX Player")</f>
        <v>MX Player</v>
      </c>
      <c r="B1560" s="17" t="str">
        <f>IFERROR(__xludf.DUMMYFUNCTION("""COMPUTED_VALUE"""),"Karan Bedi")</f>
        <v>Karan Bedi</v>
      </c>
      <c r="C1560" s="17" t="str">
        <f>IFERROR(__xludf.DUMMYFUNCTION("""COMPUTED_VALUE"""),"Director &amp; Head")</f>
        <v>Director &amp; Head</v>
      </c>
      <c r="D1560" s="27" t="str">
        <f>IFERROR(__xludf.DUMMYFUNCTION("""COMPUTED_VALUE"""),"linkedin.com/in/karanbedi")</f>
        <v>linkedin.com/in/karanbedi</v>
      </c>
      <c r="E1560" s="17"/>
      <c r="F1560" s="17" t="str">
        <f>IFERROR(__xludf.DUMMYFUNCTION("""COMPUTED_VALUE"""),"karan@contentflow.in")</f>
        <v>karan@contentflow.in</v>
      </c>
      <c r="G1560" s="17"/>
      <c r="H1560" s="17"/>
    </row>
    <row r="1561">
      <c r="A1561" s="17" t="str">
        <f>IFERROR(__xludf.DUMMYFUNCTION("""COMPUTED_VALUE"""),"Nagarro")</f>
        <v>Nagarro</v>
      </c>
      <c r="B1561" s="17"/>
      <c r="C1561" s="17"/>
      <c r="D1561" s="17"/>
      <c r="E1561" s="17"/>
      <c r="F1561" s="17"/>
      <c r="G1561" s="17"/>
      <c r="H1561" s="17"/>
    </row>
    <row r="1562">
      <c r="A1562" s="17" t="str">
        <f>IFERROR(__xludf.DUMMYFUNCTION("""COMPUTED_VALUE"""),"Naveen Fluorine")</f>
        <v>Naveen Fluorine</v>
      </c>
      <c r="B1562" s="17"/>
      <c r="C1562" s="17"/>
      <c r="D1562" s="17"/>
      <c r="E1562" s="17"/>
      <c r="F1562" s="17"/>
      <c r="G1562" s="17"/>
      <c r="H1562" s="17"/>
    </row>
    <row r="1563">
      <c r="A1563" s="17" t="str">
        <f>IFERROR(__xludf.DUMMYFUNCTION("""COMPUTED_VALUE"""),"Nomura")</f>
        <v>Nomura</v>
      </c>
      <c r="B1563" s="17" t="str">
        <f>IFERROR(__xludf.DUMMYFUNCTION("""COMPUTED_VALUE"""),"Murali Kaundinya")</f>
        <v>Murali Kaundinya</v>
      </c>
      <c r="C1563" s="17" t="str">
        <f>IFERROR(__xludf.DUMMYFUNCTION("""COMPUTED_VALUE"""),"Chief Technology Officer")</f>
        <v>Chief Technology Officer</v>
      </c>
      <c r="D1563" s="27" t="str">
        <f>IFERROR(__xludf.DUMMYFUNCTION("""COMPUTED_VALUE"""),"linkedin.com/in/muralikaundinya")</f>
        <v>linkedin.com/in/muralikaundinya</v>
      </c>
      <c r="E1563" s="17"/>
      <c r="F1563" s="17" t="str">
        <f>IFERROR(__xludf.DUMMYFUNCTION("""COMPUTED_VALUE"""),"muralikaundinya@gmail.com")</f>
        <v>muralikaundinya@gmail.com</v>
      </c>
      <c r="G1563" s="17"/>
      <c r="H1563" s="17"/>
    </row>
    <row r="1564">
      <c r="A1564" s="17" t="str">
        <f>IFERROR(__xludf.DUMMYFUNCTION("""COMPUTED_VALUE"""),"09 Solutions")</f>
        <v>09 Solutions</v>
      </c>
      <c r="B1564" s="17"/>
      <c r="C1564" s="17"/>
      <c r="D1564" s="17"/>
      <c r="E1564" s="17"/>
      <c r="F1564" s="17"/>
      <c r="G1564" s="17"/>
      <c r="H1564" s="17"/>
    </row>
    <row r="1565">
      <c r="A1565" s="17" t="str">
        <f>IFERROR(__xludf.DUMMYFUNCTION("""COMPUTED_VALUE"""),"Oil India")</f>
        <v>Oil India</v>
      </c>
      <c r="B1565" s="17" t="str">
        <f>IFERROR(__xludf.DUMMYFUNCTION("""COMPUTED_VALUE"""),"Dr. Ranjit Rath")</f>
        <v>Dr. Ranjit Rath</v>
      </c>
      <c r="C1565" s="17" t="str">
        <f>IFERROR(__xludf.DUMMYFUNCTION("""COMPUTED_VALUE"""),"C&amp;MD")</f>
        <v>C&amp;MD</v>
      </c>
      <c r="D1565" s="27" t="str">
        <f>IFERROR(__xludf.DUMMYFUNCTION("""COMPUTED_VALUE"""),"linkedin.com/in/dr-ranjit-rath-4a577814")</f>
        <v>linkedin.com/in/dr-ranjit-rath-4a577814</v>
      </c>
      <c r="E1565" s="17"/>
      <c r="F1565" s="17" t="str">
        <f>IFERROR(__xludf.DUMMYFUNCTION("""COMPUTED_VALUE"""),"r.rath@eil.co.in, ranjit.rath@oilindia.in")</f>
        <v>r.rath@eil.co.in, ranjit.rath@oilindia.in</v>
      </c>
      <c r="G1565" s="17"/>
      <c r="H1565" s="17"/>
    </row>
    <row r="1566">
      <c r="A1566" s="17" t="str">
        <f>IFERROR(__xludf.DUMMYFUNCTION("""COMPUTED_VALUE"""),"OnePlus")</f>
        <v>OnePlus</v>
      </c>
      <c r="B1566" s="17" t="str">
        <f>IFERROR(__xludf.DUMMYFUNCTION("""COMPUTED_VALUE"""),"Robin Liu ")</f>
        <v>Robin Liu </v>
      </c>
      <c r="C1566" s="17" t="str">
        <f>IFERROR(__xludf.DUMMYFUNCTION("""COMPUTED_VALUE"""),"CEO &amp; CTO")</f>
        <v>CEO &amp; CTO</v>
      </c>
      <c r="D1566" s="27" t="str">
        <f>IFERROR(__xludf.DUMMYFUNCTION("""COMPUTED_VALUE"""),"linkedin.com/in/robin-liu-3b6100233")</f>
        <v>linkedin.com/in/robin-liu-3b6100233</v>
      </c>
      <c r="E1566" s="17"/>
      <c r="F1566" s="17" t="str">
        <f>IFERROR(__xludf.DUMMYFUNCTION("""COMPUTED_VALUE"""),"robin.liu@oneplus.com, robinliu0526@gmail.com")</f>
        <v>robin.liu@oneplus.com, robinliu0526@gmail.com</v>
      </c>
      <c r="G1566" s="17"/>
      <c r="H1566" s="17"/>
    </row>
    <row r="1567">
      <c r="A1567" s="17" t="str">
        <f>IFERROR(__xludf.DUMMYFUNCTION("""COMPUTED_VALUE"""),"Ormae")</f>
        <v>Ormae</v>
      </c>
      <c r="B1567" s="17" t="str">
        <f>IFERROR(__xludf.DUMMYFUNCTION("""COMPUTED_VALUE"""),"Dr Amit Garg")</f>
        <v>Dr Amit Garg</v>
      </c>
      <c r="C1567" s="17" t="str">
        <f>IFERROR(__xludf.DUMMYFUNCTION("""COMPUTED_VALUE"""),"Co-Founder &amp; CTO")</f>
        <v>Co-Founder &amp; CTO</v>
      </c>
      <c r="D1567" s="27" t="str">
        <f>IFERROR(__xludf.DUMMYFUNCTION("""COMPUTED_VALUE"""),"linkedin.com/in/amitgarg78")</f>
        <v>linkedin.com/in/amitgarg78</v>
      </c>
      <c r="E1567" s="17"/>
      <c r="F1567" s="17" t="str">
        <f>IFERROR(__xludf.DUMMYFUNCTION("""COMPUTED_VALUE"""),"a.g@mdx.ac.ae, garg78@gmail.com, amit@ormae.com")</f>
        <v>a.g@mdx.ac.ae, garg78@gmail.com, amit@ormae.com</v>
      </c>
      <c r="G1567" s="17"/>
      <c r="H1567" s="17"/>
    </row>
    <row r="1568">
      <c r="A1568" s="17" t="str">
        <f>IFERROR(__xludf.DUMMYFUNCTION("""COMPUTED_VALUE"""),"Oskitech")</f>
        <v>Oskitech</v>
      </c>
      <c r="B1568" s="17" t="str">
        <f>IFERROR(__xludf.DUMMYFUNCTION("""COMPUTED_VALUE"""),"Vigyan Singhal")</f>
        <v>Vigyan Singhal</v>
      </c>
      <c r="C1568" s="17" t="str">
        <f>IFERROR(__xludf.DUMMYFUNCTION("""COMPUTED_VALUE"""),"VP")</f>
        <v>VP</v>
      </c>
      <c r="D1568" s="27" t="str">
        <f>IFERROR(__xludf.DUMMYFUNCTION("""COMPUTED_VALUE"""),"linkedin.com/in/vigyansinghal")</f>
        <v>linkedin.com/in/vigyansinghal</v>
      </c>
      <c r="E1568" s="17"/>
      <c r="F1568" s="17" t="str">
        <f>IFERROR(__xludf.DUMMYFUNCTION("""COMPUTED_VALUE"""),"vsinghal@nvidia.com, vigyan@gmail.com")</f>
        <v>vsinghal@nvidia.com, vigyan@gmail.com</v>
      </c>
      <c r="G1568" s="17"/>
      <c r="H1568" s="17"/>
    </row>
    <row r="1569">
      <c r="A1569" s="17" t="str">
        <f>IFERROR(__xludf.DUMMYFUNCTION("""COMPUTED_VALUE"""),"Publicis")</f>
        <v>Publicis</v>
      </c>
      <c r="B1569" s="17" t="str">
        <f>IFERROR(__xludf.DUMMYFUNCTION("""COMPUTED_VALUE"""),"Rakesh Ravuri")</f>
        <v>Rakesh Ravuri</v>
      </c>
      <c r="C1569" s="17" t="str">
        <f>IFERROR(__xludf.DUMMYFUNCTION("""COMPUTED_VALUE"""),"CTO")</f>
        <v>CTO</v>
      </c>
      <c r="D1569" s="27" t="str">
        <f>IFERROR(__xludf.DUMMYFUNCTION("""COMPUTED_VALUE"""),"linkedin.com/in/rakeshravuri")</f>
        <v>linkedin.com/in/rakeshravuri</v>
      </c>
      <c r="E1569" s="17"/>
      <c r="F1569" s="17" t="str">
        <f>IFERROR(__xludf.DUMMYFUNCTION("""COMPUTED_VALUE"""),"rravuri@gmail.com, rravuri@sapient.com")</f>
        <v>rravuri@gmail.com, rravuri@sapient.com</v>
      </c>
      <c r="G1569" s="17"/>
      <c r="H1569" s="17"/>
    </row>
    <row r="1570">
      <c r="A1570" s="17" t="str">
        <f>IFERROR(__xludf.DUMMYFUNCTION("""COMPUTED_VALUE"""),"Quantbox")</f>
        <v>Quantbox</v>
      </c>
      <c r="B1570" s="17" t="str">
        <f>IFERROR(__xludf.DUMMYFUNCTION("""COMPUTED_VALUE"""),"Pankaj Prateek Kewalramani ")</f>
        <v>Pankaj Prateek Kewalramani </v>
      </c>
      <c r="C1570" s="17" t="str">
        <f>IFERROR(__xludf.DUMMYFUNCTION("""COMPUTED_VALUE"""),"CTO")</f>
        <v>CTO</v>
      </c>
      <c r="D1570" s="27" t="str">
        <f>IFERROR(__xludf.DUMMYFUNCTION("""COMPUTED_VALUE"""),"linkedin.com/in/pankajprateek")</f>
        <v>linkedin.com/in/pankajprateek</v>
      </c>
      <c r="E1570" s="17"/>
      <c r="F1570" s="17" t="str">
        <f>IFERROR(__xludf.DUMMYFUNCTION("""COMPUTED_VALUE"""),"pankaj@quantboxtrading.com, pankajprateek20@gmail.com, pankaj200292@gmail.com")</f>
        <v>pankaj@quantboxtrading.com, pankajprateek20@gmail.com, pankaj200292@gmail.com</v>
      </c>
      <c r="G1570" s="17"/>
      <c r="H1570" s="17"/>
    </row>
    <row r="1571">
      <c r="A1571" s="17" t="str">
        <f>IFERROR(__xludf.DUMMYFUNCTION("""COMPUTED_VALUE"""),"Tata Advanced Systems")</f>
        <v>Tata Advanced Systems</v>
      </c>
      <c r="B1571" s="17" t="str">
        <f>IFERROR(__xludf.DUMMYFUNCTION("""COMPUTED_VALUE"""),"Dr. Jitendra Mohan Bhardwaj")</f>
        <v>Dr. Jitendra Mohan Bhardwaj</v>
      </c>
      <c r="C1571" s="17" t="str">
        <f>IFERROR(__xludf.DUMMYFUNCTION("""COMPUTED_VALUE"""),"Global Business Head - IT &amp; Cyber Security")</f>
        <v>Global Business Head - IT &amp; Cyber Security</v>
      </c>
      <c r="D1571" s="27" t="str">
        <f>IFERROR(__xludf.DUMMYFUNCTION("""COMPUTED_VALUE"""),"linkedin.com/in/dr-jitendra-mohan-bhardwaj-9b2410")</f>
        <v>linkedin.com/in/dr-jitendra-mohan-bhardwaj-9b2410</v>
      </c>
      <c r="E1571" s="17"/>
      <c r="F1571" s="17" t="str">
        <f>IFERROR(__xludf.DUMMYFUNCTION("""COMPUTED_VALUE"""),"jitendrab@gmail.com, jitendra.mohan@niit-tech.com, dbhardwaj@tataadvancedsystems.com")</f>
        <v>jitendrab@gmail.com, jitendra.mohan@niit-tech.com, dbhardwaj@tataadvancedsystems.com</v>
      </c>
      <c r="G1571" s="17"/>
      <c r="H1571" s="17"/>
    </row>
    <row r="1572">
      <c r="A1572" s="17" t="str">
        <f>IFERROR(__xludf.DUMMYFUNCTION("""COMPUTED_VALUE"""),"Tata AIG")</f>
        <v>Tata AIG</v>
      </c>
      <c r="B1572" s="17"/>
      <c r="C1572" s="17"/>
      <c r="D1572" s="17"/>
      <c r="E1572" s="17"/>
      <c r="F1572" s="17"/>
      <c r="G1572" s="17"/>
      <c r="H1572" s="17"/>
    </row>
    <row r="1573">
      <c r="A1573" s="17" t="str">
        <f>IFERROR(__xludf.DUMMYFUNCTION("""COMPUTED_VALUE"""),"Tata Projects")</f>
        <v>Tata Projects</v>
      </c>
      <c r="B1573" s="17"/>
      <c r="C1573" s="17"/>
      <c r="D1573" s="17"/>
      <c r="E1573" s="17"/>
      <c r="F1573" s="17"/>
      <c r="G1573" s="17"/>
      <c r="H1573" s="17"/>
    </row>
    <row r="1574">
      <c r="A1574" s="17" t="str">
        <f>IFERROR(__xludf.DUMMYFUNCTION("""COMPUTED_VALUE"""),"TCG")</f>
        <v>TCG</v>
      </c>
      <c r="B1574" s="17"/>
      <c r="C1574" s="17"/>
      <c r="D1574" s="17"/>
      <c r="E1574" s="17"/>
      <c r="F1574" s="17"/>
      <c r="G1574" s="17"/>
      <c r="H1574" s="17"/>
    </row>
    <row r="1575">
      <c r="A1575" s="17" t="str">
        <f>IFERROR(__xludf.DUMMYFUNCTION("""COMPUTED_VALUE"""),"TSMC")</f>
        <v>TSMC</v>
      </c>
      <c r="B1575" s="17"/>
      <c r="C1575" s="17"/>
      <c r="D1575" s="17"/>
      <c r="E1575" s="17"/>
      <c r="F1575" s="17"/>
      <c r="G1575" s="17"/>
      <c r="H1575" s="17"/>
    </row>
    <row r="1576">
      <c r="A1576" s="17" t="str">
        <f>IFERROR(__xludf.DUMMYFUNCTION("""COMPUTED_VALUE"""),"TVS Credit")</f>
        <v>TVS Credit</v>
      </c>
      <c r="B1576" s="17" t="str">
        <f>IFERROR(__xludf.DUMMYFUNCTION("""COMPUTED_VALUE"""),"Soujanya Aluri")</f>
        <v>Soujanya Aluri</v>
      </c>
      <c r="C1576" s="17" t="str">
        <f>IFERROR(__xludf.DUMMYFUNCTION("""COMPUTED_VALUE"""),"CTO")</f>
        <v>CTO</v>
      </c>
      <c r="D1576" s="27" t="str">
        <f>IFERROR(__xludf.DUMMYFUNCTION("""COMPUTED_VALUE"""),"linkedin.com/in/soujanya-aluri-8406b266")</f>
        <v>linkedin.com/in/soujanya-aluri-8406b266</v>
      </c>
      <c r="E1576" s="17"/>
      <c r="F1576" s="17" t="str">
        <f>IFERROR(__xludf.DUMMYFUNCTION("""COMPUTED_VALUE"""),"soujanya.aluri@tvscredit.com, alurisou@gmail.com")</f>
        <v>soujanya.aluri@tvscredit.com, alurisou@gmail.com</v>
      </c>
      <c r="G1576" s="17"/>
      <c r="H1576" s="17"/>
    </row>
    <row r="1577">
      <c r="A1577" s="17" t="str">
        <f>IFERROR(__xludf.DUMMYFUNCTION("""COMPUTED_VALUE"""),"TVS Motor")</f>
        <v>TVS Motor</v>
      </c>
      <c r="B1577" s="17" t="str">
        <f>IFERROR(__xludf.DUMMYFUNCTION("""COMPUTED_VALUE"""),"Mahesh Calava")</f>
        <v>Mahesh Calava</v>
      </c>
      <c r="C1577" s="17" t="str">
        <f>IFERROR(__xludf.DUMMYFUNCTION("""COMPUTED_VALUE"""),"Chief Digital &amp; AI Officer")</f>
        <v>Chief Digital &amp; AI Officer</v>
      </c>
      <c r="D1577" s="27" t="str">
        <f>IFERROR(__xludf.DUMMYFUNCTION("""COMPUTED_VALUE"""),"linkedin.com/in/maheshcalavai")</f>
        <v>linkedin.com/in/maheshcalavai</v>
      </c>
      <c r="E1577" s="17"/>
      <c r="F1577" s="17" t="str">
        <f>IFERROR(__xludf.DUMMYFUNCTION("""COMPUTED_VALUE"""),"mahesh@tvsmotor.com")</f>
        <v>mahesh@tvsmotor.com</v>
      </c>
      <c r="G1577" s="17"/>
      <c r="H1577" s="17"/>
    </row>
    <row r="1578">
      <c r="A1578" s="17" t="str">
        <f>IFERROR(__xludf.DUMMYFUNCTION("""COMPUTED_VALUE"""),"Valudence")</f>
        <v>Valudence</v>
      </c>
      <c r="B1578" s="17"/>
      <c r="C1578" s="17"/>
      <c r="D1578" s="17"/>
      <c r="E1578" s="17"/>
      <c r="F1578" s="17"/>
      <c r="G1578" s="17"/>
      <c r="H1578" s="17"/>
    </row>
    <row r="1579">
      <c r="A1579" s="17" t="str">
        <f>IFERROR(__xludf.DUMMYFUNCTION("""COMPUTED_VALUE"""),"VConstruct")</f>
        <v>VConstruct</v>
      </c>
      <c r="B1579" s="17"/>
      <c r="C1579" s="17"/>
      <c r="D1579" s="17"/>
      <c r="E1579" s="17"/>
      <c r="F1579" s="17"/>
      <c r="G1579" s="17"/>
      <c r="H1579" s="17"/>
    </row>
    <row r="1580">
      <c r="A1580" s="17" t="str">
        <f>IFERROR(__xludf.DUMMYFUNCTION("""COMPUTED_VALUE"""),"Vehera")</f>
        <v>Vehera</v>
      </c>
      <c r="B1580" s="17"/>
      <c r="C1580" s="17"/>
      <c r="D1580" s="17"/>
      <c r="E1580" s="17"/>
      <c r="F1580" s="17"/>
      <c r="G1580" s="17"/>
      <c r="H1580" s="17"/>
    </row>
    <row r="1581">
      <c r="A1581" s="17" t="str">
        <f>IFERROR(__xludf.DUMMYFUNCTION("""COMPUTED_VALUE"""),"Western Digital")</f>
        <v>Western Digital</v>
      </c>
      <c r="B1581" s="17"/>
      <c r="C1581" s="17"/>
      <c r="D1581" s="17"/>
      <c r="E1581" s="17"/>
      <c r="F1581" s="17"/>
      <c r="G1581" s="17"/>
      <c r="H1581" s="17"/>
    </row>
    <row r="1582">
      <c r="A1582" s="17" t="str">
        <f>IFERROR(__xludf.DUMMYFUNCTION("""COMPUTED_VALUE"""),"WorkApps")</f>
        <v>WorkApps</v>
      </c>
      <c r="B1582" s="17"/>
      <c r="C1582" s="17"/>
      <c r="D1582" s="17"/>
      <c r="E1582" s="17"/>
      <c r="F1582" s="17"/>
      <c r="G1582" s="17"/>
      <c r="H1582" s="17"/>
    </row>
    <row r="1583">
      <c r="A1583" s="17" t="str">
        <f>IFERROR(__xludf.DUMMYFUNCTION("""COMPUTED_VALUE"""),"ZS Associates")</f>
        <v>ZS Associates</v>
      </c>
      <c r="B1583" s="17"/>
      <c r="C1583" s="17"/>
      <c r="D1583" s="17"/>
      <c r="E1583" s="17"/>
      <c r="F1583" s="17"/>
      <c r="G1583" s="17"/>
      <c r="H1583" s="17"/>
    </row>
    <row r="1584">
      <c r="A1584" s="17" t="str">
        <f>IFERROR(__xludf.DUMMYFUNCTION("""COMPUTED_VALUE"""),"Zunroof")</f>
        <v>Zunroof</v>
      </c>
      <c r="B1584" s="17" t="str">
        <f>IFERROR(__xludf.DUMMYFUNCTION("""COMPUTED_VALUE"""),"Sushant Sachan")</f>
        <v>Sushant Sachan</v>
      </c>
      <c r="C1584" s="17" t="str">
        <f>IFERROR(__xludf.DUMMYFUNCTION("""COMPUTED_VALUE"""),"Founder")</f>
        <v>Founder</v>
      </c>
      <c r="D1584" s="27" t="str">
        <f>IFERROR(__xludf.DUMMYFUNCTION("""COMPUTED_VALUE"""),"linkedin.com/in/sushant-sachan-82284a4")</f>
        <v>linkedin.com/in/sushant-sachan-82284a4</v>
      </c>
      <c r="E1584" s="17"/>
      <c r="F1584" s="17" t="str">
        <f>IFERROR(__xludf.DUMMYFUNCTION("""COMPUTED_VALUE"""),"sushant.sachan@zunroof.com, sachan.sushant@gmail.com
")</f>
        <v>sushant.sachan@zunroof.com, sachan.sushant@gmail.com
</v>
      </c>
      <c r="G1584" s="17"/>
      <c r="H1584" s="17"/>
    </row>
    <row r="1585">
      <c r="A1585" s="17" t="str">
        <f>IFERROR(__xludf.DUMMYFUNCTION("""COMPUTED_VALUE"""),"State Bank of India (SBI) ")</f>
        <v>State Bank of India (SBI) </v>
      </c>
      <c r="B1585" s="17" t="str">
        <f>IFERROR(__xludf.DUMMYFUNCTION("""COMPUTED_VALUE"""),"Balaji Rajagopalan")</f>
        <v>Balaji Rajagopalan</v>
      </c>
      <c r="C1585" s="17" t="str">
        <f>IFERROR(__xludf.DUMMYFUNCTION("""COMPUTED_VALUE"""),"CTO")</f>
        <v>CTO</v>
      </c>
      <c r="D1585" s="27" t="str">
        <f>IFERROR(__xludf.DUMMYFUNCTION("""COMPUTED_VALUE"""),"linkedin.com/in/balaji-rajagopalan-6a1ab423")</f>
        <v>linkedin.com/in/balaji-rajagopalan-6a1ab423</v>
      </c>
      <c r="E1585" s="17"/>
      <c r="F1585" s="17" t="str">
        <f>IFERROR(__xludf.DUMMYFUNCTION("""COMPUTED_VALUE"""),"balaji.r@sbi.co.in")</f>
        <v>balaji.r@sbi.co.in</v>
      </c>
      <c r="G1585" s="17"/>
      <c r="H1585" s="17"/>
    </row>
    <row r="1586">
      <c r="A1586" s="17" t="str">
        <f>IFERROR(__xludf.DUMMYFUNCTION("""COMPUTED_VALUE"""),"Bank of Baroda")</f>
        <v>Bank of Baroda</v>
      </c>
      <c r="B1586" s="17" t="str">
        <f>IFERROR(__xludf.DUMMYFUNCTION("""COMPUTED_VALUE"""),"Ajayakumar K R")</f>
        <v>Ajayakumar K R</v>
      </c>
      <c r="C1586" s="17" t="str">
        <f>IFERROR(__xludf.DUMMYFUNCTION("""COMPUTED_VALUE"""),"CTO")</f>
        <v>CTO</v>
      </c>
      <c r="D1586" s="27" t="str">
        <f>IFERROR(__xludf.DUMMYFUNCTION("""COMPUTED_VALUE"""),"linkedin.com/in/ajayakumar-k-r-76682817")</f>
        <v>linkedin.com/in/ajayakumar-k-r-76682817</v>
      </c>
      <c r="E1586" s="17"/>
      <c r="F1586" s="17" t="str">
        <f>IFERROR(__xludf.DUMMYFUNCTION("""COMPUTED_VALUE"""),"ajayakumar.r@bankofbaroda.com")</f>
        <v>ajayakumar.r@bankofbaroda.com</v>
      </c>
      <c r="G1586" s="17"/>
      <c r="H1586" s="17"/>
    </row>
    <row r="1587">
      <c r="A1587" s="17" t="str">
        <f>IFERROR(__xludf.DUMMYFUNCTION("""COMPUTED_VALUE"""),"Punjab National Bank")</f>
        <v>Punjab National Bank</v>
      </c>
      <c r="B1587" s="17"/>
      <c r="C1587" s="17"/>
      <c r="D1587" s="17"/>
      <c r="E1587" s="17"/>
      <c r="F1587" s="17"/>
      <c r="G1587" s="17"/>
      <c r="H1587" s="17"/>
    </row>
    <row r="1588">
      <c r="A1588" s="17" t="str">
        <f>IFERROR(__xludf.DUMMYFUNCTION("""COMPUTED_VALUE"""),"Canara Bank")</f>
        <v>Canara Bank</v>
      </c>
      <c r="B1588" s="17" t="str">
        <f>IFERROR(__xludf.DUMMYFUNCTION("""COMPUTED_VALUE"""),"Deepesh Gosavi")</f>
        <v>Deepesh Gosavi</v>
      </c>
      <c r="C1588" s="17" t="str">
        <f>IFERROR(__xludf.DUMMYFUNCTION("""COMPUTED_VALUE"""),"CTO")</f>
        <v>CTO</v>
      </c>
      <c r="D1588" s="27" t="str">
        <f>IFERROR(__xludf.DUMMYFUNCTION("""COMPUTED_VALUE"""),"linkedin.com/in/deepesh-gosavi-3438027")</f>
        <v>linkedin.com/in/deepesh-gosavi-3438027</v>
      </c>
      <c r="E1588" s="17"/>
      <c r="F1588" s="17" t="str">
        <f>IFERROR(__xludf.DUMMYFUNCTION("""COMPUTED_VALUE"""),"deepesh.gosavi@canararobeco.com")</f>
        <v>deepesh.gosavi@canararobeco.com</v>
      </c>
      <c r="G1588" s="17"/>
      <c r="H1588" s="17"/>
    </row>
    <row r="1589">
      <c r="A1589" s="17" t="str">
        <f>IFERROR(__xludf.DUMMYFUNCTION("""COMPUTED_VALUE""")," Union Bank of India")</f>
        <v> Union Bank of India</v>
      </c>
      <c r="B1589" s="17" t="str">
        <f>IFERROR(__xludf.DUMMYFUNCTION("""COMPUTED_VALUE"""),"Anil Kuril")</f>
        <v>Anil Kuril</v>
      </c>
      <c r="C1589" s="17" t="str">
        <f>IFERROR(__xludf.DUMMYFUNCTION("""COMPUTED_VALUE"""),"CISO &amp; Head of DPO")</f>
        <v>CISO &amp; Head of DPO</v>
      </c>
      <c r="D1589" s="27" t="str">
        <f>IFERROR(__xludf.DUMMYFUNCTION("""COMPUTED_VALUE"""),"linkedin.com/in/anilkuril")</f>
        <v>linkedin.com/in/anilkuril</v>
      </c>
      <c r="E1589" s="17"/>
      <c r="F1589" s="17" t="str">
        <f>IFERROR(__xludf.DUMMYFUNCTION("""COMPUTED_VALUE"""),"anilkuril@unionbankofindia.com")</f>
        <v>anilkuril@unionbankofindia.com</v>
      </c>
      <c r="G1589" s="17"/>
      <c r="H1589" s="17"/>
    </row>
    <row r="1590">
      <c r="A1590" s="17" t="str">
        <f>IFERROR(__xludf.DUMMYFUNCTION("""COMPUTED_VALUE""")," Indian Bank")</f>
        <v> Indian Bank</v>
      </c>
      <c r="B1590" s="17" t="str">
        <f>IFERROR(__xludf.DUMMYFUNCTION("""COMPUTED_VALUE"""),"Sathish Prabu ")</f>
        <v>Sathish Prabu </v>
      </c>
      <c r="C1590" s="17" t="str">
        <f>IFERROR(__xludf.DUMMYFUNCTION("""COMPUTED_VALUE"""),"CTO")</f>
        <v>CTO</v>
      </c>
      <c r="D1590" s="27" t="str">
        <f>IFERROR(__xludf.DUMMYFUNCTION("""COMPUTED_VALUE"""),"linkedin.com/in/sathish-prabu-b6a1425")</f>
        <v>linkedin.com/in/sathish-prabu-b6a1425</v>
      </c>
      <c r="E1590" s="17"/>
      <c r="F1590" s="17" t="str">
        <f>IFERROR(__xludf.DUMMYFUNCTION("""COMPUTED_VALUE"""),"sathishprabu@igssl.co.in")</f>
        <v>sathishprabu@igssl.co.in</v>
      </c>
      <c r="G1590" s="17"/>
      <c r="H1590" s="17"/>
    </row>
    <row r="1591">
      <c r="A1591" s="17" t="str">
        <f>IFERROR(__xludf.DUMMYFUNCTION("""COMPUTED_VALUE"""),"IDBI Bank")</f>
        <v>IDBI Bank</v>
      </c>
      <c r="B1591" s="17" t="str">
        <f>IFERROR(__xludf.DUMMYFUNCTION("""COMPUTED_VALUE"""),"Mohit Nanda")</f>
        <v>Mohit Nanda</v>
      </c>
      <c r="C1591" s="17" t="str">
        <f>IFERROR(__xludf.DUMMYFUNCTION("""COMPUTED_VALUE"""),"CTO")</f>
        <v>CTO</v>
      </c>
      <c r="D1591" s="27" t="str">
        <f>IFERROR(__xludf.DUMMYFUNCTION("""COMPUTED_VALUE"""),"linkedin.com/in/mohit-nanda-6874299")</f>
        <v>linkedin.com/in/mohit-nanda-6874299</v>
      </c>
      <c r="E1591" s="17"/>
      <c r="F1591" s="17" t="str">
        <f>IFERROR(__xludf.DUMMYFUNCTION("""COMPUTED_VALUE"""),"mohit.nanda@indusind.com, mohitbenz@yahoo.co.in")</f>
        <v>mohit.nanda@indusind.com, mohitbenz@yahoo.co.in</v>
      </c>
      <c r="G1591" s="17"/>
      <c r="H1591" s="17"/>
    </row>
    <row r="1592">
      <c r="A1592" s="17" t="str">
        <f>IFERROR(__xludf.DUMMYFUNCTION("""COMPUTED_VALUE"""),"IndusInd Bank")</f>
        <v>IndusInd Bank</v>
      </c>
      <c r="B1592" s="17" t="str">
        <f>IFERROR(__xludf.DUMMYFUNCTION("""COMPUTED_VALUE"""),"Upendra Chaturvedi")</f>
        <v>Upendra Chaturvedi</v>
      </c>
      <c r="C1592" s="17"/>
      <c r="D1592" s="27" t="str">
        <f>IFERROR(__xludf.DUMMYFUNCTION("""COMPUTED_VALUE"""),"linkedin.com/in/upendrachaturvedi")</f>
        <v>linkedin.com/in/upendrachaturvedi</v>
      </c>
      <c r="E1592" s="17"/>
      <c r="F1592" s="17" t="str">
        <f>IFERROR(__xludf.DUMMYFUNCTION("""COMPUTED_VALUE"""),"upendra.chaturvedi@indusind.com")</f>
        <v>upendra.chaturvedi@indusind.com</v>
      </c>
      <c r="G1592" s="17"/>
      <c r="H1592" s="17"/>
    </row>
    <row r="1593">
      <c r="A1593" s="17" t="str">
        <f>IFERROR(__xludf.DUMMYFUNCTION("""COMPUTED_VALUE"""),"Yes Bank")</f>
        <v>Yes Bank</v>
      </c>
      <c r="B1593" s="17" t="str">
        <f>IFERROR(__xludf.DUMMYFUNCTION("""COMPUTED_VALUE"""),"Pavan Agrawal ")</f>
        <v>Pavan Agrawal </v>
      </c>
      <c r="C1593" s="17" t="str">
        <f>IFERROR(__xludf.DUMMYFUNCTION("""COMPUTED_VALUE"""),"CTO")</f>
        <v>CTO</v>
      </c>
      <c r="D1593" s="27" t="str">
        <f>IFERROR(__xludf.DUMMYFUNCTION("""COMPUTED_VALUE"""),"linkedin.com/in/pavan-agrawal-a9a8a04")</f>
        <v>linkedin.com/in/pavan-agrawal-a9a8a04</v>
      </c>
      <c r="E1593" s="17"/>
      <c r="F1593" s="17" t="str">
        <f>IFERROR(__xludf.DUMMYFUNCTION("""COMPUTED_VALUE"""),"pavan.agrawal@yesbank.in")</f>
        <v>pavan.agrawal@yesbank.in</v>
      </c>
      <c r="G1593" s="17"/>
      <c r="H1593" s="17"/>
    </row>
    <row r="1594">
      <c r="A1594" s="17" t="str">
        <f>IFERROR(__xludf.DUMMYFUNCTION("""COMPUTED_VALUE"""),"Federal Bank")</f>
        <v>Federal Bank</v>
      </c>
      <c r="B1594" s="17" t="str">
        <f>IFERROR(__xludf.DUMMYFUNCTION("""COMPUTED_VALUE"""),"Sumoth C")</f>
        <v>Sumoth C</v>
      </c>
      <c r="C1594" s="17" t="str">
        <f>IFERROR(__xludf.DUMMYFUNCTION("""COMPUTED_VALUE"""),"Fintech Partnership Head")</f>
        <v>Fintech Partnership Head</v>
      </c>
      <c r="D1594" s="27" t="str">
        <f>IFERROR(__xludf.DUMMYFUNCTION("""COMPUTED_VALUE"""),"linkedin.com/in/sumoth-c-6a8b5a9")</f>
        <v>linkedin.com/in/sumoth-c-6a8b5a9</v>
      </c>
      <c r="E1594" s="17"/>
      <c r="F1594" s="17" t="str">
        <f>IFERROR(__xludf.DUMMYFUNCTION("""COMPUTED_VALUE"""),"sumothc@federalbank.co.in")</f>
        <v>sumothc@federalbank.co.in</v>
      </c>
      <c r="G1594" s="17"/>
      <c r="H1594" s="17"/>
    </row>
    <row r="1595">
      <c r="A1595" s="17" t="str">
        <f>IFERROR(__xludf.DUMMYFUNCTION("""COMPUTED_VALUE""")," IDFC First Bank")</f>
        <v> IDFC First Bank</v>
      </c>
      <c r="B1595" s="17" t="str">
        <f>IFERROR(__xludf.DUMMYFUNCTION("""COMPUTED_VALUE"""),"Sanjay Narkar")</f>
        <v>Sanjay Narkar</v>
      </c>
      <c r="C1595" s="17" t="str">
        <f>IFERROR(__xludf.DUMMYFUNCTION("""COMPUTED_VALUE"""),"Chief Technology Officer")</f>
        <v>Chief Technology Officer</v>
      </c>
      <c r="D1595" s="27" t="str">
        <f>IFERROR(__xludf.DUMMYFUNCTION("""COMPUTED_VALUE"""),"linkedin.com/in/sanjay-narkar-1497271bb")</f>
        <v>linkedin.com/in/sanjay-narkar-1497271bb</v>
      </c>
      <c r="E1595" s="17"/>
      <c r="F1595" s="17" t="str">
        <f>IFERROR(__xludf.DUMMYFUNCTION("""COMPUTED_VALUE"""),"sanjay.n@idfcfirstbank.com")</f>
        <v>sanjay.n@idfcfirstbank.com</v>
      </c>
      <c r="G1595" s="17"/>
      <c r="H1595" s="17"/>
    </row>
    <row r="1596">
      <c r="A1596" s="17" t="str">
        <f>IFERROR(__xludf.DUMMYFUNCTION("""COMPUTED_VALUE"""),"Clix Capital")</f>
        <v>Clix Capital</v>
      </c>
      <c r="B1596" s="17" t="str">
        <f>IFERROR(__xludf.DUMMYFUNCTION("""COMPUTED_VALUE"""),"Vijaykumar Ramakrishna")</f>
        <v>Vijaykumar Ramakrishna</v>
      </c>
      <c r="C1596" s="17" t="str">
        <f>IFERROR(__xludf.DUMMYFUNCTION("""COMPUTED_VALUE"""),"CTO")</f>
        <v>CTO</v>
      </c>
      <c r="D1596" s="27" t="str">
        <f>IFERROR(__xludf.DUMMYFUNCTION("""COMPUTED_VALUE"""),"linkedin.com/in/vijaykumar-ramakrishna-8414b7b")</f>
        <v>linkedin.com/in/vijaykumar-ramakrishna-8414b7b</v>
      </c>
      <c r="E1596" s="17"/>
      <c r="F1596" s="17" t="str">
        <f>IFERROR(__xludf.DUMMYFUNCTION("""COMPUTED_VALUE"""),"vijaykumar.ramakrishna@clix.capital")</f>
        <v>vijaykumar.ramakrishna@clix.capital</v>
      </c>
      <c r="G1596" s="17"/>
      <c r="H1596" s="17"/>
    </row>
    <row r="1597">
      <c r="A1597" s="17" t="str">
        <f>IFERROR(__xludf.DUMMYFUNCTION("""COMPUTED_VALUE"""),"Kotak Mahindra Bank")</f>
        <v>Kotak Mahindra Bank</v>
      </c>
      <c r="B1597" s="17" t="str">
        <f>IFERROR(__xludf.DUMMYFUNCTION("""COMPUTED_VALUE"""),"Nish Lathia")</f>
        <v>Nish Lathia</v>
      </c>
      <c r="C1597" s="17" t="str">
        <f>IFERROR(__xludf.DUMMYFUNCTION("""COMPUTED_VALUE"""),"CTO")</f>
        <v>CTO</v>
      </c>
      <c r="D1597" s="27" t="str">
        <f>IFERROR(__xludf.DUMMYFUNCTION("""COMPUTED_VALUE"""),"linkedin.com/in/nish-lathia")</f>
        <v>linkedin.com/in/nish-lathia</v>
      </c>
      <c r="E1597" s="17"/>
      <c r="F1597" s="17" t="str">
        <f>IFERROR(__xludf.DUMMYFUNCTION("""COMPUTED_VALUE"""),"lathia@gmail.com")</f>
        <v>lathia@gmail.com</v>
      </c>
      <c r="G1597" s="17"/>
      <c r="H1597" s="17"/>
    </row>
    <row r="1598">
      <c r="A1598" s="17" t="str">
        <f>IFERROR(__xludf.DUMMYFUNCTION("""COMPUTED_VALUE"""),"Axis Finance Limited")</f>
        <v>Axis Finance Limited</v>
      </c>
      <c r="B1598" s="17" t="str">
        <f>IFERROR(__xludf.DUMMYFUNCTION("""COMPUTED_VALUE"""),"Naval Lad")</f>
        <v>Naval Lad</v>
      </c>
      <c r="C1598" s="17" t="str">
        <f>IFERROR(__xludf.DUMMYFUNCTION("""COMPUTED_VALUE"""),"CTO")</f>
        <v>CTO</v>
      </c>
      <c r="D1598" s="27" t="str">
        <f>IFERROR(__xludf.DUMMYFUNCTION("""COMPUTED_VALUE"""),"linkedin.com/in/naval-lad-20a476aa")</f>
        <v>linkedin.com/in/naval-lad-20a476aa</v>
      </c>
      <c r="E1598" s="17"/>
      <c r="F1598" s="17" t="str">
        <f>IFERROR(__xludf.DUMMYFUNCTION("""COMPUTED_VALUE"""),"navalklad@gmail.com")</f>
        <v>navalklad@gmail.com</v>
      </c>
      <c r="G1598" s="17"/>
      <c r="H1598" s="17"/>
    </row>
    <row r="1599">
      <c r="A1599" s="17" t="str">
        <f>IFERROR(__xludf.DUMMYFUNCTION("""COMPUTED_VALUE"""),"Axis Bank")</f>
        <v>Axis Bank</v>
      </c>
      <c r="B1599" s="17" t="str">
        <f>IFERROR(__xludf.DUMMYFUNCTION("""COMPUTED_VALUE"""),"Mukul Jain ")</f>
        <v>Mukul Jain </v>
      </c>
      <c r="C1599" s="17" t="str">
        <f>IFERROR(__xludf.DUMMYFUNCTION("""COMPUTED_VALUE"""),"CTO")</f>
        <v>CTO</v>
      </c>
      <c r="D1599" s="27" t="str">
        <f>IFERROR(__xludf.DUMMYFUNCTION("""COMPUTED_VALUE"""),"linkedin.com/in/mukuljain1")</f>
        <v>linkedin.com/in/mukuljain1</v>
      </c>
      <c r="E1599" s="17"/>
      <c r="F1599" s="17" t="str">
        <f>IFERROR(__xludf.DUMMYFUNCTION("""COMPUTED_VALUE"""),"mukul_jain1@yahoo.com, mukul.jain@maxlifeinsurance.com")</f>
        <v>mukul_jain1@yahoo.com, mukul.jain@maxlifeinsurance.com</v>
      </c>
      <c r="G1599" s="17"/>
      <c r="H1599" s="17"/>
    </row>
    <row r="1600">
      <c r="A1600" s="17" t="str">
        <f>IFERROR(__xludf.DUMMYFUNCTION("""COMPUTED_VALUE"""),"SBI Life Insurance")</f>
        <v>SBI Life Insurance</v>
      </c>
      <c r="B1600" s="17" t="str">
        <f>IFERROR(__xludf.DUMMYFUNCTION("""COMPUTED_VALUE"""),"Durgadas Garlapati")</f>
        <v>Durgadas Garlapati</v>
      </c>
      <c r="C1600" s="17" t="str">
        <f>IFERROR(__xludf.DUMMYFUNCTION("""COMPUTED_VALUE"""),"President - Operations &amp; IT")</f>
        <v>President - Operations &amp; IT</v>
      </c>
      <c r="D1600" s="27" t="str">
        <f>IFERROR(__xludf.DUMMYFUNCTION("""COMPUTED_VALUE"""),"linkedin.com/in/durgadas-garlapati-3ab1956b")</f>
        <v>linkedin.com/in/durgadas-garlapati-3ab1956b</v>
      </c>
      <c r="E1600" s="17"/>
      <c r="F1600" s="17" t="str">
        <f>IFERROR(__xludf.DUMMYFUNCTION("""COMPUTED_VALUE"""),"gdurgadas@gmail.com")</f>
        <v>gdurgadas@gmail.com</v>
      </c>
      <c r="G1600" s="17"/>
      <c r="H1600" s="17"/>
    </row>
    <row r="1601">
      <c r="A1601" s="17" t="str">
        <f>IFERROR(__xludf.DUMMYFUNCTION("""COMPUTED_VALUE"""),"HDFC Life Insurance")</f>
        <v>HDFC Life Insurance</v>
      </c>
      <c r="B1601" s="17" t="str">
        <f>IFERROR(__xludf.DUMMYFUNCTION("""COMPUTED_VALUE"""),"Rohit Kilam")</f>
        <v>Rohit Kilam</v>
      </c>
      <c r="C1601" s="17" t="str">
        <f>IFERROR(__xludf.DUMMYFUNCTION("""COMPUTED_VALUE"""),"CTO")</f>
        <v>CTO</v>
      </c>
      <c r="D1601" s="27" t="str">
        <f>IFERROR(__xludf.DUMMYFUNCTION("""COMPUTED_VALUE"""),"linkedin.com/in/rohitkilam")</f>
        <v>linkedin.com/in/rohitkilam</v>
      </c>
      <c r="E1601" s="17"/>
      <c r="F1601" s="17" t="str">
        <f>IFERROR(__xludf.DUMMYFUNCTION("""COMPUTED_VALUE"""),"rohitkilam@gmail.com")</f>
        <v>rohitkilam@gmail.com</v>
      </c>
      <c r="G1601" s="17"/>
      <c r="H1601" s="17"/>
    </row>
    <row r="1602">
      <c r="A1602" s="17" t="str">
        <f>IFERROR(__xludf.DUMMYFUNCTION("""COMPUTED_VALUE"""),"ICICI Prudential Life Insurance")</f>
        <v>ICICI Prudential Life Insurance</v>
      </c>
      <c r="B1602" s="17" t="str">
        <f>IFERROR(__xludf.DUMMYFUNCTION("""COMPUTED_VALUE"""),"Anant Deshmukh")</f>
        <v>Anant Deshmukh</v>
      </c>
      <c r="C1602" s="17" t="str">
        <f>IFERROR(__xludf.DUMMYFUNCTION("""COMPUTED_VALUE"""),"CTO")</f>
        <v>CTO</v>
      </c>
      <c r="D1602" s="27" t="str">
        <f>IFERROR(__xludf.DUMMYFUNCTION("""COMPUTED_VALUE"""),"linkedin.com/in/anant-deshmukh")</f>
        <v>linkedin.com/in/anant-deshmukh</v>
      </c>
      <c r="E1602" s="17"/>
      <c r="F1602" s="17" t="str">
        <f>IFERROR(__xludf.DUMMYFUNCTION("""COMPUTED_VALUE"""),"anant_deshmukh@icicipruamc.com")</f>
        <v>anant_deshmukh@icicipruamc.com</v>
      </c>
      <c r="G1602" s="17"/>
      <c r="H1602" s="17"/>
    </row>
    <row r="1603">
      <c r="A1603" s="17" t="str">
        <f>IFERROR(__xludf.DUMMYFUNCTION("""COMPUTED_VALUE"""),"Bajaj Finserv")</f>
        <v>Bajaj Finserv</v>
      </c>
      <c r="B1603" s="17" t="str">
        <f>IFERROR(__xludf.DUMMYFUNCTION("""COMPUTED_VALUE"""),"Anurag Vohra")</f>
        <v>Anurag Vohra</v>
      </c>
      <c r="C1603" s="17" t="str">
        <f>IFERROR(__xludf.DUMMYFUNCTION("""COMPUTED_VALUE"""),"CTO")</f>
        <v>CTO</v>
      </c>
      <c r="D1603" s="27" t="str">
        <f>IFERROR(__xludf.DUMMYFUNCTION("""COMPUTED_VALUE"""),"linkedin.com/in/anurag-vohra-6561352")</f>
        <v>linkedin.com/in/anurag-vohra-6561352</v>
      </c>
      <c r="E1603" s="17"/>
      <c r="F1603" s="17" t="str">
        <f>IFERROR(__xludf.DUMMYFUNCTION("""COMPUTED_VALUE"""),"avohra@gmail.com, anurag.vohra@bajajfinserv.in")</f>
        <v>avohra@gmail.com, anurag.vohra@bajajfinserv.in</v>
      </c>
      <c r="G1603" s="17"/>
      <c r="H1603" s="17"/>
    </row>
    <row r="1604">
      <c r="A1604" s="17" t="str">
        <f>IFERROR(__xludf.DUMMYFUNCTION("""COMPUTED_VALUE""")," MG Motor India")</f>
        <v> MG Motor India</v>
      </c>
      <c r="B1604" s="17" t="str">
        <f>IFERROR(__xludf.DUMMYFUNCTION("""COMPUTED_VALUE"""),"Udit Malhotra")</f>
        <v>Udit Malhotra</v>
      </c>
      <c r="C1604" s="17" t="str">
        <f>IFERROR(__xludf.DUMMYFUNCTION("""COMPUTED_VALUE"""),"CTO &amp; CMO")</f>
        <v>CTO &amp; CMO</v>
      </c>
      <c r="D1604" s="27" t="str">
        <f>IFERROR(__xludf.DUMMYFUNCTION("""COMPUTED_VALUE"""),"linkedin.com/in/uditmalhotra")</f>
        <v>linkedin.com/in/uditmalhotra</v>
      </c>
      <c r="E1604" s="17"/>
      <c r="F1604" s="17" t="str">
        <f>IFERROR(__xludf.DUMMYFUNCTION("""COMPUTED_VALUE"""),"udit.malhotra@mgmotor.co.in")</f>
        <v>udit.malhotra@mgmotor.co.in</v>
      </c>
      <c r="G1604" s="17"/>
      <c r="H1604" s="17"/>
    </row>
    <row r="1605">
      <c r="A1605" s="17" t="str">
        <f>IFERROR(__xludf.DUMMYFUNCTION("""COMPUTED_VALUE"""),"Arcana")</f>
        <v>Arcana</v>
      </c>
      <c r="B1605" s="17" t="str">
        <f>IFERROR(__xludf.DUMMYFUNCTION("""COMPUTED_VALUE"""),"Siva Visakan Sooriyan ")</f>
        <v>Siva Visakan Sooriyan </v>
      </c>
      <c r="C1605" s="17" t="str">
        <f>IFERROR(__xludf.DUMMYFUNCTION("""COMPUTED_VALUE"""),"Cofounder &amp; CTO")</f>
        <v>Cofounder &amp; CTO</v>
      </c>
      <c r="D1605" s="27" t="str">
        <f>IFERROR(__xludf.DUMMYFUNCTION("""COMPUTED_VALUE"""),"linkedin.com/in/sivavisakan")</f>
        <v>linkedin.com/in/sivavisakan</v>
      </c>
      <c r="E1605" s="17"/>
      <c r="F1605" s="17" t="str">
        <f>IFERROR(__xludf.DUMMYFUNCTION("""COMPUTED_VALUE"""),"sivavisakan@gmail.com")</f>
        <v>sivavisakan@gmail.com</v>
      </c>
      <c r="G1605" s="17"/>
      <c r="H1605" s="17"/>
    </row>
    <row r="1606">
      <c r="A1606" s="17" t="str">
        <f>IFERROR(__xludf.DUMMYFUNCTION("""COMPUTED_VALUE"""),"CP Plus")</f>
        <v>CP Plus</v>
      </c>
      <c r="B1606" s="17" t="str">
        <f>IFERROR(__xludf.DUMMYFUNCTION("""COMPUTED_VALUE"""),"Aditya Khemka")</f>
        <v>Aditya Khemka</v>
      </c>
      <c r="C1606" s="17" t="str">
        <f>IFERROR(__xludf.DUMMYFUNCTION("""COMPUTED_VALUE"""),"MD &amp; CTO")</f>
        <v>MD &amp; CTO</v>
      </c>
      <c r="D1606" s="27" t="str">
        <f>IFERROR(__xludf.DUMMYFUNCTION("""COMPUTED_VALUE"""),"linkedin.com/in/aditya-khemka-58511926b")</f>
        <v>linkedin.com/in/aditya-khemka-58511926b</v>
      </c>
      <c r="E1606" s="17"/>
      <c r="F1606" s="17" t="str">
        <f>IFERROR(__xludf.DUMMYFUNCTION("""COMPUTED_VALUE"""),"aditya_khemka@cpplusworld.com, cpplusmarketing10@gmail.com")</f>
        <v>aditya_khemka@cpplusworld.com, cpplusmarketing10@gmail.com</v>
      </c>
      <c r="G1606" s="17"/>
      <c r="H1606" s="17"/>
    </row>
    <row r="1607">
      <c r="A1607" s="17" t="str">
        <f>IFERROR(__xludf.DUMMYFUNCTION("""COMPUTED_VALUE"""),"Hewlett Packard Enterprise")</f>
        <v>Hewlett Packard Enterprise</v>
      </c>
      <c r="B1607" s="17" t="str">
        <f>IFERROR(__xludf.DUMMYFUNCTION("""COMPUTED_VALUE"""),"RANGANATH SADASIVA")</f>
        <v>RANGANATH SADASIVA</v>
      </c>
      <c r="C1607" s="17" t="str">
        <f>IFERROR(__xludf.DUMMYFUNCTION("""COMPUTED_VALUE"""),"CTO")</f>
        <v>CTO</v>
      </c>
      <c r="D1607" s="27" t="str">
        <f>IFERROR(__xludf.DUMMYFUNCTION("""COMPUTED_VALUE"""),"linkedin.com/in/ranganath-sadasiva")</f>
        <v>linkedin.com/in/ranganath-sadasiva</v>
      </c>
      <c r="E1607" s="17"/>
      <c r="F1607" s="17" t="str">
        <f>IFERROR(__xludf.DUMMYFUNCTION("""COMPUTED_VALUE"""),"ranganath.sadasiva@hpe.com")</f>
        <v>ranganath.sadasiva@hpe.com</v>
      </c>
      <c r="G1607" s="17"/>
      <c r="H1607" s="17"/>
    </row>
    <row r="1608">
      <c r="A1608" s="17" t="str">
        <f>IFERROR(__xludf.DUMMYFUNCTION("""COMPUTED_VALUE"""),"JK group")</f>
        <v>JK group</v>
      </c>
      <c r="B1608" s="17" t="str">
        <f>IFERROR(__xludf.DUMMYFUNCTION("""COMPUTED_VALUE"""),"Dipankar Ganguly")</f>
        <v>Dipankar Ganguly</v>
      </c>
      <c r="C1608" s="17" t="str">
        <f>IFERROR(__xludf.DUMMYFUNCTION("""COMPUTED_VALUE"""),"CTO")</f>
        <v>CTO</v>
      </c>
      <c r="D1608" s="27" t="str">
        <f>IFERROR(__xludf.DUMMYFUNCTION("""COMPUTED_VALUE"""),"linkedin.com/in/dipankar-ganguly-a2666b4")</f>
        <v>linkedin.com/in/dipankar-ganguly-a2666b4</v>
      </c>
      <c r="E1608" s="17"/>
      <c r="F1608" s="17" t="str">
        <f>IFERROR(__xludf.DUMMYFUNCTION("""COMPUTED_VALUE"""),"dipankar@jktech.com, dipgang@yahoo.com")</f>
        <v>dipankar@jktech.com, dipgang@yahoo.com</v>
      </c>
      <c r="G1608" s="17"/>
      <c r="H1608" s="17"/>
    </row>
    <row r="1609">
      <c r="A1609" s="17" t="str">
        <f>IFERROR(__xludf.DUMMYFUNCTION("""COMPUTED_VALUE"""),"Crompton")</f>
        <v>Crompton</v>
      </c>
      <c r="B1609" s="17" t="str">
        <f>IFERROR(__xludf.DUMMYFUNCTION("""COMPUTED_VALUE"""),"Tanmay Prusty")</f>
        <v>Tanmay Prusty</v>
      </c>
      <c r="C1609" s="17" t="str">
        <f>IFERROR(__xludf.DUMMYFUNCTION("""COMPUTED_VALUE"""),"CMO&amp;CTO")</f>
        <v>CMO&amp;CTO</v>
      </c>
      <c r="D1609" s="27" t="str">
        <f>IFERROR(__xludf.DUMMYFUNCTION("""COMPUTED_VALUE"""),"linkedin.com/in/tanmay-prusty-0ba8ba2")</f>
        <v>linkedin.com/in/tanmay-prusty-0ba8ba2</v>
      </c>
      <c r="E1609" s="17"/>
      <c r="F1609" s="17" t="str">
        <f>IFERROR(__xludf.DUMMYFUNCTION("""COMPUTED_VALUE"""),"tanmay.prusty@crompton.co.in, tanmayprusty@gmail.com, tanmayprusty@rediffmail.com")</f>
        <v>tanmay.prusty@crompton.co.in, tanmayprusty@gmail.com, tanmayprusty@rediffmail.com</v>
      </c>
      <c r="G1609" s="17"/>
      <c r="H1609" s="17"/>
    </row>
    <row r="1610">
      <c r="A1610" s="17" t="str">
        <f>IFERROR(__xludf.DUMMYFUNCTION("""COMPUTED_VALUE"""),"Greaves")</f>
        <v>Greaves</v>
      </c>
      <c r="B1610" s="17" t="str">
        <f>IFERROR(__xludf.DUMMYFUNCTION("""COMPUTED_VALUE"""),"Parag Satpute")</f>
        <v>Parag Satpute</v>
      </c>
      <c r="C1610" s="17" t="str">
        <f>IFERROR(__xludf.DUMMYFUNCTION("""COMPUTED_VALUE"""),"CEO &amp; CTO")</f>
        <v>CEO &amp; CTO</v>
      </c>
      <c r="D1610" s="27" t="str">
        <f>IFERROR(__xludf.DUMMYFUNCTION("""COMPUTED_VALUE"""),"linkedin.com/in/paragsatpute")</f>
        <v>linkedin.com/in/paragsatpute</v>
      </c>
      <c r="E1610" s="17"/>
      <c r="F1610" s="17" t="str">
        <f>IFERROR(__xludf.DUMMYFUNCTION("""COMPUTED_VALUE"""),"parag.satpute@greavescotton.com, paragsatpute@gmail.com, paragsat@gmail.com, parag_satpute@hotmail.com")</f>
        <v>parag.satpute@greavescotton.com, paragsatpute@gmail.com, paragsat@gmail.com, parag_satpute@hotmail.com</v>
      </c>
      <c r="G1610" s="17"/>
      <c r="H1610" s="17"/>
    </row>
    <row r="1611">
      <c r="A1611" s="17" t="str">
        <f>IFERROR(__xludf.DUMMYFUNCTION("""COMPUTED_VALUE"""),"Samsonite")</f>
        <v>Samsonite</v>
      </c>
      <c r="B1611" s="17" t="str">
        <f>IFERROR(__xludf.DUMMYFUNCTION("""COMPUTED_VALUE"""),"Jai Krishnan ")</f>
        <v>Jai Krishnan </v>
      </c>
      <c r="C1611" s="17" t="str">
        <f>IFERROR(__xludf.DUMMYFUNCTION("""COMPUTED_VALUE"""),"CEO &amp; CTO")</f>
        <v>CEO &amp; CTO</v>
      </c>
      <c r="D1611" s="27" t="str">
        <f>IFERROR(__xludf.DUMMYFUNCTION("""COMPUTED_VALUE"""),"linkedin.com/in/jkvip")</f>
        <v>linkedin.com/in/jkvip</v>
      </c>
      <c r="E1611" s="17"/>
      <c r="F1611" s="17" t="str">
        <f>IFERROR(__xludf.DUMMYFUNCTION("""COMPUTED_VALUE"""),"jaik2020@gmail.com")</f>
        <v>jaik2020@gmail.com</v>
      </c>
      <c r="G1611" s="17"/>
      <c r="H1611" s="17"/>
    </row>
    <row r="1612">
      <c r="A1612" s="17" t="str">
        <f>IFERROR(__xludf.DUMMYFUNCTION("""COMPUTED_VALUE"""),"Auronova Consulting")</f>
        <v>Auronova Consulting</v>
      </c>
      <c r="B1612" s="17" t="str">
        <f>IFERROR(__xludf.DUMMYFUNCTION("""COMPUTED_VALUE"""),"Ajitav Sinha")</f>
        <v>Ajitav Sinha</v>
      </c>
      <c r="C1612" s="17" t="str">
        <f>IFERROR(__xludf.DUMMYFUNCTION("""COMPUTED_VALUE"""),"Partner Risk &amp; AI")</f>
        <v>Partner Risk &amp; AI</v>
      </c>
      <c r="D1612" s="27" t="str">
        <f>IFERROR(__xludf.DUMMYFUNCTION("""COMPUTED_VALUE"""),"linkedin.com/in/ajitav-sinha-frm-scr-4877633b")</f>
        <v>linkedin.com/in/ajitav-sinha-frm-scr-4877633b</v>
      </c>
      <c r="E1612" s="17"/>
      <c r="F1612" s="17" t="str">
        <f>IFERROR(__xludf.DUMMYFUNCTION("""COMPUTED_VALUE"""),"ajitavsinha@yahoo.com")</f>
        <v>ajitavsinha@yahoo.com</v>
      </c>
      <c r="G1612" s="17"/>
      <c r="H1612" s="17"/>
    </row>
    <row r="1613">
      <c r="A1613" s="17" t="str">
        <f>IFERROR(__xludf.DUMMYFUNCTION("""COMPUTED_VALUE"""),"Barclays")</f>
        <v>Barclays</v>
      </c>
      <c r="B1613" s="17" t="str">
        <f>IFERROR(__xludf.DUMMYFUNCTION("""COMPUTED_VALUE"""),"Shreepad Shukla")</f>
        <v>Shreepad Shukla</v>
      </c>
      <c r="C1613" s="17" t="str">
        <f>IFERROR(__xludf.DUMMYFUNCTION("""COMPUTED_VALUE"""),"Director, Advanced Technologies")</f>
        <v>Director, Advanced Technologies</v>
      </c>
      <c r="D1613" s="27" t="str">
        <f>IFERROR(__xludf.DUMMYFUNCTION("""COMPUTED_VALUE"""),"linkedin.com/in/shreepads")</f>
        <v>linkedin.com/in/shreepads</v>
      </c>
      <c r="E1613" s="17"/>
      <c r="F1613" s="17" t="str">
        <f>IFERROR(__xludf.DUMMYFUNCTION("""COMPUTED_VALUE"""),"shreepad.shukla@barclays.com, shreepadslnkdin@gmail.com, shreepads@yahoo.com")</f>
        <v>shreepad.shukla@barclays.com, shreepadslnkdin@gmail.com, shreepads@yahoo.com</v>
      </c>
      <c r="G1613" s="17"/>
      <c r="H1613" s="17"/>
    </row>
    <row r="1614">
      <c r="A1614" s="17" t="str">
        <f>IFERROR(__xludf.DUMMYFUNCTION("""COMPUTED_VALUE"""),"Boeing")</f>
        <v>Boeing</v>
      </c>
      <c r="B1614" s="17" t="str">
        <f>IFERROR(__xludf.DUMMYFUNCTION("""COMPUTED_VALUE"""),"Shashank Jha")</f>
        <v>Shashank Jha</v>
      </c>
      <c r="C1614" s="17" t="str">
        <f>IFERROR(__xludf.DUMMYFUNCTION("""COMPUTED_VALUE"""),"CTO")</f>
        <v>CTO</v>
      </c>
      <c r="D1614" s="27" t="str">
        <f>IFERROR(__xludf.DUMMYFUNCTION("""COMPUTED_VALUE"""),"linkedin.com/in/shashankajha")</f>
        <v>linkedin.com/in/shashankajha</v>
      </c>
      <c r="E1614" s="17"/>
      <c r="F1614" s="17" t="str">
        <f>IFERROR(__xludf.DUMMYFUNCTION("""COMPUTED_VALUE"""),"shashankasj@gmail.com")</f>
        <v>shashankasj@gmail.com</v>
      </c>
      <c r="G1614" s="17"/>
      <c r="H1614" s="17"/>
    </row>
    <row r="1615">
      <c r="A1615" s="17" t="str">
        <f>IFERROR(__xludf.DUMMYFUNCTION("""COMPUTED_VALUE"""),"Capital One")</f>
        <v>Capital One</v>
      </c>
      <c r="B1615" s="17" t="str">
        <f>IFERROR(__xludf.DUMMYFUNCTION("""COMPUTED_VALUE"""),"Srinivasa Rao Aravilli ")</f>
        <v>Srinivasa Rao Aravilli </v>
      </c>
      <c r="C1615" s="17" t="str">
        <f>IFERROR(__xludf.DUMMYFUNCTION("""COMPUTED_VALUE"""),"Senior Director")</f>
        <v>Senior Director</v>
      </c>
      <c r="D1615" s="27" t="str">
        <f>IFERROR(__xludf.DUMMYFUNCTION("""COMPUTED_VALUE"""),"linkedin.com/in/aravilli")</f>
        <v>linkedin.com/in/aravilli</v>
      </c>
      <c r="E1615" s="17"/>
      <c r="F1615" s="17" t="str">
        <f>IFERROR(__xludf.DUMMYFUNCTION("""COMPUTED_VALUE"""),"srinivasa.aravilli@capitalone.com, aravilli@gmail.com, sriniaravill@gmail.com, aravilli@yahoo.com")</f>
        <v>srinivasa.aravilli@capitalone.com, aravilli@gmail.com, sriniaravill@gmail.com, aravilli@yahoo.com</v>
      </c>
      <c r="G1615" s="17"/>
      <c r="H1615" s="17"/>
    </row>
    <row r="1616">
      <c r="A1616" s="17" t="str">
        <f>IFERROR(__xludf.DUMMYFUNCTION("""COMPUTED_VALUE"""),"Caterpillar Inc")</f>
        <v>Caterpillar Inc</v>
      </c>
      <c r="B1616" s="17" t="str">
        <f>IFERROR(__xludf.DUMMYFUNCTION("""COMPUTED_VALUE"""),"Akash Jain")</f>
        <v>Akash Jain</v>
      </c>
      <c r="C1616" s="17" t="str">
        <f>IFERROR(__xludf.DUMMYFUNCTION("""COMPUTED_VALUE"""),"India Leader - Cat Digital")</f>
        <v>India Leader - Cat Digital</v>
      </c>
      <c r="D1616" s="27" t="str">
        <f>IFERROR(__xludf.DUMMYFUNCTION("""COMPUTED_VALUE"""),"linkedin.com/in/akash-jain-7421837")</f>
        <v>linkedin.com/in/akash-jain-7421837</v>
      </c>
      <c r="E1616" s="17"/>
      <c r="F1616" s="17" t="str">
        <f>IFERROR(__xludf.DUMMYFUNCTION("""COMPUTED_VALUE"""),"jakash@gmail.com, akash.jain@cat.com")</f>
        <v>jakash@gmail.com, akash.jain@cat.com</v>
      </c>
      <c r="G1616" s="17"/>
      <c r="H1616" s="17"/>
    </row>
    <row r="1617">
      <c r="A1617" s="17" t="str">
        <f>IFERROR(__xludf.DUMMYFUNCTION("""COMPUTED_VALUE"""),"Common Wealth Bank")</f>
        <v>Common Wealth Bank</v>
      </c>
      <c r="B1617" s="17" t="str">
        <f>IFERROR(__xludf.DUMMYFUNCTION("""COMPUTED_VALUE"""),"Shaun Ray")</f>
        <v>Shaun Ray</v>
      </c>
      <c r="C1617" s="17" t="str">
        <f>IFERROR(__xludf.DUMMYFUNCTION("""COMPUTED_VALUE"""),"CTO")</f>
        <v>CTO</v>
      </c>
      <c r="D1617" s="27" t="str">
        <f>IFERROR(__xludf.DUMMYFUNCTION("""COMPUTED_VALUE"""),"linkedin.com/in/srray")</f>
        <v>linkedin.com/in/srray</v>
      </c>
      <c r="E1617" s="17"/>
      <c r="F1617" s="17" t="str">
        <f>IFERROR(__xludf.DUMMYFUNCTION("""COMPUTED_VALUE"""),"shaun.ray@cba.com.au")</f>
        <v>shaun.ray@cba.com.au</v>
      </c>
      <c r="G1617" s="17"/>
      <c r="H1617" s="17"/>
    </row>
    <row r="1618">
      <c r="A1618" s="17" t="str">
        <f>IFERROR(__xludf.DUMMYFUNCTION("""COMPUTED_VALUE"""),"D. E. Shaw")</f>
        <v>D. E. Shaw</v>
      </c>
      <c r="B1618" s="17" t="str">
        <f>IFERROR(__xludf.DUMMYFUNCTION("""COMPUTED_VALUE"""),"Gaurav Gupta")</f>
        <v>Gaurav Gupta</v>
      </c>
      <c r="C1618" s="17" t="str">
        <f>IFERROR(__xludf.DUMMYFUNCTION("""COMPUTED_VALUE"""),"Director")</f>
        <v>Director</v>
      </c>
      <c r="D1618" s="27" t="str">
        <f>IFERROR(__xludf.DUMMYFUNCTION("""COMPUTED_VALUE"""),"linkedin.com/in/guptaga")</f>
        <v>linkedin.com/in/guptaga</v>
      </c>
      <c r="E1618" s="17"/>
      <c r="F1618" s="17" t="str">
        <f>IFERROR(__xludf.DUMMYFUNCTION("""COMPUTED_VALUE"""),"gaurav.kumar.gupta@deshaw.com, guptaga@yahoo.com")</f>
        <v>gaurav.kumar.gupta@deshaw.com, guptaga@yahoo.com</v>
      </c>
      <c r="G1618" s="17"/>
      <c r="H1618" s="17"/>
    </row>
    <row r="1619">
      <c r="A1619" s="17" t="str">
        <f>IFERROR(__xludf.DUMMYFUNCTION("""COMPUTED_VALUE"""),"Databricks")</f>
        <v>Databricks</v>
      </c>
      <c r="B1619" s="17" t="str">
        <f>IFERROR(__xludf.DUMMYFUNCTION("""COMPUTED_VALUE"""),"Kamalkanth Tummala")</f>
        <v>Kamalkanth Tummala</v>
      </c>
      <c r="C1619" s="17" t="str">
        <f>IFERROR(__xludf.DUMMYFUNCTION("""COMPUTED_VALUE"""),"Vice President &amp; Country Manager")</f>
        <v>Vice President &amp; Country Manager</v>
      </c>
      <c r="D1619" s="27" t="str">
        <f>IFERROR(__xludf.DUMMYFUNCTION("""COMPUTED_VALUE"""),"linkedin.com/in/kamalkanth")</f>
        <v>linkedin.com/in/kamalkanth</v>
      </c>
      <c r="E1619" s="17"/>
      <c r="F1619" s="17" t="str">
        <f>IFERROR(__xludf.DUMMYFUNCTION("""COMPUTED_VALUE"""),"kkanth@salesforce.com, kamalkanth.tummala@databricks.com")</f>
        <v>kkanth@salesforce.com, kamalkanth.tummala@databricks.com</v>
      </c>
      <c r="G1619" s="17"/>
      <c r="H1619" s="17"/>
    </row>
    <row r="1620">
      <c r="A1620" s="17" t="str">
        <f>IFERROR(__xludf.DUMMYFUNCTION("""COMPUTED_VALUE"""),"DEUTSCHE INDIA")</f>
        <v>DEUTSCHE INDIA</v>
      </c>
      <c r="B1620" s="17" t="str">
        <f>IFERROR(__xludf.DUMMYFUNCTION("""COMPUTED_VALUE"""),"Praveen Ojha")</f>
        <v>Praveen Ojha</v>
      </c>
      <c r="C1620" s="17" t="str">
        <f>IFERROR(__xludf.DUMMYFUNCTION("""COMPUTED_VALUE"""),"CTO")</f>
        <v>CTO</v>
      </c>
      <c r="D1620" s="27" t="str">
        <f>IFERROR(__xludf.DUMMYFUNCTION("""COMPUTED_VALUE"""),"linkedin.com/in/praveen-ojha-30b0019")</f>
        <v>linkedin.com/in/praveen-ojha-30b0019</v>
      </c>
      <c r="E1620" s="17"/>
      <c r="F1620" s="17" t="str">
        <f>IFERROR(__xludf.DUMMYFUNCTION("""COMPUTED_VALUE"""),"praveenojha@hotmail.com, praveen_ojha@epam.com")</f>
        <v>praveenojha@hotmail.com, praveen_ojha@epam.com</v>
      </c>
      <c r="G1620" s="17"/>
      <c r="H1620" s="17"/>
    </row>
    <row r="1621">
      <c r="A1621" s="17" t="str">
        <f>IFERROR(__xludf.DUMMYFUNCTION("""COMPUTED_VALUE"""),"Dezerv")</f>
        <v>Dezerv</v>
      </c>
      <c r="B1621" s="17" t="str">
        <f>IFERROR(__xludf.DUMMYFUNCTION("""COMPUTED_VALUE"""),"Sandeep Jethwani")</f>
        <v>Sandeep Jethwani</v>
      </c>
      <c r="C1621" s="17" t="str">
        <f>IFERROR(__xludf.DUMMYFUNCTION("""COMPUTED_VALUE"""),"Co-Founder &amp; CTO")</f>
        <v>Co-Founder &amp; CTO</v>
      </c>
      <c r="D1621" s="27" t="str">
        <f>IFERROR(__xludf.DUMMYFUNCTION("""COMPUTED_VALUE"""),"linkedin.com/in/sandeepjethwani")</f>
        <v>linkedin.com/in/sandeepjethwani</v>
      </c>
      <c r="E1621" s="17"/>
      <c r="F1621" s="17" t="str">
        <f>IFERROR(__xludf.DUMMYFUNCTION("""COMPUTED_VALUE"""),"sandeepjethwani@gmail.com, sandeep.jethwani@dezerv.in
")</f>
        <v>sandeepjethwani@gmail.com, sandeep.jethwani@dezerv.in
</v>
      </c>
      <c r="G1621" s="17"/>
      <c r="H1621" s="17"/>
    </row>
    <row r="1622">
      <c r="A1622" s="17" t="str">
        <f>IFERROR(__xludf.DUMMYFUNCTION("""COMPUTED_VALUE"""),"DTDC")</f>
        <v>DTDC</v>
      </c>
      <c r="B1622" s="17" t="str">
        <f>IFERROR(__xludf.DUMMYFUNCTION("""COMPUTED_VALUE"""),"Abhishek Chakraborty ")</f>
        <v>Abhishek Chakraborty </v>
      </c>
      <c r="C1622" s="17" t="str">
        <f>IFERROR(__xludf.DUMMYFUNCTION("""COMPUTED_VALUE"""),"CEO")</f>
        <v>CEO</v>
      </c>
      <c r="D1622" s="27" t="str">
        <f>IFERROR(__xludf.DUMMYFUNCTION("""COMPUTED_VALUE"""),"linkedin.com/in/abhishek-chakraborty-2194b1a")</f>
        <v>linkedin.com/in/abhishek-chakraborty-2194b1a</v>
      </c>
      <c r="E1622" s="17"/>
      <c r="F1622" s="17" t="str">
        <f>IFERROR(__xludf.DUMMYFUNCTION("""COMPUTED_VALUE"""),"abhishekch@gmail.com, ")</f>
        <v>abhishekch@gmail.com, </v>
      </c>
      <c r="G1622" s="17"/>
      <c r="H1622" s="17"/>
    </row>
    <row r="1623">
      <c r="A1623" s="17" t="str">
        <f>IFERROR(__xludf.DUMMYFUNCTION("""COMPUTED_VALUE"""),"E-Bay")</f>
        <v>E-Bay</v>
      </c>
      <c r="B1623" s="17" t="str">
        <f>IFERROR(__xludf.DUMMYFUNCTION("""COMPUTED_VALUE"""),"Mazen Rawashdeh")</f>
        <v>Mazen Rawashdeh</v>
      </c>
      <c r="C1623" s="17" t="str">
        <f>IFERROR(__xludf.DUMMYFUNCTION("""COMPUTED_VALUE"""),"CTO")</f>
        <v>CTO</v>
      </c>
      <c r="D1623" s="27" t="str">
        <f>IFERROR(__xludf.DUMMYFUNCTION("""COMPUTED_VALUE"""),"linkedin.com/in/mazenrawashdeh")</f>
        <v>linkedin.com/in/mazenrawashdeh</v>
      </c>
      <c r="E1623" s="17"/>
      <c r="F1623" s="17" t="str">
        <f>IFERROR(__xludf.DUMMYFUNCTION("""COMPUTED_VALUE"""),"mazenrawashdeh@ebay.com, mazenrawashdeh@gmail.com")</f>
        <v>mazenrawashdeh@ebay.com, mazenrawashdeh@gmail.com</v>
      </c>
      <c r="G1623" s="17"/>
      <c r="H1623" s="17"/>
    </row>
    <row r="1624">
      <c r="A1624" s="17" t="str">
        <f>IFERROR(__xludf.DUMMYFUNCTION("""COMPUTED_VALUE"""),"Edelweiss Global Markets")</f>
        <v>Edelweiss Global Markets</v>
      </c>
      <c r="B1624" s="17" t="str">
        <f>IFERROR(__xludf.DUMMYFUNCTION("""COMPUTED_VALUE"""),"Amit Jain")</f>
        <v>Amit Jain</v>
      </c>
      <c r="C1624" s="17" t="str">
        <f>IFERROR(__xludf.DUMMYFUNCTION("""COMPUTED_VALUE"""),"CTO")</f>
        <v>CTO</v>
      </c>
      <c r="D1624" s="27" t="str">
        <f>IFERROR(__xludf.DUMMYFUNCTION("""COMPUTED_VALUE"""),"linkedin.com/in/amitjain-in")</f>
        <v>linkedin.com/in/amitjain-in</v>
      </c>
      <c r="E1624" s="17"/>
      <c r="F1624" s="17" t="str">
        <f>IFERROR(__xludf.DUMMYFUNCTION("""COMPUTED_VALUE"""),"amitsemail@gmail.com, amit.jain@edelweissfin.com, amit.jain.in@outlook.com")</f>
        <v>amitsemail@gmail.com, amit.jain@edelweissfin.com, amit.jain.in@outlook.com</v>
      </c>
      <c r="G1624" s="17"/>
      <c r="H1624" s="17"/>
    </row>
    <row r="1625">
      <c r="A1625" s="17" t="str">
        <f>IFERROR(__xludf.DUMMYFUNCTION("""COMPUTED_VALUE"""),"EMA")</f>
        <v>EMA</v>
      </c>
      <c r="B1625" s="17" t="str">
        <f>IFERROR(__xludf.DUMMYFUNCTION("""COMPUTED_VALUE"""),"Phaneesh Gururaj")</f>
        <v>Phaneesh Gururaj</v>
      </c>
      <c r="C1625" s="17" t="str">
        <f>IFERROR(__xludf.DUMMYFUNCTION("""COMPUTED_VALUE"""),"Head of Engineering")</f>
        <v>Head of Engineering</v>
      </c>
      <c r="D1625" s="27" t="str">
        <f>IFERROR(__xludf.DUMMYFUNCTION("""COMPUTED_VALUE"""),"linkedin.com/in/phaneesh-gururaj-70437b1")</f>
        <v>linkedin.com/in/phaneesh-gururaj-70437b1</v>
      </c>
      <c r="E1625" s="17"/>
      <c r="F1625" s="17" t="str">
        <f>IFERROR(__xludf.DUMMYFUNCTION("""COMPUTED_VALUE"""),"phaneesh@gmail.com")</f>
        <v>phaneesh@gmail.com</v>
      </c>
      <c r="G1625" s="17"/>
      <c r="H1625" s="17"/>
    </row>
    <row r="1626">
      <c r="A1626" s="17" t="str">
        <f>IFERROR(__xludf.DUMMYFUNCTION("""COMPUTED_VALUE"""),"ESRI")</f>
        <v>ESRI</v>
      </c>
      <c r="B1626" s="17" t="str">
        <f>IFERROR(__xludf.DUMMYFUNCTION("""COMPUTED_VALUE"""),"Vijay Kumar ")</f>
        <v>Vijay Kumar </v>
      </c>
      <c r="C1626" s="17" t="str">
        <f>IFERROR(__xludf.DUMMYFUNCTION("""COMPUTED_VALUE"""),"CTO &amp; VP")</f>
        <v>CTO &amp; VP</v>
      </c>
      <c r="D1626" s="27" t="str">
        <f>IFERROR(__xludf.DUMMYFUNCTION("""COMPUTED_VALUE"""),"linkedin.com/in/vijaykumar1")</f>
        <v>linkedin.com/in/vijaykumar1</v>
      </c>
      <c r="E1626" s="17"/>
      <c r="F1626" s="17" t="str">
        <f>IFERROR(__xludf.DUMMYFUNCTION("""COMPUTED_VALUE"""),"vijay.kumar@esri.in, vijaysiwal@gmail.com")</f>
        <v>vijay.kumar@esri.in, vijaysiwal@gmail.com</v>
      </c>
      <c r="G1626" s="17"/>
      <c r="H1626" s="17"/>
    </row>
    <row r="1627">
      <c r="A1627" s="17" t="str">
        <f>IFERROR(__xludf.DUMMYFUNCTION("""COMPUTED_VALUE"""),"Zomato")</f>
        <v>Zomato</v>
      </c>
      <c r="B1627" s="17" t="str">
        <f>IFERROR(__xludf.DUMMYFUNCTION("""COMPUTED_VALUE"""),"Lalit Verma")</f>
        <v>Lalit Verma</v>
      </c>
      <c r="C1627" s="17" t="str">
        <f>IFERROR(__xludf.DUMMYFUNCTION("""COMPUTED_VALUE"""),"CTO")</f>
        <v>CTO</v>
      </c>
      <c r="D1627" s="27" t="str">
        <f>IFERROR(__xludf.DUMMYFUNCTION("""COMPUTED_VALUE"""),"linkedin.com/in/lalitsverma")</f>
        <v>linkedin.com/in/lalitsverma</v>
      </c>
      <c r="E1627" s="17"/>
      <c r="F1627" s="17" t="str">
        <f>IFERROR(__xludf.DUMMYFUNCTION("""COMPUTED_VALUE"""),"lalit.verma@zomato.com, lalitv@iitrpr.ac.in, lalitsverma@gmail.com")</f>
        <v>lalit.verma@zomato.com, lalitv@iitrpr.ac.in, lalitsverma@gmail.com</v>
      </c>
      <c r="G1627" s="17"/>
      <c r="H1627" s="17"/>
    </row>
    <row r="1628">
      <c r="A1628" s="17" t="str">
        <f>IFERROR(__xludf.DUMMYFUNCTION("""COMPUTED_VALUE"""),"ETHOS")</f>
        <v>ETHOS</v>
      </c>
      <c r="B1628" s="17" t="str">
        <f>IFERROR(__xludf.DUMMYFUNCTION("""COMPUTED_VALUE"""),"Vipul Sharma")</f>
        <v>Vipul Sharma</v>
      </c>
      <c r="C1628" s="17" t="str">
        <f>IFERROR(__xludf.DUMMYFUNCTION("""COMPUTED_VALUE"""),"CTO")</f>
        <v>CTO</v>
      </c>
      <c r="D1628" s="27" t="str">
        <f>IFERROR(__xludf.DUMMYFUNCTION("""COMPUTED_VALUE"""),"linkedin.com/in/vipulethos")</f>
        <v>linkedin.com/in/vipulethos</v>
      </c>
      <c r="E1628" s="17"/>
      <c r="F1628" s="17" t="str">
        <f>IFERROR(__xludf.DUMMYFUNCTION("""COMPUTED_VALUE"""),"vipul.sharma@ethoslife.com, sharmavipul@gmail.com, vip_zoom_2000@yahoo.com")</f>
        <v>vipul.sharma@ethoslife.com, sharmavipul@gmail.com, vip_zoom_2000@yahoo.com</v>
      </c>
      <c r="G1628" s="17"/>
      <c r="H1628" s="17"/>
    </row>
    <row r="1629">
      <c r="A1629" s="17" t="str">
        <f>IFERROR(__xludf.DUMMYFUNCTION("""COMPUTED_VALUE"""),"EXL")</f>
        <v>EXL</v>
      </c>
      <c r="B1629" s="17" t="str">
        <f>IFERROR(__xludf.DUMMYFUNCTION("""COMPUTED_VALUE"""),"Baljinder Singh")</f>
        <v>Baljinder Singh</v>
      </c>
      <c r="C1629" s="17" t="str">
        <f>IFERROR(__xludf.DUMMYFUNCTION("""COMPUTED_VALUE"""),"Global CIO")</f>
        <v>Global CIO</v>
      </c>
      <c r="D1629" s="27" t="str">
        <f>IFERROR(__xludf.DUMMYFUNCTION("""COMPUTED_VALUE"""),"linkedin.com/in/baljinder-singh-6a334239")</f>
        <v>linkedin.com/in/baljinder-singh-6a334239</v>
      </c>
      <c r="E1629" s="17"/>
      <c r="F1629" s="17" t="str">
        <f>IFERROR(__xludf.DUMMYFUNCTION("""COMPUTED_VALUE"""),"baljinder.singh@exlservice.com, baljinder5@hotmail.com")</f>
        <v>baljinder.singh@exlservice.com, baljinder5@hotmail.com</v>
      </c>
      <c r="G1629" s="17"/>
      <c r="H1629" s="17"/>
    </row>
    <row r="1630">
      <c r="A1630" s="17" t="str">
        <f>IFERROR(__xludf.DUMMYFUNCTION("""COMPUTED_VALUE"""),"ExxonMobil")</f>
        <v>ExxonMobil</v>
      </c>
      <c r="B1630" s="17" t="str">
        <f>IFERROR(__xludf.DUMMYFUNCTION("""COMPUTED_VALUE"""),"Ms. Suchismita Sanyal ")</f>
        <v>Ms. Suchismita Sanyal </v>
      </c>
      <c r="C1630" s="17" t="str">
        <f>IFERROR(__xludf.DUMMYFUNCTION("""COMPUTED_VALUE"""),"Head, India Strategy")</f>
        <v>Head, India Strategy</v>
      </c>
      <c r="D1630" s="27" t="str">
        <f>IFERROR(__xludf.DUMMYFUNCTION("""COMPUTED_VALUE"""),"linkedin.com/in/suchismitasanyal")</f>
        <v>linkedin.com/in/suchismitasanyal</v>
      </c>
      <c r="E1630" s="17"/>
      <c r="F1630" s="17" t="str">
        <f>IFERROR(__xludf.DUMMYFUNCTION("""COMPUTED_VALUE"""),"suchismita.sanyal@exxonmobil.com, suchisanyal@gmail.com")</f>
        <v>suchismita.sanyal@exxonmobil.com, suchisanyal@gmail.com</v>
      </c>
      <c r="G1630" s="17"/>
      <c r="H1630" s="17"/>
    </row>
    <row r="1631">
      <c r="A1631" s="17" t="str">
        <f>IFERROR(__xludf.DUMMYFUNCTION("""COMPUTED_VALUE"""),"Fractal")</f>
        <v>Fractal</v>
      </c>
      <c r="B1631" s="17" t="str">
        <f>IFERROR(__xludf.DUMMYFUNCTION("""COMPUTED_VALUE"""),"Shashidhar Ramakrishnaiah")</f>
        <v>Shashidhar Ramakrishnaiah</v>
      </c>
      <c r="C1631" s="17" t="str">
        <f>IFERROR(__xludf.DUMMYFUNCTION("""COMPUTED_VALUE"""),"CTO")</f>
        <v>CTO</v>
      </c>
      <c r="D1631" s="27" t="str">
        <f>IFERROR(__xludf.DUMMYFUNCTION("""COMPUTED_VALUE"""),"linkedin.com/in/shashidhar-ramakrishnaiah-7027335")</f>
        <v>linkedin.com/in/shashidhar-ramakrishnaiah-7027335</v>
      </c>
      <c r="E1631" s="17"/>
      <c r="F1631" s="17" t="str">
        <f>IFERROR(__xludf.DUMMYFUNCTION("""COMPUTED_VALUE"""),"shashidhar.ramakrishnaiah@fractal.ai, shashi.brk@gmail.com")</f>
        <v>shashidhar.ramakrishnaiah@fractal.ai, shashi.brk@gmail.com</v>
      </c>
      <c r="G1631" s="17"/>
      <c r="H1631" s="17"/>
    </row>
    <row r="1632">
      <c r="A1632" s="17" t="str">
        <f>IFERROR(__xludf.DUMMYFUNCTION("""COMPUTED_VALUE"""),"Fujitsu")</f>
        <v>Fujitsu</v>
      </c>
      <c r="B1632" s="17" t="str">
        <f>IFERROR(__xludf.DUMMYFUNCTION("""COMPUTED_VALUE"""),"Vivek Mahajan")</f>
        <v>Vivek Mahajan</v>
      </c>
      <c r="C1632" s="17" t="str">
        <f>IFERROR(__xludf.DUMMYFUNCTION("""COMPUTED_VALUE"""),"CTO")</f>
        <v>CTO</v>
      </c>
      <c r="D1632" s="27" t="str">
        <f>IFERROR(__xludf.DUMMYFUNCTION("""COMPUTED_VALUE"""),"linkedin.com/in/vivek-mahajan-17b345b1")</f>
        <v>linkedin.com/in/vivek-mahajan-17b345b1</v>
      </c>
      <c r="E1632" s="17"/>
      <c r="F1632" s="17" t="str">
        <f>IFERROR(__xludf.DUMMYFUNCTION("""COMPUTED_VALUE"""),"riskitviv@hotmail.com, vivek.mahajan@fujitsu.com")</f>
        <v>riskitviv@hotmail.com, vivek.mahajan@fujitsu.com</v>
      </c>
      <c r="G1632" s="17"/>
      <c r="H1632" s="17"/>
    </row>
    <row r="1633">
      <c r="A1633" s="17" t="str">
        <f>IFERROR(__xludf.DUMMYFUNCTION("""COMPUTED_VALUE"""),"GE Aerospace")</f>
        <v>GE Aerospace</v>
      </c>
      <c r="B1633" s="17" t="str">
        <f>IFERROR(__xludf.DUMMYFUNCTION("""COMPUTED_VALUE"""),"Alok Nanda")</f>
        <v>Alok Nanda</v>
      </c>
      <c r="C1633" s="17" t="str">
        <f>IFERROR(__xludf.DUMMYFUNCTION("""COMPUTED_VALUE"""),"CTO")</f>
        <v>CTO</v>
      </c>
      <c r="D1633" s="27" t="str">
        <f>IFERROR(__xludf.DUMMYFUNCTION("""COMPUTED_VALUE"""),"linkedin.com/in/alok-nanda-b425566")</f>
        <v>linkedin.com/in/alok-nanda-b425566</v>
      </c>
      <c r="E1633" s="17"/>
      <c r="F1633" s="17" t="str">
        <f>IFERROR(__xludf.DUMMYFUNCTION("""COMPUTED_VALUE"""),"aloknandahome@gmail.com, alok.nanda@ge.com")</f>
        <v>aloknandahome@gmail.com, alok.nanda@ge.com</v>
      </c>
      <c r="G1633" s="17"/>
      <c r="H1633" s="17"/>
    </row>
    <row r="1634">
      <c r="A1634" s="17" t="str">
        <f>IFERROR(__xludf.DUMMYFUNCTION("""COMPUTED_VALUE"""),"GIGA AI")</f>
        <v>GIGA AI</v>
      </c>
      <c r="B1634" s="17" t="str">
        <f>IFERROR(__xludf.DUMMYFUNCTION("""COMPUTED_VALUE"""),"Varun Vummadi")</f>
        <v>Varun Vummadi</v>
      </c>
      <c r="C1634" s="17" t="str">
        <f>IFERROR(__xludf.DUMMYFUNCTION("""COMPUTED_VALUE"""),"Co-Founder &amp; CTO")</f>
        <v>Co-Founder &amp; CTO</v>
      </c>
      <c r="D1634" s="27" t="str">
        <f>IFERROR(__xludf.DUMMYFUNCTION("""COMPUTED_VALUE"""),"linkedin.com/in/varunvummadi")</f>
        <v>linkedin.com/in/varunvummadi</v>
      </c>
      <c r="E1634" s="17"/>
      <c r="F1634" s="17" t="str">
        <f>IFERROR(__xludf.DUMMYFUNCTION("""COMPUTED_VALUE"""),"varunvummadi@gmail.com, varun@gigaml.com")</f>
        <v>varunvummadi@gmail.com, varun@gigaml.com</v>
      </c>
      <c r="G1634" s="17"/>
      <c r="H1634" s="17"/>
    </row>
    <row r="1635">
      <c r="A1635" s="17" t="str">
        <f>IFERROR(__xludf.DUMMYFUNCTION("""COMPUTED_VALUE"""),"Glean")</f>
        <v>Glean</v>
      </c>
      <c r="B1635" s="17" t="str">
        <f>IFERROR(__xludf.DUMMYFUNCTION("""COMPUTED_VALUE"""),"Arvind Jain")</f>
        <v>Arvind Jain</v>
      </c>
      <c r="C1635" s="17" t="str">
        <f>IFERROR(__xludf.DUMMYFUNCTION("""COMPUTED_VALUE"""),"CEO &amp; CTO")</f>
        <v>CEO &amp; CTO</v>
      </c>
      <c r="D1635" s="27" t="str">
        <f>IFERROR(__xludf.DUMMYFUNCTION("""COMPUTED_VALUE"""),"linkedin.com/in/jain-arvind")</f>
        <v>linkedin.com/in/jain-arvind</v>
      </c>
      <c r="E1635" s="17"/>
      <c r="F1635" s="17" t="str">
        <f>IFERROR(__xludf.DUMMYFUNCTION("""COMPUTED_VALUE"""),"arvind@gmail.com, arvind.jain@akamai.com, arvind.jain@riverbed.com, arvindj@glean.com")</f>
        <v>arvind@gmail.com, arvind.jain@akamai.com, arvind.jain@riverbed.com, arvindj@glean.com</v>
      </c>
      <c r="G1635" s="17"/>
      <c r="H1635" s="17"/>
    </row>
    <row r="1636">
      <c r="A1636" s="17" t="str">
        <f>IFERROR(__xludf.DUMMYFUNCTION("""COMPUTED_VALUE"""),"Graviton Research Capital")</f>
        <v>Graviton Research Capital</v>
      </c>
      <c r="B1636" s="17" t="str">
        <f>IFERROR(__xludf.DUMMYFUNCTION("""COMPUTED_VALUE"""),"Ankit Gupta")</f>
        <v>Ankit Gupta</v>
      </c>
      <c r="C1636" s="17" t="str">
        <f>IFERROR(__xludf.DUMMYFUNCTION("""COMPUTED_VALUE"""),"Partner Risk &amp; AI")</f>
        <v>Partner Risk &amp; AI</v>
      </c>
      <c r="D1636" s="27" t="str">
        <f>IFERROR(__xludf.DUMMYFUNCTION("""COMPUTED_VALUE"""),"linkedin.com/in/ankit-gupta-0557355")</f>
        <v>linkedin.com/in/ankit-gupta-0557355</v>
      </c>
      <c r="E1636" s="17"/>
      <c r="F1636" s="17" t="str">
        <f>IFERROR(__xludf.DUMMYFUNCTION("""COMPUTED_VALUE"""),"ankit.gupta@gravitonresearch.com, ank.2504@gmail.com")</f>
        <v>ankit.gupta@gravitonresearch.com, ank.2504@gmail.com</v>
      </c>
      <c r="G1636" s="17"/>
      <c r="H1636" s="17"/>
    </row>
    <row r="1637">
      <c r="A1637" s="27" t="str">
        <f>IFERROR(__xludf.DUMMYFUNCTION("""COMPUTED_VALUE"""),"BaseRock.ai")</f>
        <v>BaseRock.ai</v>
      </c>
      <c r="B1637" s="17" t="str">
        <f>IFERROR(__xludf.DUMMYFUNCTION("""COMPUTED_VALUE"""),"Rishi Singh ")</f>
        <v>Rishi Singh </v>
      </c>
      <c r="C1637" s="17" t="str">
        <f>IFERROR(__xludf.DUMMYFUNCTION("""COMPUTED_VALUE"""),"Co-Founder &amp; CTO")</f>
        <v>Co-Founder &amp; CTO</v>
      </c>
      <c r="D1637" s="27" t="str">
        <f>IFERROR(__xludf.DUMMYFUNCTION("""COMPUTED_VALUE"""),"linkedin.com/in/rishi-singh-harness")</f>
        <v>linkedin.com/in/rishi-singh-harness</v>
      </c>
      <c r="E1637" s="17"/>
      <c r="F1637" s="17" t="str">
        <f>IFERROR(__xludf.DUMMYFUNCTION("""COMPUTED_VALUE"""),"rishi@baserock.ai, rishikeshs@yahoo.com, rishi.singh@harness.io")</f>
        <v>rishi@baserock.ai, rishikeshs@yahoo.com, rishi.singh@harness.io</v>
      </c>
      <c r="G1637" s="17"/>
      <c r="H1637" s="17"/>
    </row>
    <row r="1638">
      <c r="A1638" s="17" t="str">
        <f>IFERROR(__xludf.DUMMYFUNCTION("""COMPUTED_VALUE"""),"Naukri")</f>
        <v>Naukri</v>
      </c>
      <c r="B1638" s="17" t="str">
        <f>IFERROR(__xludf.DUMMYFUNCTION("""COMPUTED_VALUE"""),"Arvind Heda")</f>
        <v>Arvind Heda</v>
      </c>
      <c r="C1638" s="17" t="str">
        <f>IFERROR(__xludf.DUMMYFUNCTION("""COMPUTED_VALUE"""),"CTO")</f>
        <v>CTO</v>
      </c>
      <c r="D1638" s="27" t="str">
        <f>IFERROR(__xludf.DUMMYFUNCTION("""COMPUTED_VALUE"""),"linkedin.com/in/arvind-heda-3514684")</f>
        <v>linkedin.com/in/arvind-heda-3514684</v>
      </c>
      <c r="E1638" s="17"/>
      <c r="F1638" s="17" t="str">
        <f>IFERROR(__xludf.DUMMYFUNCTION("""COMPUTED_VALUE"""),"arvind@infoedge.in, arvind_heda@yahoo.com, arvind_heda1@yahoo.com")</f>
        <v>arvind@infoedge.in, arvind_heda@yahoo.com, arvind_heda1@yahoo.com</v>
      </c>
      <c r="G1638" s="17"/>
      <c r="H1638" s="17"/>
    </row>
    <row r="1639">
      <c r="A1639" s="17" t="str">
        <f>IFERROR(__xludf.DUMMYFUNCTION("""COMPUTED_VALUE"""),"ITC Limited")</f>
        <v>ITC Limited</v>
      </c>
      <c r="B1639" s="17" t="str">
        <f>IFERROR(__xludf.DUMMYFUNCTION("""COMPUTED_VALUE"""),"Sivakumar S")</f>
        <v>Sivakumar S</v>
      </c>
      <c r="C1639" s="17" t="str">
        <f>IFERROR(__xludf.DUMMYFUNCTION("""COMPUTED_VALUE"""),"Group Head - Agri &amp; IT Businesses")</f>
        <v>Group Head - Agri &amp; IT Businesses</v>
      </c>
      <c r="D1639" s="27" t="str">
        <f>IFERROR(__xludf.DUMMYFUNCTION("""COMPUTED_VALUE"""),"linkedin.com/in/sivakumars1")</f>
        <v>linkedin.com/in/sivakumars1</v>
      </c>
      <c r="E1639" s="17"/>
      <c r="F1639" s="17" t="str">
        <f>IFERROR(__xludf.DUMMYFUNCTION("""COMPUTED_VALUE"""),"sivakumar.s@itc.in, shivhyd@gmail.com")</f>
        <v>sivakumar.s@itc.in, shivhyd@gmail.com</v>
      </c>
      <c r="G1639" s="17"/>
      <c r="H1639" s="17"/>
    </row>
    <row r="1640">
      <c r="A1640" s="17" t="str">
        <f>IFERROR(__xludf.DUMMYFUNCTION("""COMPUTED_VALUE""")," Ixana")</f>
        <v> Ixana</v>
      </c>
      <c r="B1640" s="17" t="str">
        <f>IFERROR(__xludf.DUMMYFUNCTION("""COMPUTED_VALUE"""),"Shreyas Sen")</f>
        <v>Shreyas Sen</v>
      </c>
      <c r="C1640" s="17" t="str">
        <f>IFERROR(__xludf.DUMMYFUNCTION("""COMPUTED_VALUE"""),"Co-Founder &amp; CTO")</f>
        <v>Co-Founder &amp; CTO</v>
      </c>
      <c r="D1640" s="27" t="str">
        <f>IFERROR(__xludf.DUMMYFUNCTION("""COMPUTED_VALUE"""),"linkedin.com/in/shreyassen")</f>
        <v>linkedin.com/in/shreyassen</v>
      </c>
      <c r="E1640" s="17"/>
      <c r="F1640" s="17" t="str">
        <f>IFERROR(__xludf.DUMMYFUNCTION("""COMPUTED_VALUE"""),"shreyas@ixana.ai, shreyassen@gmail.com")</f>
        <v>shreyas@ixana.ai, shreyassen@gmail.com</v>
      </c>
      <c r="G1640" s="17"/>
      <c r="H1640" s="17"/>
    </row>
    <row r="1641">
      <c r="A1641" s="17" t="str">
        <f>IFERROR(__xludf.DUMMYFUNCTION("""COMPUTED_VALUE"""),"mathworks")</f>
        <v>mathworks</v>
      </c>
      <c r="B1641" s="17" t="str">
        <f>IFERROR(__xludf.DUMMYFUNCTION("""COMPUTED_VALUE"""),"Sanjay Gopinath")</f>
        <v>Sanjay Gopinath</v>
      </c>
      <c r="C1641" s="17" t="str">
        <f>IFERROR(__xludf.DUMMYFUNCTION("""COMPUTED_VALUE"""),"Tech Marketing Leader")</f>
        <v>Tech Marketing Leader</v>
      </c>
      <c r="D1641" s="27" t="str">
        <f>IFERROR(__xludf.DUMMYFUNCTION("""COMPUTED_VALUE"""),"linkedin.com/in/sanjugopi")</f>
        <v>linkedin.com/in/sanjugopi</v>
      </c>
      <c r="E1641" s="17"/>
      <c r="F1641" s="17" t="str">
        <f>IFERROR(__xludf.DUMMYFUNCTION("""COMPUTED_VALUE"""),"sanjay.gopinath@mathworks.com, gopinathsanjay@gmail.com")</f>
        <v>sanjay.gopinath@mathworks.com, gopinathsanjay@gmail.com</v>
      </c>
      <c r="G1641" s="17"/>
      <c r="H1641" s="17"/>
    </row>
    <row r="1642">
      <c r="A1642" s="17" t="str">
        <f>IFERROR(__xludf.DUMMYFUNCTION("""COMPUTED_VALUE""")," Nexus Cognitive")</f>
        <v> Nexus Cognitive</v>
      </c>
      <c r="B1642" s="17" t="str">
        <f>IFERROR(__xludf.DUMMYFUNCTION("""COMPUTED_VALUE"""),"Anu Jain")</f>
        <v>Anu Jain</v>
      </c>
      <c r="C1642" s="17" t="str">
        <f>IFERROR(__xludf.DUMMYFUNCTION("""COMPUTED_VALUE"""),"Co-Founder &amp; CTO")</f>
        <v>Co-Founder &amp; CTO</v>
      </c>
      <c r="D1642" s="27" t="str">
        <f>IFERROR(__xludf.DUMMYFUNCTION("""COMPUTED_VALUE"""),"linkedin.com/in/anujain")</f>
        <v>linkedin.com/in/anujain</v>
      </c>
      <c r="E1642" s="17"/>
      <c r="F1642" s="17" t="str">
        <f>IFERROR(__xludf.DUMMYFUNCTION("""COMPUTED_VALUE"""),"anu@nexuscognitive.com, jain.anuraag@gmail.com, anu.jain@ibm.com")</f>
        <v>anu@nexuscognitive.com, jain.anuraag@gmail.com, anu.jain@ibm.com</v>
      </c>
      <c r="G1642" s="17"/>
      <c r="H1642" s="17"/>
    </row>
    <row r="1643">
      <c r="A1643" s="17" t="str">
        <f>IFERROR(__xludf.DUMMYFUNCTION("""COMPUTED_VALUE"""),"Piramal Finance")</f>
        <v>Piramal Finance</v>
      </c>
      <c r="B1643" s="17" t="str">
        <f>IFERROR(__xludf.DUMMYFUNCTION("""COMPUTED_VALUE"""),"Saurabh Mittal")</f>
        <v>Saurabh Mittal</v>
      </c>
      <c r="C1643" s="17" t="str">
        <f>IFERROR(__xludf.DUMMYFUNCTION("""COMPUTED_VALUE"""),"CTO")</f>
        <v>CTO</v>
      </c>
      <c r="D1643" s="27" t="str">
        <f>IFERROR(__xludf.DUMMYFUNCTION("""COMPUTED_VALUE"""),"linkedin.com/in/stmittal")</f>
        <v>linkedin.com/in/stmittal</v>
      </c>
      <c r="E1643" s="17"/>
      <c r="F1643" s="17" t="str">
        <f>IFERROR(__xludf.DUMMYFUNCTION("""COMPUTED_VALUE"""),"stmittal@gmail.com")</f>
        <v>stmittal@gmail.com</v>
      </c>
      <c r="G1643" s="17"/>
      <c r="H1643" s="17"/>
    </row>
    <row r="1644">
      <c r="A1644" s="17" t="str">
        <f>IFERROR(__xludf.DUMMYFUNCTION("""COMPUTED_VALUE"""),"PwC")</f>
        <v>PwC</v>
      </c>
      <c r="B1644" s="17" t="str">
        <f>IFERROR(__xludf.DUMMYFUNCTION("""COMPUTED_VALUE"""),"Vikas Agarwal")</f>
        <v>Vikas Agarwal</v>
      </c>
      <c r="C1644" s="17" t="str">
        <f>IFERROR(__xludf.DUMMYFUNCTION("""COMPUTED_VALUE"""),"CTIO")</f>
        <v>CTIO</v>
      </c>
      <c r="D1644" s="27" t="str">
        <f>IFERROR(__xludf.DUMMYFUNCTION("""COMPUTED_VALUE"""),"linkedin.com/in/vikas-agarwal-b5528a2")</f>
        <v>linkedin.com/in/vikas-agarwal-b5528a2</v>
      </c>
      <c r="E1644" s="17"/>
      <c r="F1644" s="17" t="str">
        <f>IFERROR(__xludf.DUMMYFUNCTION("""COMPUTED_VALUE"""),"vikas.k.agarwal@pwc.com, vikster@gmail.com")</f>
        <v>vikas.k.agarwal@pwc.com, vikster@gmail.com</v>
      </c>
      <c r="G1644" s="17"/>
      <c r="H1644" s="17"/>
    </row>
    <row r="1645">
      <c r="A1645" s="17" t="str">
        <f>IFERROR(__xludf.DUMMYFUNCTION("""COMPUTED_VALUE"""),"Rekise Marine")</f>
        <v>Rekise Marine</v>
      </c>
      <c r="B1645" s="17" t="str">
        <f>IFERROR(__xludf.DUMMYFUNCTION("""COMPUTED_VALUE"""),"Dibyendu Ghosh")</f>
        <v>Dibyendu Ghosh</v>
      </c>
      <c r="C1645" s="17" t="str">
        <f>IFERROR(__xludf.DUMMYFUNCTION("""COMPUTED_VALUE"""),"Vice President-Robotics")</f>
        <v>Vice President-Robotics</v>
      </c>
      <c r="D1645" s="27" t="str">
        <f>IFERROR(__xludf.DUMMYFUNCTION("""COMPUTED_VALUE"""),"linkedin.com/in/dibyendu-ghosh-97978213")</f>
        <v>linkedin.com/in/dibyendu-ghosh-97978213</v>
      </c>
      <c r="E1645" s="17"/>
      <c r="F1645" s="17" t="str">
        <f>IFERROR(__xludf.DUMMYFUNCTION("""COMPUTED_VALUE"""),"dibyendu.ghosh@rekise.com, dibyendu35@gmail.com")</f>
        <v>dibyendu.ghosh@rekise.com, dibyendu35@gmail.com</v>
      </c>
      <c r="G1645" s="17"/>
      <c r="H1645" s="17"/>
    </row>
    <row r="1646">
      <c r="A1646" s="17" t="str">
        <f>IFERROR(__xludf.DUMMYFUNCTION("""COMPUTED_VALUE"""),"Risa")</f>
        <v>Risa</v>
      </c>
      <c r="B1646" s="17" t="str">
        <f>IFERROR(__xludf.DUMMYFUNCTION("""COMPUTED_VALUE"""),"Kumar Shivang")</f>
        <v>Kumar Shivang</v>
      </c>
      <c r="C1646" s="17" t="str">
        <f>IFERROR(__xludf.DUMMYFUNCTION("""COMPUTED_VALUE"""),"CTO")</f>
        <v>CTO</v>
      </c>
      <c r="D1646" s="27" t="str">
        <f>IFERROR(__xludf.DUMMYFUNCTION("""COMPUTED_VALUE"""),"linkedin.com/in/kshivang")</f>
        <v>linkedin.com/in/kshivang</v>
      </c>
      <c r="E1646" s="17"/>
      <c r="F1646" s="17" t="str">
        <f>IFERROR(__xludf.DUMMYFUNCTION("""COMPUTED_VALUE"""),"shivangshivang@gmail.com, shivangiitk@gmail.com, shivang@risa.health, shivang@urbanyogi.app")</f>
        <v>shivangshivang@gmail.com, shivangiitk@gmail.com, shivang@risa.health, shivang@urbanyogi.app</v>
      </c>
      <c r="G1646" s="17"/>
      <c r="H1646" s="17"/>
    </row>
    <row r="1647">
      <c r="A1647" s="17" t="str">
        <f>IFERROR(__xludf.DUMMYFUNCTION("""COMPUTED_VALUE"""),"SutraNova Ventures")</f>
        <v>SutraNova Ventures</v>
      </c>
      <c r="B1647" s="17" t="str">
        <f>IFERROR(__xludf.DUMMYFUNCTION("""COMPUTED_VALUE"""),"Sandeep Agarwal")</f>
        <v>Sandeep Agarwal</v>
      </c>
      <c r="C1647" s="17" t="str">
        <f>IFERROR(__xludf.DUMMYFUNCTION("""COMPUTED_VALUE"""),"CEO &amp; CTO")</f>
        <v>CEO &amp; CTO</v>
      </c>
      <c r="D1647" s="27" t="str">
        <f>IFERROR(__xludf.DUMMYFUNCTION("""COMPUTED_VALUE"""),"linkedin.com/in/sandeepbagarwal")</f>
        <v>linkedin.com/in/sandeepbagarwal</v>
      </c>
      <c r="E1647" s="17"/>
      <c r="F1647" s="17" t="str">
        <f>IFERROR(__xludf.DUMMYFUNCTION("""COMPUTED_VALUE"""),"sandeep.agarwal@sutranovaventures.com, sandeep.agarwal@visionetsystems.com, sandeep.agarwal@visionet.com")</f>
        <v>sandeep.agarwal@sutranovaventures.com, sandeep.agarwal@visionetsystems.com, sandeep.agarwal@visionet.com</v>
      </c>
      <c r="G1647" s="17"/>
      <c r="H1647" s="17"/>
    </row>
    <row r="1648">
      <c r="A1648" s="17" t="str">
        <f>IFERROR(__xludf.DUMMYFUNCTION("""COMPUTED_VALUE"""),"Samsara")</f>
        <v>Samsara</v>
      </c>
      <c r="B1648" s="17" t="str">
        <f>IFERROR(__xludf.DUMMYFUNCTION("""COMPUTED_VALUE"""),"Amar Bura")</f>
        <v>Amar Bura</v>
      </c>
      <c r="C1648" s="17" t="str">
        <f>IFERROR(__xludf.DUMMYFUNCTION("""COMPUTED_VALUE"""),"Go-To-Market Systems Leader")</f>
        <v>Go-To-Market Systems Leader</v>
      </c>
      <c r="D1648" s="27" t="str">
        <f>IFERROR(__xludf.DUMMYFUNCTION("""COMPUTED_VALUE"""),"linkedin.com/in/amarbura")</f>
        <v>linkedin.com/in/amarbura</v>
      </c>
      <c r="E1648" s="17"/>
      <c r="F1648" s="17" t="str">
        <f>IFERROR(__xludf.DUMMYFUNCTION("""COMPUTED_VALUE"""),"amarbura76@gmail.com, amarendar.b@gmail.com, 
amar.bura@samsara.com")</f>
        <v>amarbura76@gmail.com, amarendar.b@gmail.com, 
amar.bura@samsara.com</v>
      </c>
      <c r="G1648" s="17"/>
      <c r="H1648" s="17"/>
    </row>
    <row r="1649">
      <c r="A1649" s="17" t="str">
        <f>IFERROR(__xludf.DUMMYFUNCTION("""COMPUTED_VALUE"""),"Seimens healthineers")</f>
        <v>Seimens healthineers</v>
      </c>
      <c r="B1649" s="17" t="str">
        <f>IFERROR(__xludf.DUMMYFUNCTION("""COMPUTED_VALUE"""),"Santosh Nair")</f>
        <v>Santosh Nair</v>
      </c>
      <c r="C1649" s="17" t="str">
        <f>IFERROR(__xludf.DUMMYFUNCTION("""COMPUTED_VALUE"""),"Regional Head Tech")</f>
        <v>Regional Head Tech</v>
      </c>
      <c r="D1649" s="27" t="str">
        <f>IFERROR(__xludf.DUMMYFUNCTION("""COMPUTED_VALUE"""),"linkedin.com/in/nairsantosh")</f>
        <v>linkedin.com/in/nairsantosh</v>
      </c>
      <c r="E1649" s="17"/>
      <c r="F1649" s="17" t="str">
        <f>IFERROR(__xludf.DUMMYFUNCTION("""COMPUTED_VALUE"""),"santosh.nair@siemens.com, santoshnairind@gmail.com")</f>
        <v>santosh.nair@siemens.com, santoshnairind@gmail.com</v>
      </c>
      <c r="G1649" s="17"/>
      <c r="H1649" s="17"/>
    </row>
    <row r="1650">
      <c r="A1650" s="17" t="str">
        <f>IFERROR(__xludf.DUMMYFUNCTION("""COMPUTED_VALUE"""),"SLB")</f>
        <v>SLB</v>
      </c>
      <c r="B1650" s="17" t="str">
        <f>IFERROR(__xludf.DUMMYFUNCTION("""COMPUTED_VALUE"""),"Lalit Aggarwal")</f>
        <v>Lalit Aggarwal</v>
      </c>
      <c r="C1650" s="17" t="str">
        <f>IFERROR(__xludf.DUMMYFUNCTION("""COMPUTED_VALUE"""),"Managing Director")</f>
        <v>Managing Director</v>
      </c>
      <c r="D1650" s="27" t="str">
        <f>IFERROR(__xludf.DUMMYFUNCTION("""COMPUTED_VALUE"""),"linkedin.com/in/lalit-aggarwal-5b08b615")</f>
        <v>linkedin.com/in/lalit-aggarwal-5b08b615</v>
      </c>
      <c r="E1650" s="17"/>
      <c r="F1650" s="17" t="str">
        <f>IFERROR(__xludf.DUMMYFUNCTION("""COMPUTED_VALUE"""),"laggarwal@slb.com, lalit_kelley@yahoo.com")</f>
        <v>laggarwal@slb.com, lalit_kelley@yahoo.com</v>
      </c>
      <c r="G1650" s="17"/>
      <c r="H1650" s="17"/>
    </row>
    <row r="1651">
      <c r="A1651" s="17" t="str">
        <f>IFERROR(__xludf.DUMMYFUNCTION("""COMPUTED_VALUE"""),"Sprinklr")</f>
        <v>Sprinklr</v>
      </c>
      <c r="B1651" s="17" t="str">
        <f>IFERROR(__xludf.DUMMYFUNCTION("""COMPUTED_VALUE"""),"Amitabh Misra")</f>
        <v>Amitabh Misra</v>
      </c>
      <c r="C1651" s="17" t="str">
        <f>IFERROR(__xludf.DUMMYFUNCTION("""COMPUTED_VALUE"""),"CTO")</f>
        <v>CTO</v>
      </c>
      <c r="D1651" s="27" t="str">
        <f>IFERROR(__xludf.DUMMYFUNCTION("""COMPUTED_VALUE"""),"linkedin.com/in/amitabhmisra")</f>
        <v>linkedin.com/in/amitabhmisra</v>
      </c>
      <c r="E1651" s="17"/>
      <c r="F1651" s="17" t="str">
        <f>IFERROR(__xludf.DUMMYFUNCTION("""COMPUTED_VALUE"""),"amitabhmisra@gmail.com, amitabh.misra@sprinklr.com")</f>
        <v>amitabhmisra@gmail.com, amitabh.misra@sprinklr.com</v>
      </c>
      <c r="G1651" s="17"/>
      <c r="H1651" s="17"/>
    </row>
    <row r="1652">
      <c r="A1652" s="17" t="str">
        <f>IFERROR(__xludf.DUMMYFUNCTION("""COMPUTED_VALUE"""),"Squarepoint Capital")</f>
        <v>Squarepoint Capital</v>
      </c>
      <c r="B1652" s="17" t="str">
        <f>IFERROR(__xludf.DUMMYFUNCTION("""COMPUTED_VALUE"""),"Ganesh Chodisetti")</f>
        <v>Ganesh Chodisetti</v>
      </c>
      <c r="C1652" s="17" t="str">
        <f>IFERROR(__xludf.DUMMYFUNCTION("""COMPUTED_VALUE"""),"COO( Technology)")</f>
        <v>COO( Technology)</v>
      </c>
      <c r="D1652" s="27" t="str">
        <f>IFERROR(__xludf.DUMMYFUNCTION("""COMPUTED_VALUE"""),"linkedin.com/in/ganesh-chodisetti-3765947")</f>
        <v>linkedin.com/in/ganesh-chodisetti-3765947</v>
      </c>
      <c r="E1652" s="17"/>
      <c r="F1652" s="17" t="str">
        <f>IFERROR(__xludf.DUMMYFUNCTION("""COMPUTED_VALUE"""),"crsganesh2002@yahoo.com, ganesh.chodisetti@squarepoint-capital.com")</f>
        <v>crsganesh2002@yahoo.com, ganesh.chodisetti@squarepoint-capital.com</v>
      </c>
      <c r="G1652" s="17"/>
      <c r="H1652" s="17"/>
    </row>
    <row r="1653">
      <c r="A1653" s="17" t="str">
        <f>IFERROR(__xludf.DUMMYFUNCTION("""COMPUTED_VALUE"""),"Samsung R&amp;D Institute")</f>
        <v>Samsung R&amp;D Institute</v>
      </c>
      <c r="B1653" s="17" t="str">
        <f>IFERROR(__xludf.DUMMYFUNCTION("""COMPUTED_VALUE"""),"Mohan Rao ")</f>
        <v>Mohan Rao </v>
      </c>
      <c r="C1653" s="17" t="str">
        <f>IFERROR(__xludf.DUMMYFUNCTION("""COMPUTED_VALUE"""),"Managing Director and Corporate Vice President")</f>
        <v>Managing Director and Corporate Vice President</v>
      </c>
      <c r="D1653" s="27" t="str">
        <f>IFERROR(__xludf.DUMMYFUNCTION("""COMPUTED_VALUE"""),"linkedin.com/in/mohan-rao-8262a75")</f>
        <v>linkedin.com/in/mohan-rao-8262a75</v>
      </c>
      <c r="E1653" s="17"/>
      <c r="F1653" s="17" t="str">
        <f>IFERROR(__xludf.DUMMYFUNCTION("""COMPUTED_VALUE"""),"gnsmohan@gmail.com, mohan.rao@samsung.com")</f>
        <v>gnsmohan@gmail.com, mohan.rao@samsung.com</v>
      </c>
      <c r="G1653" s="17"/>
      <c r="H1653" s="17"/>
    </row>
    <row r="1654">
      <c r="A1654" s="17" t="str">
        <f>IFERROR(__xludf.DUMMYFUNCTION("""COMPUTED_VALUE"""),"Standard Chartered")</f>
        <v>Standard Chartered</v>
      </c>
      <c r="B1654" s="17" t="str">
        <f>IFERROR(__xludf.DUMMYFUNCTION("""COMPUTED_VALUE"""),"Zuzar Tinwalla")</f>
        <v>Zuzar Tinwalla</v>
      </c>
      <c r="C1654" s="17" t="str">
        <f>IFERROR(__xludf.DUMMYFUNCTION("""COMPUTED_VALUE"""),"Chief Technology and Operations Officer")</f>
        <v>Chief Technology and Operations Officer</v>
      </c>
      <c r="D1654" s="27" t="str">
        <f>IFERROR(__xludf.DUMMYFUNCTION("""COMPUTED_VALUE"""),"linkedin.com/in/zuzar-tinwalla-a4b9a423")</f>
        <v>linkedin.com/in/zuzar-tinwalla-a4b9a423</v>
      </c>
      <c r="E1654" s="17"/>
      <c r="F1654" s="17" t="str">
        <f>IFERROR(__xludf.DUMMYFUNCTION("""COMPUTED_VALUE"""),"zuzart@hotmail.com, zuzar.tinwalla@sc.com")</f>
        <v>zuzart@hotmail.com, zuzar.tinwalla@sc.com</v>
      </c>
      <c r="G1654" s="17"/>
      <c r="H1654" s="17"/>
    </row>
    <row r="1655">
      <c r="A1655" s="17" t="str">
        <f>IFERROR(__xludf.DUMMYFUNCTION("""COMPUTED_VALUE"""),"YCP Auctus")</f>
        <v>YCP Auctus</v>
      </c>
      <c r="B1655" s="17" t="str">
        <f>IFERROR(__xludf.DUMMYFUNCTION("""COMPUTED_VALUE"""),"Pooja Jain")</f>
        <v>Pooja Jain</v>
      </c>
      <c r="C1655" s="17" t="str">
        <f>IFERROR(__xludf.DUMMYFUNCTION("""COMPUTED_VALUE"""),"Director")</f>
        <v>Director</v>
      </c>
      <c r="D1655" s="27" t="str">
        <f>IFERROR(__xludf.DUMMYFUNCTION("""COMPUTED_VALUE"""),"linkedin.com/in/pooja-jain-08b86547")</f>
        <v>linkedin.com/in/pooja-jain-08b86547</v>
      </c>
      <c r="E1655" s="17"/>
      <c r="F1655" s="17" t="str">
        <f>IFERROR(__xludf.DUMMYFUNCTION("""COMPUTED_VALUE"""),"p13poojaj@iima.ac.in, pjain1791@gmail.com
")</f>
        <v>p13poojaj@iima.ac.in, pjain1791@gmail.com
</v>
      </c>
      <c r="G1655" s="17"/>
      <c r="H1655" s="17"/>
    </row>
    <row r="1656">
      <c r="A1656" s="17" t="str">
        <f>IFERROR(__xludf.DUMMYFUNCTION("""COMPUTED_VALUE"""),"Company")</f>
        <v>Company</v>
      </c>
      <c r="B1656" s="17" t="str">
        <f>IFERROR(__xludf.DUMMYFUNCTION("""COMPUTED_VALUE"""),"Name")</f>
        <v>Name</v>
      </c>
      <c r="C1656" s="17" t="str">
        <f>IFERROR(__xludf.DUMMYFUNCTION("""COMPUTED_VALUE"""),"Designation")</f>
        <v>Designation</v>
      </c>
      <c r="D1656" s="17" t="str">
        <f>IFERROR(__xludf.DUMMYFUNCTION("""COMPUTED_VALUE"""),"LinkedIn Id")</f>
        <v>LinkedIn Id</v>
      </c>
      <c r="E1656" s="17" t="str">
        <f>IFERROR(__xludf.DUMMYFUNCTION("""COMPUTED_VALUE"""),"Contact No.")</f>
        <v>Contact No.</v>
      </c>
      <c r="F1656" s="17" t="str">
        <f>IFERROR(__xludf.DUMMYFUNCTION("""COMPUTED_VALUE"""),"Email")</f>
        <v>Email</v>
      </c>
      <c r="G1656" s="17"/>
      <c r="H1656" s="17"/>
    </row>
    <row r="1657">
      <c r="A1657" s="17" t="str">
        <f>IFERROR(__xludf.DUMMYFUNCTION("""COMPUTED_VALUE"""),"Nykaa")</f>
        <v>Nykaa</v>
      </c>
      <c r="B1657" s="17" t="str">
        <f>IFERROR(__xludf.DUMMYFUNCTION("""COMPUTED_VALUE"""),"Falguni Nayar")</f>
        <v>Falguni Nayar</v>
      </c>
      <c r="C1657" s="17" t="str">
        <f>IFERROR(__xludf.DUMMYFUNCTION("""COMPUTED_VALUE"""),"Founder &amp; CEO")</f>
        <v>Founder &amp; CEO</v>
      </c>
      <c r="D1657" s="17"/>
      <c r="E1657" s="17" t="str">
        <f>IFERROR(__xludf.DUMMYFUNCTION("""COMPUTED_VALUE"""),"9819921521 || 9820021521 ||  9920557995")</f>
        <v>9819921521 || 9820021521 ||  9920557995</v>
      </c>
      <c r="F1657" s="17" t="str">
        <f>IFERROR(__xludf.DUMMYFUNCTION("""COMPUTED_VALUE"""),"falguni.nayar@nykaa.com")</f>
        <v>falguni.nayar@nykaa.com</v>
      </c>
      <c r="G1657" s="17"/>
      <c r="H1657" s="17"/>
    </row>
    <row r="1658">
      <c r="A1658" s="17" t="str">
        <f>IFERROR(__xludf.DUMMYFUNCTION("""COMPUTED_VALUE"""),"Mamaearth (Honasa Consumer Ltd.)")</f>
        <v>Mamaearth (Honasa Consumer Ltd.)</v>
      </c>
      <c r="B1658" s="17" t="str">
        <f>IFERROR(__xludf.DUMMYFUNCTION("""COMPUTED_VALUE"""),"Ghazaal Alagh")</f>
        <v>Ghazaal Alagh</v>
      </c>
      <c r="C1658" s="17" t="str">
        <f>IFERROR(__xludf.DUMMYFUNCTION("""COMPUTED_VALUE"""),"Co-founder &amp; CIO")</f>
        <v>Co-founder &amp; CIO</v>
      </c>
      <c r="D1658" s="17"/>
      <c r="E1658" s="17" t="str">
        <f>IFERROR(__xludf.DUMMYFUNCTION("""COMPUTED_VALUE"""),"9873552328")</f>
        <v>9873552328</v>
      </c>
      <c r="F1658" s="17" t="str">
        <f>IFERROR(__xludf.DUMMYFUNCTION("""COMPUTED_VALUE"""),"ghazal@honasa.in")</f>
        <v>ghazal@honasa.in</v>
      </c>
      <c r="G1658" s="17"/>
      <c r="H1658" s="17"/>
    </row>
    <row r="1659">
      <c r="A1659" s="17" t="str">
        <f>IFERROR(__xludf.DUMMYFUNCTION("""COMPUTED_VALUE"""),"Sugar Cosmetics")</f>
        <v>Sugar Cosmetics</v>
      </c>
      <c r="B1659" s="17" t="str">
        <f>IFERROR(__xludf.DUMMYFUNCTION("""COMPUTED_VALUE"""),"Vineeta Singh")</f>
        <v>Vineeta Singh</v>
      </c>
      <c r="C1659" s="17" t="str">
        <f>IFERROR(__xludf.DUMMYFUNCTION("""COMPUTED_VALUE"""),"Co-founder &amp; CEO")</f>
        <v>Co-founder &amp; CEO</v>
      </c>
      <c r="D1659" s="17"/>
      <c r="E1659" s="17" t="str">
        <f>IFERROR(__xludf.DUMMYFUNCTION("""COMPUTED_VALUE"""),"9377958010")</f>
        <v>9377958010</v>
      </c>
      <c r="F1659" s="17" t="str">
        <f>IFERROR(__xludf.DUMMYFUNCTION("""COMPUTED_VALUE"""),"vineeta@sugarcosmetics.com")</f>
        <v>vineeta@sugarcosmetics.com</v>
      </c>
      <c r="G1659" s="17"/>
      <c r="H1659" s="17"/>
    </row>
    <row r="1660">
      <c r="A1660" s="17" t="str">
        <f>IFERROR(__xludf.DUMMYFUNCTION("""COMPUTED_VALUE"""),"OfBusiness")</f>
        <v>OfBusiness</v>
      </c>
      <c r="B1660" s="17" t="str">
        <f>IFERROR(__xludf.DUMMYFUNCTION("""COMPUTED_VALUE"""),"Ruchi Kalra")</f>
        <v>Ruchi Kalra</v>
      </c>
      <c r="C1660" s="17" t="str">
        <f>IFERROR(__xludf.DUMMYFUNCTION("""COMPUTED_VALUE"""),"Co-founder")</f>
        <v>Co-founder</v>
      </c>
      <c r="D1660" s="17"/>
      <c r="E1660" s="17"/>
      <c r="F1660" s="17"/>
      <c r="G1660" s="17"/>
      <c r="H1660" s="17"/>
    </row>
    <row r="1661">
      <c r="A1661" s="17" t="str">
        <f>IFERROR(__xludf.DUMMYFUNCTION("""COMPUTED_VALUE"""),"MobiKwik")</f>
        <v>MobiKwik</v>
      </c>
      <c r="B1661" s="17" t="str">
        <f>IFERROR(__xludf.DUMMYFUNCTION("""COMPUTED_VALUE"""),"Upasana Taku")</f>
        <v>Upasana Taku</v>
      </c>
      <c r="C1661" s="17" t="str">
        <f>IFERROR(__xludf.DUMMYFUNCTION("""COMPUTED_VALUE"""),"Co-founder")</f>
        <v>Co-founder</v>
      </c>
      <c r="D1661" s="17"/>
      <c r="E1661" s="17" t="str">
        <f>IFERROR(__xludf.DUMMYFUNCTION("""COMPUTED_VALUE"""),"9971713461 || 9239089912")</f>
        <v>9971713461 || 9239089912</v>
      </c>
      <c r="F1661" s="17" t="str">
        <f>IFERROR(__xludf.DUMMYFUNCTION("""COMPUTED_VALUE"""),"upasana@mobikwik.com")</f>
        <v>upasana@mobikwik.com</v>
      </c>
      <c r="G1661" s="17" t="str">
        <f>IFERROR(__xludf.DUMMYFUNCTION("""COMPUTED_VALUE"""),"upasana@zaakpay.com")</f>
        <v>upasana@zaakpay.com</v>
      </c>
      <c r="H1661" s="17"/>
    </row>
    <row r="1662">
      <c r="A1662" s="17" t="str">
        <f>IFERROR(__xludf.DUMMYFUNCTION("""COMPUTED_VALUE"""),"Good Glamm Group")</f>
        <v>Good Glamm Group</v>
      </c>
      <c r="B1662" s="17" t="str">
        <f>IFERROR(__xludf.DUMMYFUNCTION("""COMPUTED_VALUE"""),"Naiyya Saggi")</f>
        <v>Naiyya Saggi</v>
      </c>
      <c r="C1662" s="17" t="str">
        <f>IFERROR(__xludf.DUMMYFUNCTION("""COMPUTED_VALUE"""),"Founder")</f>
        <v>Founder</v>
      </c>
      <c r="D1662" s="17"/>
      <c r="E1662" s="17"/>
      <c r="F1662" s="17" t="str">
        <f>IFERROR(__xludf.DUMMYFUNCTION("""COMPUTED_VALUE"""),"naiyya@gmail.com")</f>
        <v>naiyya@gmail.com</v>
      </c>
      <c r="G1662" s="17"/>
      <c r="H1662" s="17"/>
    </row>
    <row r="1663">
      <c r="A1663" s="17" t="str">
        <f>IFERROR(__xludf.DUMMYFUNCTION("""COMPUTED_VALUE"""),"LogiNext")</f>
        <v>LogiNext</v>
      </c>
      <c r="B1663" s="17" t="str">
        <f>IFERROR(__xludf.DUMMYFUNCTION("""COMPUTED_VALUE"""),"Manisha Raisinghani")</f>
        <v>Manisha Raisinghani</v>
      </c>
      <c r="C1663" s="17" t="str">
        <f>IFERROR(__xludf.DUMMYFUNCTION("""COMPUTED_VALUE"""),"Co-founder")</f>
        <v>Co-founder</v>
      </c>
      <c r="D1663" s="17"/>
      <c r="E1663" s="17" t="str">
        <f>IFERROR(__xludf.DUMMYFUNCTION("""COMPUTED_VALUE"""),"7770021100")</f>
        <v>7770021100</v>
      </c>
      <c r="F1663" s="17" t="str">
        <f>IFERROR(__xludf.DUMMYFUNCTION("""COMPUTED_VALUE"""),"manisha@sifthub.io")</f>
        <v>manisha@sifthub.io</v>
      </c>
      <c r="G1663" s="17"/>
      <c r="H1663" s="17"/>
    </row>
    <row r="1664">
      <c r="A1664" s="17" t="str">
        <f>IFERROR(__xludf.DUMMYFUNCTION("""COMPUTED_VALUE"""),"CashKaro")</f>
        <v>CashKaro</v>
      </c>
      <c r="B1664" s="17" t="str">
        <f>IFERROR(__xludf.DUMMYFUNCTION("""COMPUTED_VALUE"""),"Swati Bhargava")</f>
        <v>Swati Bhargava</v>
      </c>
      <c r="C1664" s="17" t="str">
        <f>IFERROR(__xludf.DUMMYFUNCTION("""COMPUTED_VALUE"""),"Co-founder")</f>
        <v>Co-founder</v>
      </c>
      <c r="D1664" s="17"/>
      <c r="E1664" s="17" t="str">
        <f>IFERROR(__xludf.DUMMYFUNCTION("""COMPUTED_VALUE"""),"9560073913")</f>
        <v>9560073913</v>
      </c>
      <c r="F1664" s="17" t="str">
        <f>IFERROR(__xludf.DUMMYFUNCTION("""COMPUTED_VALUE"""),"swati@cashkaro.com")</f>
        <v>swati@cashkaro.com</v>
      </c>
      <c r="G1664" s="17"/>
      <c r="H1664" s="17"/>
    </row>
    <row r="1665">
      <c r="A1665" s="17" t="str">
        <f>IFERROR(__xludf.DUMMYFUNCTION("""COMPUTED_VALUE"""),"Yatra")</f>
        <v>Yatra</v>
      </c>
      <c r="B1665" s="17" t="str">
        <f>IFERROR(__xludf.DUMMYFUNCTION("""COMPUTED_VALUE"""),"Sabina Chopra")</f>
        <v>Sabina Chopra</v>
      </c>
      <c r="C1665" s="17" t="str">
        <f>IFERROR(__xludf.DUMMYFUNCTION("""COMPUTED_VALUE"""),"Co-founder")</f>
        <v>Co-founder</v>
      </c>
      <c r="D1665" s="17"/>
      <c r="E1665" s="17" t="str">
        <f>IFERROR(__xludf.DUMMYFUNCTION("""COMPUTED_VALUE"""),"           981807755 || 9818017552  ||  8041849325 ||  8041118626")</f>
        <v>           981807755 || 9818017552  ||  8041849325 ||  8041118626</v>
      </c>
      <c r="F1665" s="17" t="str">
        <f>IFERROR(__xludf.DUMMYFUNCTION("""COMPUTED_VALUE"""),"sabina.chopra@yatra.com")</f>
        <v>sabina.chopra@yatra.com</v>
      </c>
      <c r="G1665" s="17"/>
      <c r="H1665" s="17"/>
    </row>
    <row r="1666">
      <c r="A1666" s="17" t="str">
        <f>IFERROR(__xludf.DUMMYFUNCTION("""COMPUTED_VALUE"""),"Atlan")</f>
        <v>Atlan</v>
      </c>
      <c r="B1666" s="17" t="str">
        <f>IFERROR(__xludf.DUMMYFUNCTION("""COMPUTED_VALUE"""),"Prukalpa Sankar")</f>
        <v>Prukalpa Sankar</v>
      </c>
      <c r="C1666" s="17" t="str">
        <f>IFERROR(__xludf.DUMMYFUNCTION("""COMPUTED_VALUE"""),"Co-founder")</f>
        <v>Co-founder</v>
      </c>
      <c r="D1666" s="17"/>
      <c r="E1666" s="17"/>
      <c r="F1666" s="17" t="str">
        <f>IFERROR(__xludf.DUMMYFUNCTION("""COMPUTED_VALUE"""),"p@atlan.com")</f>
        <v>p@atlan.com</v>
      </c>
      <c r="G1666" s="17"/>
      <c r="H1666" s="17"/>
    </row>
    <row r="1667">
      <c r="A1667" s="17" t="str">
        <f>IFERROR(__xludf.DUMMYFUNCTION("""COMPUTED_VALUE"""),"INDmoney")</f>
        <v>INDmoney</v>
      </c>
      <c r="B1667" s="17" t="str">
        <f>IFERROR(__xludf.DUMMYFUNCTION("""COMPUTED_VALUE"""),"Amrita Sirohia")</f>
        <v>Amrita Sirohia</v>
      </c>
      <c r="C1667" s="17" t="str">
        <f>IFERROR(__xludf.DUMMYFUNCTION("""COMPUTED_VALUE"""),"Co-founder &amp; CIO")</f>
        <v>Co-founder &amp; CIO</v>
      </c>
      <c r="D1667" s="17"/>
      <c r="E1667" s="17"/>
      <c r="F1667" s="17" t="str">
        <f>IFERROR(__xludf.DUMMYFUNCTION("""COMPUTED_VALUE"""),"amritasirohia2005@gmail.com")</f>
        <v>amritasirohia2005@gmail.com</v>
      </c>
      <c r="G1667" s="17"/>
      <c r="H1667" s="17"/>
    </row>
    <row r="1668">
      <c r="A1668" s="17" t="str">
        <f>IFERROR(__xludf.DUMMYFUNCTION("""COMPUTED_VALUE"""),"Progcap")</f>
        <v>Progcap</v>
      </c>
      <c r="B1668" s="17" t="str">
        <f>IFERROR(__xludf.DUMMYFUNCTION("""COMPUTED_VALUE"""),"Pallavi Shrivastava")</f>
        <v>Pallavi Shrivastava</v>
      </c>
      <c r="C1668" s="17" t="str">
        <f>IFERROR(__xludf.DUMMYFUNCTION("""COMPUTED_VALUE"""),"Co-founder")</f>
        <v>Co-founder</v>
      </c>
      <c r="D1668" s="17"/>
      <c r="E1668" s="17"/>
      <c r="F1668" s="17" t="str">
        <f>IFERROR(__xludf.DUMMYFUNCTION("""COMPUTED_VALUE"""),"pallavi@progcap.com")</f>
        <v>pallavi@progcap.com</v>
      </c>
      <c r="G1668" s="17"/>
      <c r="H1668" s="17"/>
    </row>
    <row r="1669">
      <c r="A1669" s="17" t="str">
        <f>IFERROR(__xludf.DUMMYFUNCTION("""COMPUTED_VALUE"""),"Zypp Electric")</f>
        <v>Zypp Electric</v>
      </c>
      <c r="B1669" s="17" t="str">
        <f>IFERROR(__xludf.DUMMYFUNCTION("""COMPUTED_VALUE"""),"Rashi Agarwal")</f>
        <v>Rashi Agarwal</v>
      </c>
      <c r="C1669" s="17" t="str">
        <f>IFERROR(__xludf.DUMMYFUNCTION("""COMPUTED_VALUE"""),"Co-founder")</f>
        <v>Co-founder</v>
      </c>
      <c r="D1669" s="17"/>
      <c r="E1669" s="17"/>
      <c r="F1669" s="17" t="str">
        <f>IFERROR(__xludf.DUMMYFUNCTION("""COMPUTED_VALUE"""),"rashi.agarwal@zypp.app")</f>
        <v>rashi.agarwal@zypp.app</v>
      </c>
      <c r="G1669" s="17"/>
      <c r="H1669" s="17"/>
    </row>
    <row r="1670">
      <c r="A1670" s="17" t="str">
        <f>IFERROR(__xludf.DUMMYFUNCTION("""COMPUTED_VALUE"""),"Chalo")</f>
        <v>Chalo</v>
      </c>
      <c r="B1670" s="17" t="str">
        <f>IFERROR(__xludf.DUMMYFUNCTION("""COMPUTED_VALUE"""),"Priya Singh")</f>
        <v>Priya Singh</v>
      </c>
      <c r="C1670" s="17" t="str">
        <f>IFERROR(__xludf.DUMMYFUNCTION("""COMPUTED_VALUE"""),"Co-founder")</f>
        <v>Co-founder</v>
      </c>
      <c r="D1670" s="17"/>
      <c r="E1670" s="17" t="str">
        <f>IFERROR(__xludf.DUMMYFUNCTION("""COMPUTED_VALUE"""),"9987846666")</f>
        <v>9987846666</v>
      </c>
      <c r="F1670" s="17" t="str">
        <f>IFERROR(__xludf.DUMMYFUNCTION("""COMPUTED_VALUE"""),"priyasingh@sistec.ac.in")</f>
        <v>priyasingh@sistec.ac.in</v>
      </c>
      <c r="G1670" s="17"/>
      <c r="H1670" s="17"/>
    </row>
    <row r="1671">
      <c r="A1671" s="17" t="str">
        <f>IFERROR(__xludf.DUMMYFUNCTION("""COMPUTED_VALUE"""),"GIVA")</f>
        <v>GIVA</v>
      </c>
      <c r="B1671" s="17" t="str">
        <f>IFERROR(__xludf.DUMMYFUNCTION("""COMPUTED_VALUE"""),"Nikita Prasad")</f>
        <v>Nikita Prasad</v>
      </c>
      <c r="C1671" s="17" t="str">
        <f>IFERROR(__xludf.DUMMYFUNCTION("""COMPUTED_VALUE"""),"Founder &amp; CEO")</f>
        <v>Founder &amp; CEO</v>
      </c>
      <c r="D1671" s="17"/>
      <c r="E1671" s="17" t="str">
        <f>IFERROR(__xludf.DUMMYFUNCTION("""COMPUTED_VALUE"""),"9176835167")</f>
        <v>9176835167</v>
      </c>
      <c r="F1671" s="17" t="str">
        <f>IFERROR(__xludf.DUMMYFUNCTION("""COMPUTED_VALUE"""),"nikita@giva.co")</f>
        <v>nikita@giva.co</v>
      </c>
      <c r="G1671" s="17"/>
      <c r="H1671" s="17"/>
    </row>
    <row r="1672">
      <c r="A1672" s="17" t="str">
        <f>IFERROR(__xludf.DUMMYFUNCTION("""COMPUTED_VALUE"""),"IndiQube")</f>
        <v>IndiQube</v>
      </c>
      <c r="B1672" s="17" t="str">
        <f>IFERROR(__xludf.DUMMYFUNCTION("""COMPUTED_VALUE"""),"Meghna Agarwal")</f>
        <v>Meghna Agarwal</v>
      </c>
      <c r="C1672" s="17" t="str">
        <f>IFERROR(__xludf.DUMMYFUNCTION("""COMPUTED_VALUE"""),"Co-founder")</f>
        <v>Co-founder</v>
      </c>
      <c r="D1672" s="17"/>
      <c r="E1672" s="17"/>
      <c r="F1672" s="17" t="str">
        <f>IFERROR(__xludf.DUMMYFUNCTION("""COMPUTED_VALUE"""),"meghna.agarwal@indiqube.com")</f>
        <v>meghna.agarwal@indiqube.com</v>
      </c>
      <c r="G1672" s="17"/>
      <c r="H1672" s="17"/>
    </row>
    <row r="1673">
      <c r="A1673" s="17" t="str">
        <f>IFERROR(__xludf.DUMMYFUNCTION("""COMPUTED_VALUE"""),"Square Yards")</f>
        <v>Square Yards</v>
      </c>
      <c r="B1673" s="17" t="str">
        <f>IFERROR(__xludf.DUMMYFUNCTION("""COMPUTED_VALUE"""),"Kanika Gupta Shori")</f>
        <v>Kanika Gupta Shori</v>
      </c>
      <c r="C1673" s="17" t="str">
        <f>IFERROR(__xludf.DUMMYFUNCTION("""COMPUTED_VALUE"""),"Co-founder")</f>
        <v>Co-founder</v>
      </c>
      <c r="D1673" s="17"/>
      <c r="E1673" s="17"/>
      <c r="F1673" s="17" t="str">
        <f>IFERROR(__xludf.DUMMYFUNCTION("""COMPUTED_VALUE"""),"kanika.gupta@squareyards.com")</f>
        <v>kanika.gupta@squareyards.com</v>
      </c>
      <c r="G1673" s="17"/>
      <c r="H1673" s="17"/>
    </row>
    <row r="1674">
      <c r="A1674" s="17" t="str">
        <f>IFERROR(__xludf.DUMMYFUNCTION("""COMPUTED_VALUE"""),"Zenwork")</f>
        <v>Zenwork</v>
      </c>
      <c r="B1674" s="17" t="str">
        <f>IFERROR(__xludf.DUMMYFUNCTION("""COMPUTED_VALUE"""),"Rekha Singh")</f>
        <v>Rekha Singh</v>
      </c>
      <c r="C1674" s="17" t="str">
        <f>IFERROR(__xludf.DUMMYFUNCTION("""COMPUTED_VALUE"""),"Founder &amp; CEO")</f>
        <v>Founder &amp; CEO</v>
      </c>
      <c r="D1674" s="17"/>
      <c r="E1674" s="17"/>
      <c r="F1674" s="17"/>
      <c r="G1674" s="17"/>
      <c r="H1674" s="17"/>
    </row>
    <row r="1675">
      <c r="A1675" s="17" t="str">
        <f>IFERROR(__xludf.DUMMYFUNCTION("""COMPUTED_VALUE"""),"BlueStone")</f>
        <v>BlueStone</v>
      </c>
      <c r="B1675" s="17" t="str">
        <f>IFERROR(__xludf.DUMMYFUNCTION("""COMPUTED_VALUE"""),"Vidya Nataraj")</f>
        <v>Vidya Nataraj</v>
      </c>
      <c r="C1675" s="17" t="str">
        <f>IFERROR(__xludf.DUMMYFUNCTION("""COMPUTED_VALUE"""),"Co-founder")</f>
        <v>Co-founder</v>
      </c>
      <c r="D1675" s="17"/>
      <c r="E1675" s="17"/>
      <c r="F1675" s="17" t="str">
        <f>IFERROR(__xludf.DUMMYFUNCTION("""COMPUTED_VALUE"""),"vidya@tailorman.com")</f>
        <v>vidya@tailorman.com</v>
      </c>
      <c r="G1675" s="17"/>
      <c r="H1675" s="17"/>
    </row>
    <row r="1676">
      <c r="A1676" s="17" t="str">
        <f>IFERROR(__xludf.DUMMYFUNCTION("""COMPUTED_VALUE"""),"Pixis")</f>
        <v>Pixis</v>
      </c>
      <c r="B1676" s="17" t="str">
        <f>IFERROR(__xludf.DUMMYFUNCTION("""COMPUTED_VALUE"""),"Vrushali Prasade")</f>
        <v>Vrushali Prasade</v>
      </c>
      <c r="C1676" s="17" t="str">
        <f>IFERROR(__xludf.DUMMYFUNCTION("""COMPUTED_VALUE"""),"Co-founder")</f>
        <v>Co-founder</v>
      </c>
      <c r="D1676" s="17"/>
      <c r="E1676" s="17"/>
      <c r="F1676" s="17" t="str">
        <f>IFERROR(__xludf.DUMMYFUNCTION("""COMPUTED_VALUE"""),"vrushalip@pixis.ai")</f>
        <v>vrushalip@pixis.ai</v>
      </c>
      <c r="G1676" s="17"/>
      <c r="H1676" s="17"/>
    </row>
    <row r="1677">
      <c r="A1677" s="17" t="str">
        <f>IFERROR(__xludf.DUMMYFUNCTION("""COMPUTED_VALUE"""),"Biocon")</f>
        <v>Biocon</v>
      </c>
      <c r="B1677" s="17" t="str">
        <f>IFERROR(__xludf.DUMMYFUNCTION("""COMPUTED_VALUE"""),"Kiran Mazumdar-Shaw")</f>
        <v>Kiran Mazumdar-Shaw</v>
      </c>
      <c r="C1677" s="17" t="str">
        <f>IFERROR(__xludf.DUMMYFUNCTION("""COMPUTED_VALUE"""),"Founder &amp; Executive Chairperson")</f>
        <v>Founder &amp; Executive Chairperson</v>
      </c>
      <c r="D1677" s="17"/>
      <c r="E1677" s="17"/>
      <c r="F1677" s="17" t="str">
        <f>IFERROR(__xludf.DUMMYFUNCTION("""COMPUTED_VALUE"""),"kiran@biocon.com")</f>
        <v>kiran@biocon.com</v>
      </c>
      <c r="G1677" s="17"/>
      <c r="H1677" s="17"/>
    </row>
    <row r="1678">
      <c r="A1678" s="17" t="str">
        <f>IFERROR(__xludf.DUMMYFUNCTION("""COMPUTED_VALUE"""),"Emcure Pharmaceuticals")</f>
        <v>Emcure Pharmaceuticals</v>
      </c>
      <c r="B1678" s="17" t="str">
        <f>IFERROR(__xludf.DUMMYFUNCTION("""COMPUTED_VALUE"""),"Namita Thapar")</f>
        <v>Namita Thapar</v>
      </c>
      <c r="C1678" s="17" t="str">
        <f>IFERROR(__xludf.DUMMYFUNCTION("""COMPUTED_VALUE"""),"Executive Director")</f>
        <v>Executive Director</v>
      </c>
      <c r="D1678" s="17"/>
      <c r="E1678" s="17"/>
      <c r="F1678" s="17" t="str">
        <f>IFERROR(__xludf.DUMMYFUNCTION("""COMPUTED_VALUE"""),"namita.thapar@emcure.com")</f>
        <v>namita.thapar@emcure.com</v>
      </c>
      <c r="G1678" s="17"/>
      <c r="H1678" s="17"/>
    </row>
    <row r="1679">
      <c r="A1679" s="17" t="str">
        <f>IFERROR(__xludf.DUMMYFUNCTION("""COMPUTED_VALUE"""),"Zoho Corporation")</f>
        <v>Zoho Corporation</v>
      </c>
      <c r="B1679" s="17" t="str">
        <f>IFERROR(__xludf.DUMMYFUNCTION("""COMPUTED_VALUE"""),"Radha Vembu")</f>
        <v>Radha Vembu</v>
      </c>
      <c r="C1679" s="17" t="str">
        <f>IFERROR(__xludf.DUMMYFUNCTION("""COMPUTED_VALUE"""),"Co-founder")</f>
        <v>Co-founder</v>
      </c>
      <c r="D1679" s="17"/>
      <c r="E1679" s="17"/>
      <c r="F1679" s="17"/>
      <c r="G1679" s="17"/>
      <c r="H1679" s="17"/>
    </row>
    <row r="1680">
      <c r="A1680" s="17" t="str">
        <f>IFERROR(__xludf.DUMMYFUNCTION("""COMPUTED_VALUE"""),"Fable")</f>
        <v>Fable</v>
      </c>
      <c r="B1680" s="17" t="str">
        <f>IFERROR(__xludf.DUMMYFUNCTION("""COMPUTED_VALUE"""),"Padmasree Warrior")</f>
        <v>Padmasree Warrior</v>
      </c>
      <c r="C1680" s="17" t="str">
        <f>IFERROR(__xludf.DUMMYFUNCTION("""COMPUTED_VALUE"""),"Founder &amp; CEO")</f>
        <v>Founder &amp; CEO</v>
      </c>
      <c r="D1680" s="17"/>
      <c r="E1680" s="17"/>
      <c r="F1680" s="17" t="str">
        <f>IFERROR(__xludf.DUMMYFUNCTION("""COMPUTED_VALUE"""),"padmasree.warrior@effem.com")</f>
        <v>padmasree.warrior@effem.com</v>
      </c>
      <c r="G1680" s="17"/>
      <c r="H1680" s="17"/>
    </row>
    <row r="1681">
      <c r="A1681" s="17" t="str">
        <f>IFERROR(__xludf.DUMMYFUNCTION("""COMPUTED_VALUE"""),"Zivame")</f>
        <v>Zivame</v>
      </c>
      <c r="B1681" s="17" t="str">
        <f>IFERROR(__xludf.DUMMYFUNCTION("""COMPUTED_VALUE"""),"Richa Kar")</f>
        <v>Richa Kar</v>
      </c>
      <c r="C1681" s="17" t="str">
        <f>IFERROR(__xludf.DUMMYFUNCTION("""COMPUTED_VALUE"""),"Founder")</f>
        <v>Founder</v>
      </c>
      <c r="D1681" s="17"/>
      <c r="E1681" s="17"/>
      <c r="F1681" s="17" t="str">
        <f>IFERROR(__xludf.DUMMYFUNCTION("""COMPUTED_VALUE"""),"karricha@gmail.com")</f>
        <v>karricha@gmail.com</v>
      </c>
      <c r="G1681" s="17"/>
      <c r="H1681" s="17"/>
    </row>
    <row r="1682">
      <c r="A1682" s="17" t="str">
        <f>IFERROR(__xludf.DUMMYFUNCTION("""COMPUTED_VALUE"""),"LimeRoad")</f>
        <v>LimeRoad</v>
      </c>
      <c r="B1682" s="17" t="str">
        <f>IFERROR(__xludf.DUMMYFUNCTION("""COMPUTED_VALUE"""),"Suchi Mukherjee")</f>
        <v>Suchi Mukherjee</v>
      </c>
      <c r="C1682" s="17" t="str">
        <f>IFERROR(__xludf.DUMMYFUNCTION("""COMPUTED_VALUE"""),"Founder &amp; CEO")</f>
        <v>Founder &amp; CEO</v>
      </c>
      <c r="D1682" s="17"/>
      <c r="E1682" s="17"/>
      <c r="F1682" s="17" t="str">
        <f>IFERROR(__xludf.DUMMYFUNCTION("""COMPUTED_VALUE"""),"suchi@limeroad.com")</f>
        <v>suchi@limeroad.com</v>
      </c>
      <c r="G1682" s="17"/>
      <c r="H1682" s="17"/>
    </row>
    <row r="1683">
      <c r="A1683" s="17" t="str">
        <f>IFERROR(__xludf.DUMMYFUNCTION("""COMPUTED_VALUE"""),"LEAD School")</f>
        <v>LEAD School</v>
      </c>
      <c r="B1683" s="17" t="str">
        <f>IFERROR(__xludf.DUMMYFUNCTION("""COMPUTED_VALUE"""),"Smita Deorah")</f>
        <v>Smita Deorah</v>
      </c>
      <c r="C1683" s="17" t="str">
        <f>IFERROR(__xludf.DUMMYFUNCTION("""COMPUTED_VALUE"""),"Co-founder &amp; CEO")</f>
        <v>Co-founder &amp; CEO</v>
      </c>
      <c r="D1683" s="17"/>
      <c r="E1683" s="17"/>
      <c r="F1683" s="17" t="str">
        <f>IFERROR(__xludf.DUMMYFUNCTION("""COMPUTED_VALUE"""),"smita@leadschool.in")</f>
        <v>smita@leadschool.in</v>
      </c>
      <c r="G1683" s="17"/>
      <c r="H1683" s="17"/>
    </row>
    <row r="1684">
      <c r="A1684" s="17" t="str">
        <f>IFERROR(__xludf.DUMMYFUNCTION("""COMPUTED_VALUE"""),"Menstrupedia")</f>
        <v>Menstrupedia</v>
      </c>
      <c r="B1684" s="17" t="str">
        <f>IFERROR(__xludf.DUMMYFUNCTION("""COMPUTED_VALUE"""),"Aditi Gupta")</f>
        <v>Aditi Gupta</v>
      </c>
      <c r="C1684" s="17" t="str">
        <f>IFERROR(__xludf.DUMMYFUNCTION("""COMPUTED_VALUE"""),"Co-founder")</f>
        <v>Co-founder</v>
      </c>
      <c r="D1684" s="17"/>
      <c r="E1684" s="17"/>
      <c r="F1684" s="17" t="str">
        <f>IFERROR(__xludf.DUMMYFUNCTION("""COMPUTED_VALUE"""),"aditi@menstrupedia.com")</f>
        <v>aditi@menstrupedia.com</v>
      </c>
      <c r="G1684" s="17"/>
      <c r="H1684" s="17"/>
    </row>
    <row r="1685">
      <c r="A1685" s="17" t="str">
        <f>IFERROR(__xludf.DUMMYFUNCTION("""COMPUTED_VALUE"""),"AZB &amp; Partners")</f>
        <v>AZB &amp; Partners</v>
      </c>
      <c r="B1685" s="17" t="str">
        <f>IFERROR(__xludf.DUMMYFUNCTION("""COMPUTED_VALUE"""),"Zia Mody")</f>
        <v>Zia Mody</v>
      </c>
      <c r="C1685" s="17" t="str">
        <f>IFERROR(__xludf.DUMMYFUNCTION("""COMPUTED_VALUE"""),"Founder &amp; Managing Partner")</f>
        <v>Founder &amp; Managing Partner</v>
      </c>
      <c r="D1685" s="17"/>
      <c r="E1685" s="17"/>
      <c r="F1685" s="17" t="str">
        <f>IFERROR(__xludf.DUMMYFUNCTION("""COMPUTED_VALUE"""),"zia.mody@azbpartners.com")</f>
        <v>zia.mody@azbpartners.com</v>
      </c>
      <c r="G1685" s="17"/>
      <c r="H1685" s="17"/>
    </row>
    <row r="1686">
      <c r="A1686" s="17" t="str">
        <f>IFERROR(__xludf.DUMMYFUNCTION("""COMPUTED_VALUE"""),"SheCapital")</f>
        <v>SheCapital</v>
      </c>
      <c r="B1686" s="17" t="str">
        <f>IFERROR(__xludf.DUMMYFUNCTION("""COMPUTED_VALUE"""),"Anisha Singh")</f>
        <v>Anisha Singh</v>
      </c>
      <c r="C1686" s="17" t="str">
        <f>IFERROR(__xludf.DUMMYFUNCTION("""COMPUTED_VALUE"""),"Founder")</f>
        <v>Founder</v>
      </c>
      <c r="D1686" s="17"/>
      <c r="E1686" s="17"/>
      <c r="F1686" s="17" t="str">
        <f>IFERROR(__xludf.DUMMYFUNCTION("""COMPUTED_VALUE"""),"anisha@shecapital.vc")</f>
        <v>anisha@shecapital.vc</v>
      </c>
      <c r="G1686" s="17"/>
      <c r="H1686" s="17"/>
    </row>
    <row r="1687">
      <c r="A1687" s="17" t="str">
        <f>IFERROR(__xludf.DUMMYFUNCTION("""COMPUTED_VALUE"""),"Pocket Aces")</f>
        <v>Pocket Aces</v>
      </c>
      <c r="B1687" s="17" t="str">
        <f>IFERROR(__xludf.DUMMYFUNCTION("""COMPUTED_VALUE"""),"Aditi Shrivastava")</f>
        <v>Aditi Shrivastava</v>
      </c>
      <c r="C1687" s="17" t="str">
        <f>IFERROR(__xludf.DUMMYFUNCTION("""COMPUTED_VALUE"""),"Co-founder &amp; CEO")</f>
        <v>Co-founder &amp; CEO</v>
      </c>
      <c r="D1687" s="17"/>
      <c r="E1687" s="17"/>
      <c r="F1687" s="17" t="str">
        <f>IFERROR(__xludf.DUMMYFUNCTION("""COMPUTED_VALUE"""),"aditi.shrivastava@pocketaces.in")</f>
        <v>aditi.shrivastava@pocketaces.in</v>
      </c>
      <c r="G1687" s="17"/>
      <c r="H1687" s="17"/>
    </row>
    <row r="1688">
      <c r="A1688" s="17" t="str">
        <f>IFERROR(__xludf.DUMMYFUNCTION("""COMPUTED_VALUE"""),"NASSCOM")</f>
        <v>NASSCOM</v>
      </c>
      <c r="B1688" s="17" t="str">
        <f>IFERROR(__xludf.DUMMYFUNCTION("""COMPUTED_VALUE"""),"Debjani Ghosh")</f>
        <v>Debjani Ghosh</v>
      </c>
      <c r="C1688" s="17" t="str">
        <f>IFERROR(__xludf.DUMMYFUNCTION("""COMPUTED_VALUE"""),"President")</f>
        <v>President</v>
      </c>
      <c r="D1688" s="17"/>
      <c r="E1688" s="17"/>
      <c r="F1688" s="17"/>
      <c r="G1688" s="17"/>
      <c r="H1688" s="17"/>
    </row>
    <row r="1689">
      <c r="A1689" s="17" t="str">
        <f>IFERROR(__xludf.DUMMYFUNCTION("""COMPUTED_VALUE"""),"Amagi")</f>
        <v>Amagi</v>
      </c>
      <c r="B1689" s="17" t="str">
        <f>IFERROR(__xludf.DUMMYFUNCTION("""COMPUTED_VALUE"""),"Kalyani Srinivasan")</f>
        <v>Kalyani Srinivasan</v>
      </c>
      <c r="C1689" s="17" t="str">
        <f>IFERROR(__xludf.DUMMYFUNCTION("""COMPUTED_VALUE"""),"Co-founder")</f>
        <v>Co-founder</v>
      </c>
      <c r="D1689" s="17"/>
      <c r="E1689" s="17"/>
      <c r="F1689" s="17"/>
      <c r="G1689" s="17"/>
      <c r="H1689" s="17"/>
    </row>
    <row r="1690">
      <c r="A1690" s="17" t="str">
        <f>IFERROR(__xludf.DUMMYFUNCTION("""COMPUTED_VALUE"""),"Indian Angel Network")</f>
        <v>Indian Angel Network</v>
      </c>
      <c r="B1690" s="17" t="str">
        <f>IFERROR(__xludf.DUMMYFUNCTION("""COMPUTED_VALUE"""),"Padmaja Ruparel")</f>
        <v>Padmaja Ruparel</v>
      </c>
      <c r="C1690" s="17" t="str">
        <f>IFERROR(__xludf.DUMMYFUNCTION("""COMPUTED_VALUE"""),"Co-founder")</f>
        <v>Co-founder</v>
      </c>
      <c r="D1690" s="17"/>
      <c r="E1690" s="17"/>
      <c r="F1690" s="17" t="str">
        <f>IFERROR(__xludf.DUMMYFUNCTION("""COMPUTED_VALUE"""),"padmaja.r@indianangelnetwork.com")</f>
        <v>padmaja.r@indianangelnetwork.com</v>
      </c>
      <c r="G1690" s="17"/>
      <c r="H1690" s="17"/>
    </row>
    <row r="1691">
      <c r="A1691" s="17" t="str">
        <f>IFERROR(__xludf.DUMMYFUNCTION("""COMPUTED_VALUE"""),"Edelweiss AMC")</f>
        <v>Edelweiss AMC</v>
      </c>
      <c r="B1691" s="17" t="str">
        <f>IFERROR(__xludf.DUMMYFUNCTION("""COMPUTED_VALUE"""),"Radhika Gupta")</f>
        <v>Radhika Gupta</v>
      </c>
      <c r="C1691" s="17" t="str">
        <f>IFERROR(__xludf.DUMMYFUNCTION("""COMPUTED_VALUE"""),"MD &amp; CEO")</f>
        <v>MD &amp; CEO</v>
      </c>
      <c r="D1691" s="17"/>
      <c r="E1691" s="17"/>
      <c r="F1691" s="17" t="str">
        <f>IFERROR(__xludf.DUMMYFUNCTION("""COMPUTED_VALUE"""),"radhika.gupta@edelweissmf.com")</f>
        <v>radhika.gupta@edelweissmf.com</v>
      </c>
      <c r="G1691" s="17"/>
      <c r="H1691" s="17"/>
    </row>
    <row r="1692">
      <c r="A1692" s="17" t="str">
        <f>IFERROR(__xludf.DUMMYFUNCTION("""COMPUTED_VALUE"""),"Kalaari Capital")</f>
        <v>Kalaari Capital</v>
      </c>
      <c r="B1692" s="17" t="str">
        <f>IFERROR(__xludf.DUMMYFUNCTION("""COMPUTED_VALUE"""),"Vani Kola")</f>
        <v>Vani Kola</v>
      </c>
      <c r="C1692" s="17" t="str">
        <f>IFERROR(__xludf.DUMMYFUNCTION("""COMPUTED_VALUE"""),"Founder &amp; MD")</f>
        <v>Founder &amp; MD</v>
      </c>
      <c r="D1692" s="17"/>
      <c r="E1692" s="17"/>
      <c r="F1692" s="17" t="str">
        <f>IFERROR(__xludf.DUMMYFUNCTION("""COMPUTED_VALUE"""),"vani_kola@kalaari.com")</f>
        <v>vani_kola@kalaari.com</v>
      </c>
      <c r="G1692" s="17"/>
      <c r="H1692" s="17"/>
    </row>
    <row r="1693">
      <c r="A1693" s="17" t="str">
        <f>IFERROR(__xludf.DUMMYFUNCTION("""COMPUTED_VALUE"""),"Rukam Capital")</f>
        <v>Rukam Capital</v>
      </c>
      <c r="B1693" s="17" t="str">
        <f>IFERROR(__xludf.DUMMYFUNCTION("""COMPUTED_VALUE"""),"Archana Jahagirdar")</f>
        <v>Archana Jahagirdar</v>
      </c>
      <c r="C1693" s="17" t="str">
        <f>IFERROR(__xludf.DUMMYFUNCTION("""COMPUTED_VALUE"""),"Founder &amp; Managing Partner")</f>
        <v>Founder &amp; Managing Partner</v>
      </c>
      <c r="D1693" s="17"/>
      <c r="E1693" s="17"/>
      <c r="F1693" s="17" t="str">
        <f>IFERROR(__xludf.DUMMYFUNCTION("""COMPUTED_VALUE"""),"archana@rukamcapital.com")</f>
        <v>archana@rukamcapital.com</v>
      </c>
      <c r="G1693" s="17"/>
      <c r="H1693" s="17"/>
    </row>
    <row r="1694">
      <c r="A1694" s="17" t="str">
        <f>IFERROR(__xludf.DUMMYFUNCTION("""COMPUTED_VALUE"""),"HCL Technologies")</f>
        <v>HCL Technologies</v>
      </c>
      <c r="B1694" s="17" t="str">
        <f>IFERROR(__xludf.DUMMYFUNCTION("""COMPUTED_VALUE"""),"Roshni Nadar Malhotra")</f>
        <v>Roshni Nadar Malhotra</v>
      </c>
      <c r="C1694" s="17" t="str">
        <f>IFERROR(__xludf.DUMMYFUNCTION("""COMPUTED_VALUE"""),"Chairperson")</f>
        <v>Chairperson</v>
      </c>
      <c r="D1694" s="17"/>
      <c r="E1694" s="17"/>
      <c r="F1694" s="17" t="str">
        <f>IFERROR(__xludf.DUMMYFUNCTION("""COMPUTED_VALUE"""),"malhotra-r@hcltech.com")</f>
        <v>malhotra-r@hcltech.com</v>
      </c>
      <c r="G1694" s="17"/>
      <c r="H1694" s="17"/>
    </row>
    <row r="1695">
      <c r="A1695" s="17" t="str">
        <f>IFERROR(__xludf.DUMMYFUNCTION("""COMPUTED_VALUE"""),"OZiva")</f>
        <v>OZiva</v>
      </c>
      <c r="B1695" s="17" t="str">
        <f>IFERROR(__xludf.DUMMYFUNCTION("""COMPUTED_VALUE"""),"Aarti Gill")</f>
        <v>Aarti Gill</v>
      </c>
      <c r="C1695" s="17" t="str">
        <f>IFERROR(__xludf.DUMMYFUNCTION("""COMPUTED_VALUE"""),"Co-founder")</f>
        <v>Co-founder</v>
      </c>
      <c r="D1695" s="17"/>
      <c r="E1695" s="17"/>
      <c r="F1695" s="17"/>
      <c r="G1695" s="17"/>
      <c r="H1695" s="17"/>
    </row>
    <row r="1696">
      <c r="A1696" s="17" t="str">
        <f>IFERROR(__xludf.DUMMYFUNCTION("""COMPUTED_VALUE"""),"Startup India Foundation")</f>
        <v>Startup India Foundation</v>
      </c>
      <c r="B1696" s="17" t="str">
        <f>IFERROR(__xludf.DUMMYFUNCTION("""COMPUTED_VALUE"""),"Anu Aggarwal")</f>
        <v>Anu Aggarwal</v>
      </c>
      <c r="C1696" s="17" t="str">
        <f>IFERROR(__xludf.DUMMYFUNCTION("""COMPUTED_VALUE"""),"Founder")</f>
        <v>Founder</v>
      </c>
      <c r="D1696" s="17"/>
      <c r="E1696" s="17"/>
      <c r="F1696" s="17"/>
      <c r="G1696" s="17"/>
      <c r="H1696" s="17"/>
    </row>
    <row r="1697">
      <c r="A1697" s="17" t="str">
        <f>IFERROR(__xludf.DUMMYFUNCTION("""COMPUTED_VALUE"""),"YourStory")</f>
        <v>YourStory</v>
      </c>
      <c r="B1697" s="17" t="str">
        <f>IFERROR(__xludf.DUMMYFUNCTION("""COMPUTED_VALUE"""),"Shradha Sharma")</f>
        <v>Shradha Sharma</v>
      </c>
      <c r="C1697" s="17" t="str">
        <f>IFERROR(__xludf.DUMMYFUNCTION("""COMPUTED_VALUE"""),"Founder &amp; CEO")</f>
        <v>Founder &amp; CEO</v>
      </c>
      <c r="D1697" s="17"/>
      <c r="E1697" s="17"/>
      <c r="F1697" s="17" t="str">
        <f>IFERROR(__xludf.DUMMYFUNCTION("""COMPUTED_VALUE"""),"shradha.sharma@yourstory.com")</f>
        <v>shradha.sharma@yourstory.com</v>
      </c>
      <c r="G1697" s="17"/>
      <c r="H1697" s="17"/>
    </row>
    <row r="1698">
      <c r="A1698" s="17" t="str">
        <f>IFERROR(__xludf.DUMMYFUNCTION("""COMPUTED_VALUE"""),"Zilingo")</f>
        <v>Zilingo</v>
      </c>
      <c r="B1698" s="17" t="str">
        <f>IFERROR(__xludf.DUMMYFUNCTION("""COMPUTED_VALUE"""),"Ankiti Bose")</f>
        <v>Ankiti Bose</v>
      </c>
      <c r="C1698" s="17" t="str">
        <f>IFERROR(__xludf.DUMMYFUNCTION("""COMPUTED_VALUE"""),"Co-founder &amp; CEO")</f>
        <v>Co-founder &amp; CEO</v>
      </c>
      <c r="D1698" s="17"/>
      <c r="E1698" s="17"/>
      <c r="F1698" s="17" t="str">
        <f>IFERROR(__xludf.DUMMYFUNCTION("""COMPUTED_VALUE"""),"ankitibose@gmail.com")</f>
        <v>ankitibose@gmail.com</v>
      </c>
      <c r="G1698" s="17"/>
      <c r="H1698" s="17"/>
    </row>
    <row r="1699">
      <c r="A1699" s="17" t="str">
        <f>IFERROR(__xludf.DUMMYFUNCTION("""COMPUTED_VALUE"""),"HerKey")</f>
        <v>HerKey</v>
      </c>
      <c r="B1699" s="17" t="str">
        <f>IFERROR(__xludf.DUMMYFUNCTION("""COMPUTED_VALUE"""),"Neha Bagaria")</f>
        <v>Neha Bagaria</v>
      </c>
      <c r="C1699" s="17" t="str">
        <f>IFERROR(__xludf.DUMMYFUNCTION("""COMPUTED_VALUE"""),"Founder &amp; CEO")</f>
        <v>Founder &amp; CEO</v>
      </c>
      <c r="D1699" s="17"/>
      <c r="E1699" s="17"/>
      <c r="F1699" s="17" t="str">
        <f>IFERROR(__xludf.DUMMYFUNCTION("""COMPUTED_VALUE"""),"admin@herkey.com")</f>
        <v>admin@herkey.com</v>
      </c>
      <c r="G1699" s="17"/>
      <c r="H1699" s="17"/>
    </row>
    <row r="1700">
      <c r="A1700" s="17" t="str">
        <f>IFERROR(__xludf.DUMMYFUNCTION("""COMPUTED_VALUE"""),"The Moms Co")</f>
        <v>The Moms Co</v>
      </c>
      <c r="B1700" s="17" t="str">
        <f>IFERROR(__xludf.DUMMYFUNCTION("""COMPUTED_VALUE"""),"Malika Sadani")</f>
        <v>Malika Sadani</v>
      </c>
      <c r="C1700" s="17" t="str">
        <f>IFERROR(__xludf.DUMMYFUNCTION("""COMPUTED_VALUE"""),"Founder &amp; CEO")</f>
        <v>Founder &amp; CEO</v>
      </c>
      <c r="D1700" s="17"/>
      <c r="E1700" s="17"/>
      <c r="F1700" s="17" t="str">
        <f>IFERROR(__xludf.DUMMYFUNCTION("""COMPUTED_VALUE"""),"malikadatt1@gmail.com")</f>
        <v>malikadatt1@gmail.com</v>
      </c>
      <c r="G1700" s="17"/>
      <c r="H1700" s="17"/>
    </row>
    <row r="1701">
      <c r="A1701" s="17" t="str">
        <f>IFERROR(__xludf.DUMMYFUNCTION("""COMPUTED_VALUE"""),"ONGC")</f>
        <v>ONGC</v>
      </c>
      <c r="B1701" s="17" t="str">
        <f>IFERROR(__xludf.DUMMYFUNCTION("""COMPUTED_VALUE"""),"Alka Mittal")</f>
        <v>Alka Mittal</v>
      </c>
      <c r="C1701" s="17" t="str">
        <f>IFERROR(__xludf.DUMMYFUNCTION("""COMPUTED_VALUE"""),"Former CMD")</f>
        <v>Former CMD</v>
      </c>
      <c r="D1701" s="17"/>
      <c r="E1701" s="17"/>
      <c r="F1701" s="17" t="str">
        <f>IFERROR(__xludf.DUMMYFUNCTION("""COMPUTED_VALUE"""),"mittalka9@gmail.com")</f>
        <v>mittalka9@gmail.com</v>
      </c>
      <c r="G1701" s="17"/>
      <c r="H1701" s="17"/>
    </row>
    <row r="1702">
      <c r="A1702" s="17" t="str">
        <f>IFERROR(__xludf.DUMMYFUNCTION("""COMPUTED_VALUE"""),"Clean Slate Filmz")</f>
        <v>Clean Slate Filmz</v>
      </c>
      <c r="B1702" s="17" t="str">
        <f>IFERROR(__xludf.DUMMYFUNCTION("""COMPUTED_VALUE"""),"Anushka Sharma")</f>
        <v>Anushka Sharma</v>
      </c>
      <c r="C1702" s="17" t="str">
        <f>IFERROR(__xludf.DUMMYFUNCTION("""COMPUTED_VALUE"""),"Co-founder")</f>
        <v>Co-founder</v>
      </c>
      <c r="D1702" s="17"/>
      <c r="E1702" s="17"/>
      <c r="F1702" s="17"/>
      <c r="G1702" s="17"/>
      <c r="H1702" s="17"/>
    </row>
    <row r="1703">
      <c r="A1703" s="17" t="str">
        <f>IFERROR(__xludf.DUMMYFUNCTION("""COMPUTED_VALUE"""),"Sheroes")</f>
        <v>Sheroes</v>
      </c>
      <c r="B1703" s="17" t="str">
        <f>IFERROR(__xludf.DUMMYFUNCTION("""COMPUTED_VALUE"""),"Sairee Chahal")</f>
        <v>Sairee Chahal</v>
      </c>
      <c r="C1703" s="17" t="str">
        <f>IFERROR(__xludf.DUMMYFUNCTION("""COMPUTED_VALUE"""),"Founder &amp; CEO")</f>
        <v>Founder &amp; CEO</v>
      </c>
      <c r="D1703" s="17"/>
      <c r="E1703" s="17"/>
      <c r="F1703" s="17" t="str">
        <f>IFERROR(__xludf.DUMMYFUNCTION("""COMPUTED_VALUE"""),"sairee@gmail.com")</f>
        <v>sairee@gmail.com</v>
      </c>
      <c r="G1703" s="17"/>
      <c r="H1703" s="17"/>
    </row>
    <row r="1704">
      <c r="A1704" s="17" t="str">
        <f>IFERROR(__xludf.DUMMYFUNCTION("""COMPUTED_VALUE"""),"RPSG Lifestyle Media")</f>
        <v>RPSG Lifestyle Media</v>
      </c>
      <c r="B1704" s="17" t="str">
        <f>IFERROR(__xludf.DUMMYFUNCTION("""COMPUTED_VALUE"""),"Avarna Jain")</f>
        <v>Avarna Jain</v>
      </c>
      <c r="C1704" s="17" t="str">
        <f>IFERROR(__xludf.DUMMYFUNCTION("""COMPUTED_VALUE"""),"Chairperson")</f>
        <v>Chairperson</v>
      </c>
      <c r="D1704" s="17"/>
      <c r="E1704" s="17"/>
      <c r="F1704" s="17" t="str">
        <f>IFERROR(__xludf.DUMMYFUNCTION("""COMPUTED_VALUE"""),"avarna.jain@rpsg.in")</f>
        <v>avarna.jain@rpsg.in</v>
      </c>
      <c r="G1704" s="17"/>
      <c r="H1704" s="17"/>
    </row>
    <row r="1705">
      <c r="A1705" s="17" t="str">
        <f>IFERROR(__xludf.DUMMYFUNCTION("""COMPUTED_VALUE"""),"JetSetGo")</f>
        <v>JetSetGo</v>
      </c>
      <c r="B1705" s="17" t="str">
        <f>IFERROR(__xludf.DUMMYFUNCTION("""COMPUTED_VALUE"""),"Kanika Tekriwal")</f>
        <v>Kanika Tekriwal</v>
      </c>
      <c r="C1705" s="17" t="str">
        <f>IFERROR(__xludf.DUMMYFUNCTION("""COMPUTED_VALUE"""),"Founder &amp; CEO")</f>
        <v>Founder &amp; CEO</v>
      </c>
      <c r="D1705" s="17"/>
      <c r="E1705" s="17"/>
      <c r="F1705" s="17" t="str">
        <f>IFERROR(__xludf.DUMMYFUNCTION("""COMPUTED_VALUE"""),"kanika@jetsetgo.in")</f>
        <v>kanika@jetsetgo.in</v>
      </c>
      <c r="G1705" s="17"/>
      <c r="H1705" s="17"/>
    </row>
    <row r="1706">
      <c r="A1706" s="17" t="str">
        <f>IFERROR(__xludf.DUMMYFUNCTION("""COMPUTED_VALUE"""),"Omnicom Media Group India")</f>
        <v>Omnicom Media Group India</v>
      </c>
      <c r="B1706" s="17" t="str">
        <f>IFERROR(__xludf.DUMMYFUNCTION("""COMPUTED_VALUE"""),"Roopa Kudva")</f>
        <v>Roopa Kudva</v>
      </c>
      <c r="C1706" s="17" t="str">
        <f>IFERROR(__xludf.DUMMYFUNCTION("""COMPUTED_VALUE"""),"Former CEO")</f>
        <v>Former CEO</v>
      </c>
      <c r="D1706" s="17"/>
      <c r="E1706" s="17"/>
      <c r="F1706" s="17"/>
      <c r="G1706" s="17" t="str">
        <f>IFERROR(__xludf.DUMMYFUNCTION("""COMPUTED_VALUE"""),"9920146298")</f>
        <v>9920146298</v>
      </c>
      <c r="H1706" s="17"/>
    </row>
    <row r="1707">
      <c r="A1707" s="17" t="str">
        <f>IFERROR(__xludf.DUMMYFUNCTION("""COMPUTED_VALUE"""),"Campus Fund")</f>
        <v>Campus Fund</v>
      </c>
      <c r="B1707" s="17" t="str">
        <f>IFERROR(__xludf.DUMMYFUNCTION("""COMPUTED_VALUE"""),"Richa Bajpai")</f>
        <v>Richa Bajpai</v>
      </c>
      <c r="C1707" s="17" t="str">
        <f>IFERROR(__xludf.DUMMYFUNCTION("""COMPUTED_VALUE"""),"Co-founder &amp; CEO")</f>
        <v>Co-founder &amp; CEO</v>
      </c>
      <c r="D1707" s="17"/>
      <c r="E1707" s="17"/>
      <c r="F1707" s="17" t="str">
        <f>IFERROR(__xludf.DUMMYFUNCTION("""COMPUTED_VALUE"""),"richabajpai87@gmail.com")</f>
        <v>richabajpai87@gmail.com</v>
      </c>
      <c r="G1707" s="17"/>
      <c r="H1707" s="17"/>
    </row>
    <row r="1708">
      <c r="A1708" s="17" t="str">
        <f>IFERROR(__xludf.DUMMYFUNCTION("""COMPUTED_VALUE"""),"Mad Street Den")</f>
        <v>Mad Street Den</v>
      </c>
      <c r="B1708" s="17" t="str">
        <f>IFERROR(__xludf.DUMMYFUNCTION("""COMPUTED_VALUE"""),"Ashwini Asokan")</f>
        <v>Ashwini Asokan</v>
      </c>
      <c r="C1708" s="17" t="str">
        <f>IFERROR(__xludf.DUMMYFUNCTION("""COMPUTED_VALUE"""),"Founder &amp; CEO")</f>
        <v>Founder &amp; CEO</v>
      </c>
      <c r="D1708" s="17"/>
      <c r="E1708" s="17"/>
      <c r="F1708" s="17" t="str">
        <f>IFERROR(__xludf.DUMMYFUNCTION("""COMPUTED_VALUE"""),"ashwini@madstreetden.com")</f>
        <v>ashwini@madstreetden.com</v>
      </c>
      <c r="G1708" s="17"/>
      <c r="H1708" s="17"/>
    </row>
    <row r="1709">
      <c r="A1709" s="17" t="str">
        <f>IFERROR(__xludf.DUMMYFUNCTION("""COMPUTED_VALUE"""),"Ola Electric")</f>
        <v>Ola Electric</v>
      </c>
      <c r="B1709" s="17" t="str">
        <f>IFERROR(__xludf.DUMMYFUNCTION("""COMPUTED_VALUE"""),"Bhavish Aggarwal")</f>
        <v>Bhavish Aggarwal</v>
      </c>
      <c r="C1709" s="17" t="str">
        <f>IFERROR(__xludf.DUMMYFUNCTION("""COMPUTED_VALUE"""),"Founder &amp; CEO")</f>
        <v>Founder &amp; CEO</v>
      </c>
      <c r="D1709" s="17"/>
      <c r="E1709" s="17"/>
      <c r="F1709" s="17" t="str">
        <f>IFERROR(__xludf.DUMMYFUNCTION("""COMPUTED_VALUE"""),"bhavish.aggarwal@olacabs.com")</f>
        <v>bhavish.aggarwal@olacabs.com</v>
      </c>
      <c r="G1709" s="17"/>
      <c r="H1709" s="17"/>
    </row>
    <row r="1710">
      <c r="A1710" s="17" t="str">
        <f>IFERROR(__xludf.DUMMYFUNCTION("""COMPUTED_VALUE"""),"Ola Electric")</f>
        <v>Ola Electric</v>
      </c>
      <c r="B1710" s="17" t="str">
        <f>IFERROR(__xludf.DUMMYFUNCTION("""COMPUTED_VALUE"""),"Ankit Agarwal")</f>
        <v>Ankit Agarwal</v>
      </c>
      <c r="C1710" s="17" t="str">
        <f>IFERROR(__xludf.DUMMYFUNCTION("""COMPUTED_VALUE"""),"Co-founder")</f>
        <v>Co-founder</v>
      </c>
      <c r="D1710" s="17"/>
      <c r="E1710" s="17"/>
      <c r="F1710" s="17"/>
      <c r="G1710" s="17"/>
      <c r="H1710" s="17"/>
    </row>
    <row r="1711">
      <c r="A1711" s="17" t="str">
        <f>IFERROR(__xludf.DUMMYFUNCTION("""COMPUTED_VALUE"""),"BluSmart Mobility")</f>
        <v>BluSmart Mobility</v>
      </c>
      <c r="B1711" s="17" t="str">
        <f>IFERROR(__xludf.DUMMYFUNCTION("""COMPUTED_VALUE"""),"Anmol Jaggi")</f>
        <v>Anmol Jaggi</v>
      </c>
      <c r="C1711" s="17" t="str">
        <f>IFERROR(__xludf.DUMMYFUNCTION("""COMPUTED_VALUE"""),"Co-founder &amp; CEO")</f>
        <v>Co-founder &amp; CEO</v>
      </c>
      <c r="D1711" s="17"/>
      <c r="E1711" s="17"/>
      <c r="F1711" s="17" t="str">
        <f>IFERROR(__xludf.DUMMYFUNCTION("""COMPUTED_VALUE"""),"anmoljaggi@gensolconsultants.com")</f>
        <v>anmoljaggi@gensolconsultants.com</v>
      </c>
      <c r="G1711" s="17" t="str">
        <f>IFERROR(__xludf.DUMMYFUNCTION("""COMPUTED_VALUE"""),"anmoljaggi@gensol.in")</f>
        <v>anmoljaggi@gensol.in</v>
      </c>
      <c r="H1711" s="17"/>
    </row>
    <row r="1712">
      <c r="A1712" s="17" t="str">
        <f>IFERROR(__xludf.DUMMYFUNCTION("""COMPUTED_VALUE"""),"BluSmart Mobility")</f>
        <v>BluSmart Mobility</v>
      </c>
      <c r="B1712" s="17" t="str">
        <f>IFERROR(__xludf.DUMMYFUNCTION("""COMPUTED_VALUE"""),"Punit K Goyal")</f>
        <v>Punit K Goyal</v>
      </c>
      <c r="C1712" s="17" t="str">
        <f>IFERROR(__xludf.DUMMYFUNCTION("""COMPUTED_VALUE"""),"Co-founder")</f>
        <v>Co-founder</v>
      </c>
      <c r="D1712" s="17"/>
      <c r="E1712" s="17"/>
      <c r="F1712" s="17"/>
      <c r="G1712" s="17" t="str">
        <f>IFERROR(__xludf.DUMMYFUNCTION("""COMPUTED_VALUE"""),"9820093543")</f>
        <v>9820093543</v>
      </c>
      <c r="H1712" s="17"/>
    </row>
    <row r="1713">
      <c r="A1713" s="17" t="str">
        <f>IFERROR(__xludf.DUMMYFUNCTION("""COMPUTED_VALUE"""),"Euler Motors")</f>
        <v>Euler Motors</v>
      </c>
      <c r="B1713" s="17" t="str">
        <f>IFERROR(__xludf.DUMMYFUNCTION("""COMPUTED_VALUE"""),"Saurav Kumar")</f>
        <v>Saurav Kumar</v>
      </c>
      <c r="C1713" s="17" t="str">
        <f>IFERROR(__xludf.DUMMYFUNCTION("""COMPUTED_VALUE"""),"Founder &amp; CEO")</f>
        <v>Founder &amp; CEO</v>
      </c>
      <c r="D1713" s="17"/>
      <c r="E1713" s="17"/>
      <c r="F1713" s="17" t="str">
        <f>IFERROR(__xludf.DUMMYFUNCTION("""COMPUTED_VALUE"""),"saurav.kumar@eulermotors.com")</f>
        <v>saurav.kumar@eulermotors.com</v>
      </c>
      <c r="G1713" s="17"/>
      <c r="H1713" s="17"/>
    </row>
    <row r="1714">
      <c r="A1714" s="17" t="str">
        <f>IFERROR(__xludf.DUMMYFUNCTION("""COMPUTED_VALUE"""),"Euler Motors")</f>
        <v>Euler Motors</v>
      </c>
      <c r="B1714" s="17" t="str">
        <f>IFERROR(__xludf.DUMMYFUNCTION("""COMPUTED_VALUE"""),"Siddharth Shakdher")</f>
        <v>Siddharth Shakdher</v>
      </c>
      <c r="C1714" s="17" t="str">
        <f>IFERROR(__xludf.DUMMYFUNCTION("""COMPUTED_VALUE"""),"Co-founder")</f>
        <v>Co-founder</v>
      </c>
      <c r="D1714" s="17"/>
      <c r="E1714" s="17"/>
      <c r="F1714" s="17" t="str">
        <f>IFERROR(__xludf.DUMMYFUNCTION("""COMPUTED_VALUE"""),"sidharth.shakdher@paytm.com")</f>
        <v>sidharth.shakdher@paytm.com</v>
      </c>
      <c r="G1714" s="17"/>
      <c r="H1714" s="17"/>
    </row>
    <row r="1715">
      <c r="A1715" s="17" t="str">
        <f>IFERROR(__xludf.DUMMYFUNCTION("""COMPUTED_VALUE"""),"Ather Energy")</f>
        <v>Ather Energy</v>
      </c>
      <c r="B1715" s="17" t="str">
        <f>IFERROR(__xludf.DUMMYFUNCTION("""COMPUTED_VALUE"""),"Tarun Mehta")</f>
        <v>Tarun Mehta</v>
      </c>
      <c r="C1715" s="17" t="str">
        <f>IFERROR(__xludf.DUMMYFUNCTION("""COMPUTED_VALUE"""),"Co-founder &amp; CEO")</f>
        <v>Co-founder &amp; CEO</v>
      </c>
      <c r="D1715" s="17"/>
      <c r="E1715" s="17"/>
      <c r="F1715" s="17" t="str">
        <f>IFERROR(__xludf.DUMMYFUNCTION("""COMPUTED_VALUE"""),"tarunsmehta@gmail.com")</f>
        <v>tarunsmehta@gmail.com</v>
      </c>
      <c r="G1715" s="17"/>
      <c r="H1715" s="17"/>
    </row>
    <row r="1716">
      <c r="A1716" s="17" t="str">
        <f>IFERROR(__xludf.DUMMYFUNCTION("""COMPUTED_VALUE"""),"Ather Energy")</f>
        <v>Ather Energy</v>
      </c>
      <c r="B1716" s="17" t="str">
        <f>IFERROR(__xludf.DUMMYFUNCTION("""COMPUTED_VALUE"""),"Swapnil Jain")</f>
        <v>Swapnil Jain</v>
      </c>
      <c r="C1716" s="17" t="str">
        <f>IFERROR(__xludf.DUMMYFUNCTION("""COMPUTED_VALUE"""),"Co-founder")</f>
        <v>Co-founder</v>
      </c>
      <c r="D1716" s="17"/>
      <c r="E1716" s="17"/>
      <c r="F1716" s="17" t="str">
        <f>IFERROR(__xludf.DUMMYFUNCTION("""COMPUTED_VALUE"""),"swapnil.jain@atherenergy.com")</f>
        <v>swapnil.jain@atherenergy.com</v>
      </c>
      <c r="G1716" s="17"/>
      <c r="H1716" s="17"/>
    </row>
    <row r="1717">
      <c r="A1717" s="17" t="str">
        <f>IFERROR(__xludf.DUMMYFUNCTION("""COMPUTED_VALUE"""),"Sun Mobility")</f>
        <v>Sun Mobility</v>
      </c>
      <c r="B1717" s="17" t="str">
        <f>IFERROR(__xludf.DUMMYFUNCTION("""COMPUTED_VALUE"""),"Chetan Maini")</f>
        <v>Chetan Maini</v>
      </c>
      <c r="C1717" s="17" t="str">
        <f>IFERROR(__xludf.DUMMYFUNCTION("""COMPUTED_VALUE"""),"Founder")</f>
        <v>Founder</v>
      </c>
      <c r="D1717" s="17"/>
      <c r="E1717" s="17"/>
      <c r="F1717" s="17" t="str">
        <f>IFERROR(__xludf.DUMMYFUNCTION("""COMPUTED_VALUE"""),"chetanmaini@ymail.com")</f>
        <v>chetanmaini@ymail.com</v>
      </c>
      <c r="G1717" s="17"/>
      <c r="H1717" s="17"/>
    </row>
    <row r="1718">
      <c r="A1718" s="17" t="str">
        <f>IFERROR(__xludf.DUMMYFUNCTION("""COMPUTED_VALUE"""),"Sun Mobility")</f>
        <v>Sun Mobility</v>
      </c>
      <c r="B1718" s="17" t="str">
        <f>IFERROR(__xludf.DUMMYFUNCTION("""COMPUTED_VALUE"""),"Uday Khemka")</f>
        <v>Uday Khemka</v>
      </c>
      <c r="C1718" s="17" t="str">
        <f>IFERROR(__xludf.DUMMYFUNCTION("""COMPUTED_VALUE"""),"Co-founder")</f>
        <v>Co-founder</v>
      </c>
      <c r="D1718" s="17"/>
      <c r="E1718" s="17"/>
      <c r="F1718" s="17" t="str">
        <f>IFERROR(__xludf.DUMMYFUNCTION("""COMPUTED_VALUE"""),"uday.khemka@sun-capital.com")</f>
        <v>uday.khemka@sun-capital.com</v>
      </c>
      <c r="G1718" s="17"/>
      <c r="H1718" s="17"/>
    </row>
    <row r="1719">
      <c r="A1719" s="17" t="str">
        <f>IFERROR(__xludf.DUMMYFUNCTION("""COMPUTED_VALUE"""),"Altigreen")</f>
        <v>Altigreen</v>
      </c>
      <c r="B1719" s="17" t="str">
        <f>IFERROR(__xludf.DUMMYFUNCTION("""COMPUTED_VALUE"""),"Amitabh Saran")</f>
        <v>Amitabh Saran</v>
      </c>
      <c r="C1719" s="17" t="str">
        <f>IFERROR(__xludf.DUMMYFUNCTION("""COMPUTED_VALUE"""),"Founder &amp; CEO")</f>
        <v>Founder &amp; CEO</v>
      </c>
      <c r="D1719" s="17"/>
      <c r="E1719" s="17"/>
      <c r="F1719" s="17" t="str">
        <f>IFERROR(__xludf.DUMMYFUNCTION("""COMPUTED_VALUE"""),"amit@altigreen.com")</f>
        <v>amit@altigreen.com</v>
      </c>
      <c r="G1719" s="17"/>
      <c r="H1719" s="17"/>
    </row>
    <row r="1720">
      <c r="A1720" s="17" t="str">
        <f>IFERROR(__xludf.DUMMYFUNCTION("""COMPUTED_VALUE"""),"Hero Electric")</f>
        <v>Hero Electric</v>
      </c>
      <c r="B1720" s="17" t="str">
        <f>IFERROR(__xludf.DUMMYFUNCTION("""COMPUTED_VALUE"""),"Sohinder Gill")</f>
        <v>Sohinder Gill</v>
      </c>
      <c r="C1720" s="17" t="str">
        <f>IFERROR(__xludf.DUMMYFUNCTION("""COMPUTED_VALUE"""),"CEO")</f>
        <v>CEO</v>
      </c>
      <c r="D1720" s="17"/>
      <c r="E1720" s="17"/>
      <c r="F1720" s="17" t="str">
        <f>IFERROR(__xludf.DUMMYFUNCTION("""COMPUTED_VALUE"""),"sohinder@gmail.com")</f>
        <v>sohinder@gmail.com</v>
      </c>
      <c r="G1720" s="17"/>
      <c r="H1720" s="17"/>
    </row>
    <row r="1721">
      <c r="A1721" s="17" t="str">
        <f>IFERROR(__xludf.DUMMYFUNCTION("""COMPUTED_VALUE"""),"Zypp Electric")</f>
        <v>Zypp Electric</v>
      </c>
      <c r="B1721" s="17" t="str">
        <f>IFERROR(__xludf.DUMMYFUNCTION("""COMPUTED_VALUE"""),"Akash Gupta")</f>
        <v>Akash Gupta</v>
      </c>
      <c r="C1721" s="17" t="str">
        <f>IFERROR(__xludf.DUMMYFUNCTION("""COMPUTED_VALUE"""),"Co-founder &amp; CEO")</f>
        <v>Co-founder &amp; CEO</v>
      </c>
      <c r="D1721" s="17"/>
      <c r="E1721" s="17"/>
      <c r="F1721" s="17" t="str">
        <f>IFERROR(__xludf.DUMMYFUNCTION("""COMPUTED_VALUE"""),"akashthematrix@gmail.com")</f>
        <v>akashthematrix@gmail.com</v>
      </c>
      <c r="G1721" s="17"/>
      <c r="H1721" s="17"/>
    </row>
    <row r="1722">
      <c r="A1722" s="17" t="str">
        <f>IFERROR(__xludf.DUMMYFUNCTION("""COMPUTED_VALUE"""),"Revolt Motors")</f>
        <v>Revolt Motors</v>
      </c>
      <c r="B1722" s="17" t="str">
        <f>IFERROR(__xludf.DUMMYFUNCTION("""COMPUTED_VALUE"""),"Tushar Mehta")</f>
        <v>Tushar Mehta</v>
      </c>
      <c r="C1722" s="17" t="str">
        <f>IFERROR(__xludf.DUMMYFUNCTION("""COMPUTED_VALUE"""),"CEO")</f>
        <v>CEO</v>
      </c>
      <c r="D1722" s="17"/>
      <c r="E1722" s="17"/>
      <c r="F1722" s="17"/>
      <c r="G1722" s="17"/>
      <c r="H1722" s="17"/>
    </row>
    <row r="1723">
      <c r="A1723" s="17" t="str">
        <f>IFERROR(__xludf.DUMMYFUNCTION("""COMPUTED_VALUE"""),"Hero MotoCorp")</f>
        <v>Hero MotoCorp</v>
      </c>
      <c r="B1723" s="17" t="str">
        <f>IFERROR(__xludf.DUMMYFUNCTION("""COMPUTED_VALUE"""),"Naveen Munjal")</f>
        <v>Naveen Munjal</v>
      </c>
      <c r="C1723" s="17" t="str">
        <f>IFERROR(__xludf.DUMMYFUNCTION("""COMPUTED_VALUE"""),"Managing Director")</f>
        <v>Managing Director</v>
      </c>
      <c r="D1723" s="17"/>
      <c r="E1723" s="17"/>
      <c r="F1723" s="17" t="str">
        <f>IFERROR(__xludf.DUMMYFUNCTION("""COMPUTED_VALUE"""),"nmunjal@heroeco.com")</f>
        <v>nmunjal@heroeco.com</v>
      </c>
      <c r="G1723" s="17"/>
      <c r="H1723" s="17"/>
    </row>
    <row r="1724">
      <c r="A1724" s="17" t="str">
        <f>IFERROR(__xludf.DUMMYFUNCTION("""COMPUTED_VALUE"""),"NueGo")</f>
        <v>NueGo</v>
      </c>
      <c r="B1724" s="17" t="str">
        <f>IFERROR(__xludf.DUMMYFUNCTION("""COMPUTED_VALUE"""),"Niranjan Gupta")</f>
        <v>Niranjan Gupta</v>
      </c>
      <c r="C1724" s="17" t="str">
        <f>IFERROR(__xludf.DUMMYFUNCTION("""COMPUTED_VALUE"""),"CEO")</f>
        <v>CEO</v>
      </c>
      <c r="D1724" s="17"/>
      <c r="E1724" s="17"/>
      <c r="F1724" s="17" t="str">
        <f>IFERROR(__xludf.DUMMYFUNCTION("""COMPUTED_VALUE"""),"niranjan.gupta@unilever.com")</f>
        <v>niranjan.gupta@unilever.com</v>
      </c>
      <c r="G1724" s="17"/>
      <c r="H1724" s="17"/>
    </row>
    <row r="1725">
      <c r="A1725" s="17" t="str">
        <f>IFERROR(__xludf.DUMMYFUNCTION("""COMPUTED_VALUE"""),"Secmol")</f>
        <v>Secmol</v>
      </c>
      <c r="B1725" s="17" t="str">
        <f>IFERROR(__xludf.DUMMYFUNCTION("""COMPUTED_VALUE"""),"Sonam Wangchuk")</f>
        <v>Sonam Wangchuk</v>
      </c>
      <c r="C1725" s="17" t="str">
        <f>IFERROR(__xludf.DUMMYFUNCTION("""COMPUTED_VALUE"""),"Founder")</f>
        <v>Founder</v>
      </c>
      <c r="D1725" s="17"/>
      <c r="E1725" s="17"/>
      <c r="F1725" s="17"/>
      <c r="G1725" s="17" t="str">
        <f>IFERROR(__xludf.DUMMYFUNCTION("""COMPUTED_VALUE"""),"sonam@hial.edu.in, officeofsw@gmail.com")</f>
        <v>sonam@hial.edu.in, officeofsw@gmail.com</v>
      </c>
      <c r="H1725" s="17"/>
    </row>
    <row r="1726">
      <c r="A1726" s="17" t="str">
        <f>IFERROR(__xludf.DUMMYFUNCTION("""COMPUTED_VALUE"""),"Arghyam Foundation")</f>
        <v>Arghyam Foundation</v>
      </c>
      <c r="B1726" s="17" t="str">
        <f>IFERROR(__xludf.DUMMYFUNCTION("""COMPUTED_VALUE"""),"Anuj Sharma")</f>
        <v>Anuj Sharma</v>
      </c>
      <c r="C1726" s="17" t="str">
        <f>IFERROR(__xludf.DUMMYFUNCTION("""COMPUTED_VALUE"""),"CEO")</f>
        <v>CEO</v>
      </c>
      <c r="D1726" s="27" t="str">
        <f>IFERROR(__xludf.DUMMYFUNCTION("""COMPUTED_VALUE"""),"https://www.linkedin.com/in/anuj-sharma-a9360b18/")</f>
        <v>https://www.linkedin.com/in/anuj-sharma-a9360b18/</v>
      </c>
      <c r="E1726" s="17"/>
      <c r="F1726" s="17" t="str">
        <f>IFERROR(__xludf.DUMMYFUNCTION("""COMPUTED_VALUE"""),"prathamanuj@gmail.com")</f>
        <v>prathamanuj@gmail.com</v>
      </c>
      <c r="G1726" s="17"/>
      <c r="H1726" s="17"/>
    </row>
    <row r="1727">
      <c r="A1727" s="17" t="str">
        <f>IFERROR(__xludf.DUMMYFUNCTION("""COMPUTED_VALUE"""),"Teach For India")</f>
        <v>Teach For India</v>
      </c>
      <c r="B1727" s="17" t="str">
        <f>IFERROR(__xludf.DUMMYFUNCTION("""COMPUTED_VALUE"""),"Shaheen Mistri")</f>
        <v>Shaheen Mistri</v>
      </c>
      <c r="C1727" s="17" t="str">
        <f>IFERROR(__xludf.DUMMYFUNCTION("""COMPUTED_VALUE"""),"Founder &amp; CEO")</f>
        <v>Founder &amp; CEO</v>
      </c>
      <c r="D1727" s="17"/>
      <c r="E1727" s="17"/>
      <c r="F1727" s="17"/>
      <c r="G1727" s="17"/>
      <c r="H1727" s="17"/>
    </row>
    <row r="1728">
      <c r="A1728" s="17" t="str">
        <f>IFERROR(__xludf.DUMMYFUNCTION("""COMPUTED_VALUE"""),"Chrysalis")</f>
        <v>Chrysalis</v>
      </c>
      <c r="B1728" s="17" t="str">
        <f>IFERROR(__xludf.DUMMYFUNCTION("""COMPUTED_VALUE"""),"Chitra Ravi")</f>
        <v>Chitra Ravi</v>
      </c>
      <c r="C1728" s="17" t="str">
        <f>IFERROR(__xludf.DUMMYFUNCTION("""COMPUTED_VALUE"""),"Founder &amp; CEO")</f>
        <v>Founder &amp; CEO</v>
      </c>
      <c r="D1728" s="27" t="str">
        <f>IFERROR(__xludf.DUMMYFUNCTION("""COMPUTED_VALUE"""),"https://www.linkedin.com/in/chitraravi/")</f>
        <v>https://www.linkedin.com/in/chitraravi/</v>
      </c>
      <c r="E1728" s="17"/>
      <c r="F1728" s="17" t="str">
        <f>IFERROR(__xludf.DUMMYFUNCTION("""COMPUTED_VALUE"""),"chitra@ezvidya.com")</f>
        <v>chitra@ezvidya.com</v>
      </c>
      <c r="G1728" s="17" t="str">
        <f>IFERROR(__xludf.DUMMYFUNCTION("""COMPUTED_VALUE"""),"chitra@chrysalis.world")</f>
        <v>chitra@chrysalis.world</v>
      </c>
      <c r="H1728" s="17"/>
    </row>
    <row r="1729">
      <c r="A1729" s="17" t="str">
        <f>IFERROR(__xludf.DUMMYFUNCTION("""COMPUTED_VALUE"""),"UN Environment Programme")</f>
        <v>UN Environment Programme</v>
      </c>
      <c r="B1729" s="17" t="str">
        <f>IFERROR(__xludf.DUMMYFUNCTION("""COMPUTED_VALUE"""),"Dia Mirza")</f>
        <v>Dia Mirza</v>
      </c>
      <c r="C1729" s="17" t="str">
        <f>IFERROR(__xludf.DUMMYFUNCTION("""COMPUTED_VALUE"""),"Public Figure")</f>
        <v>Public Figure</v>
      </c>
      <c r="D1729" s="17"/>
      <c r="E1729" s="17"/>
      <c r="F1729" s="17"/>
      <c r="G1729" s="17"/>
      <c r="H1729" s="17"/>
    </row>
    <row r="1730">
      <c r="A1730" s="17" t="str">
        <f>IFERROR(__xludf.DUMMYFUNCTION("""COMPUTED_VALUE"""),"Environmental Campaigns")</f>
        <v>Environmental Campaigns</v>
      </c>
      <c r="B1730" s="17" t="str">
        <f>IFERROR(__xludf.DUMMYFUNCTION("""COMPUTED_VALUE"""),"Jackie Shroff")</f>
        <v>Jackie Shroff</v>
      </c>
      <c r="C1730" s="17" t="str">
        <f>IFERROR(__xludf.DUMMYFUNCTION("""COMPUTED_VALUE"""),"Public Figure")</f>
        <v>Public Figure</v>
      </c>
      <c r="D1730" s="17"/>
      <c r="E1730" s="17"/>
      <c r="F1730" s="17"/>
      <c r="G1730" s="17"/>
      <c r="H1730" s="17"/>
    </row>
    <row r="1731">
      <c r="A1731" s="17" t="str">
        <f>IFERROR(__xludf.DUMMYFUNCTION("""COMPUTED_VALUE"""),"Satyamev Jayate")</f>
        <v>Satyamev Jayate</v>
      </c>
      <c r="B1731" s="17" t="str">
        <f>IFERROR(__xludf.DUMMYFUNCTION("""COMPUTED_VALUE"""),"Aamir Khan")</f>
        <v>Aamir Khan</v>
      </c>
      <c r="C1731" s="17" t="str">
        <f>IFERROR(__xludf.DUMMYFUNCTION("""COMPUTED_VALUE"""),"Public Figure")</f>
        <v>Public Figure</v>
      </c>
      <c r="D1731" s="17"/>
      <c r="E1731" s="17"/>
      <c r="F1731" s="17"/>
      <c r="G1731" s="17"/>
      <c r="H1731" s="17"/>
    </row>
    <row r="1732">
      <c r="A1732" s="17" t="str">
        <f>IFERROR(__xludf.DUMMYFUNCTION("""COMPUTED_VALUE"""),"Convergence Energy Services Ltd")</f>
        <v>Convergence Energy Services Ltd</v>
      </c>
      <c r="B1732" s="17" t="str">
        <f>IFERROR(__xludf.DUMMYFUNCTION("""COMPUTED_VALUE"""),"Mahua Acharya")</f>
        <v>Mahua Acharya</v>
      </c>
      <c r="C1732" s="17" t="str">
        <f>IFERROR(__xludf.DUMMYFUNCTION("""COMPUTED_VALUE"""),"MD &amp; CEO")</f>
        <v>MD &amp; CEO</v>
      </c>
      <c r="D1732" s="17"/>
      <c r="E1732" s="17"/>
      <c r="F1732" s="17"/>
      <c r="G1732" s="17"/>
      <c r="H1732" s="17"/>
    </row>
    <row r="1733">
      <c r="A1733" s="17" t="str">
        <f>IFERROR(__xludf.DUMMYFUNCTION("""COMPUTED_VALUE"""),"International Solar Alliance")</f>
        <v>International Solar Alliance</v>
      </c>
      <c r="B1733" s="17" t="str">
        <f>IFERROR(__xludf.DUMMYFUNCTION("""COMPUTED_VALUE"""),"Ajay Mathur")</f>
        <v>Ajay Mathur</v>
      </c>
      <c r="C1733" s="17" t="str">
        <f>IFERROR(__xludf.DUMMYFUNCTION("""COMPUTED_VALUE"""),"Director General")</f>
        <v>Director General</v>
      </c>
      <c r="D1733" s="17"/>
      <c r="E1733" s="17"/>
      <c r="F1733" s="17"/>
      <c r="G1733" s="17"/>
      <c r="H1733" s="17"/>
    </row>
    <row r="1734">
      <c r="A1734" s="17" t="str">
        <f>IFERROR(__xludf.DUMMYFUNCTION("""COMPUTED_VALUE"""),"Tata Power")</f>
        <v>Tata Power</v>
      </c>
      <c r="B1734" s="17" t="str">
        <f>IFERROR(__xludf.DUMMYFUNCTION("""COMPUTED_VALUE"""),"Praveer Sinha")</f>
        <v>Praveer Sinha</v>
      </c>
      <c r="C1734" s="17" t="str">
        <f>IFERROR(__xludf.DUMMYFUNCTION("""COMPUTED_VALUE"""),"CEO &amp; MD")</f>
        <v>CEO &amp; MD</v>
      </c>
      <c r="D1734" s="27" t="str">
        <f>IFERROR(__xludf.DUMMYFUNCTION("""COMPUTED_VALUE"""),"https://www.linkedin.com/in/tarunkatiyar-tata/")</f>
        <v>https://www.linkedin.com/in/tarunkatiyar-tata/</v>
      </c>
      <c r="E1734" s="17"/>
      <c r="F1734" s="17" t="str">
        <f>IFERROR(__xludf.DUMMYFUNCTION("""COMPUTED_VALUE"""),"tarun.katiyar@tatapower-ddl.com")</f>
        <v>tarun.katiyar@tatapower-ddl.com</v>
      </c>
      <c r="G1734" s="17" t="str">
        <f>IFERROR(__xludf.DUMMYFUNCTION("""COMPUTED_VALUE"""),"tkatiyar@gmail.com")</f>
        <v>tkatiyar@gmail.com</v>
      </c>
      <c r="H1734" s="17"/>
    </row>
    <row r="1735">
      <c r="A1735" s="17" t="str">
        <f>IFERROR(__xludf.DUMMYFUNCTION("""COMPUTED_VALUE"""),"Zerodha")</f>
        <v>Zerodha</v>
      </c>
      <c r="B1735" s="17" t="str">
        <f>IFERROR(__xludf.DUMMYFUNCTION("""COMPUTED_VALUE"""),"Nithin Kamath")</f>
        <v>Nithin Kamath</v>
      </c>
      <c r="C1735" s="17" t="str">
        <f>IFERROR(__xludf.DUMMYFUNCTION("""COMPUTED_VALUE"""),"Founder")</f>
        <v>Founder</v>
      </c>
      <c r="D1735" s="27" t="str">
        <f>IFERROR(__xludf.DUMMYFUNCTION("""COMPUTED_VALUE"""),"https://www.linkedin.com/in/nikhilkamathcio/")</f>
        <v>https://www.linkedin.com/in/nikhilkamathcio/</v>
      </c>
      <c r="E1735" s="17"/>
      <c r="F1735" s="17" t="str">
        <f>IFERROR(__xludf.DUMMYFUNCTION("""COMPUTED_VALUE"""),"nikhil@gruhas.com")</f>
        <v>nikhil@gruhas.com</v>
      </c>
      <c r="G1735" s="17" t="str">
        <f>IFERROR(__xludf.DUMMYFUNCTION("""COMPUTED_VALUE"""),"nikhil@truebeacon.com")</f>
        <v>nikhil@truebeacon.com</v>
      </c>
      <c r="H1735" s="17" t="str">
        <f>IFERROR(__xludf.DUMMYFUNCTION("""COMPUTED_VALUE"""),"nikhil@zerodha.com")</f>
        <v>nikhil@zerodha.com</v>
      </c>
    </row>
    <row r="1736">
      <c r="A1736" s="17" t="str">
        <f>IFERROR(__xludf.DUMMYFUNCTION("""COMPUTED_VALUE"""),"Zoho")</f>
        <v>Zoho</v>
      </c>
      <c r="B1736" s="17" t="str">
        <f>IFERROR(__xludf.DUMMYFUNCTION("""COMPUTED_VALUE"""),"Sridhar Vembu")</f>
        <v>Sridhar Vembu</v>
      </c>
      <c r="C1736" s="17" t="str">
        <f>IFERROR(__xludf.DUMMYFUNCTION("""COMPUTED_VALUE"""),"Founder")</f>
        <v>Founder</v>
      </c>
      <c r="D1736" s="17"/>
      <c r="E1736" s="17"/>
      <c r="F1736" s="17"/>
      <c r="G1736" s="17"/>
      <c r="H1736" s="17"/>
    </row>
    <row r="1737">
      <c r="A1737" s="17" t="str">
        <f>IFERROR(__xludf.DUMMYFUNCTION("""COMPUTED_VALUE"""),"Marico")</f>
        <v>Marico</v>
      </c>
      <c r="B1737" s="17" t="str">
        <f>IFERROR(__xludf.DUMMYFUNCTION("""COMPUTED_VALUE"""),"Harsh Mariwala")</f>
        <v>Harsh Mariwala</v>
      </c>
      <c r="C1737" s="17" t="str">
        <f>IFERROR(__xludf.DUMMYFUNCTION("""COMPUTED_VALUE"""),"Director   ")</f>
        <v>Director   </v>
      </c>
      <c r="D1737" s="27" t="str">
        <f>IFERROR(__xludf.DUMMYFUNCTION("""COMPUTED_VALUE"""),"https://www.linkedin.com/in/rishabhmariwala/")</f>
        <v>https://www.linkedin.com/in/rishabhmariwala/</v>
      </c>
      <c r="E1737" s="17"/>
      <c r="F1737" s="17" t="str">
        <f>IFERROR(__xludf.DUMMYFUNCTION("""COMPUTED_VALUE"""),"rishabh@sharrpventures.com")</f>
        <v>rishabh@sharrpventures.com</v>
      </c>
      <c r="G1737" s="17" t="str">
        <f>IFERROR(__xludf.DUMMYFUNCTION("""COMPUTED_VALUE"""),"rishabhm@marico.com")</f>
        <v>rishabhm@marico.com</v>
      </c>
      <c r="H1737" s="17" t="str">
        <f>IFERROR(__xludf.DUMMYFUNCTION("""COMPUTED_VALUE"""),"rmariwala@gmail.com")</f>
        <v>rmariwala@gmail.com</v>
      </c>
    </row>
    <row r="1738">
      <c r="A1738" s="17" t="str">
        <f>IFERROR(__xludf.DUMMYFUNCTION("""COMPUTED_VALUE"""),"Infosys")</f>
        <v>Infosys</v>
      </c>
      <c r="B1738" s="17" t="str">
        <f>IFERROR(__xludf.DUMMYFUNCTION("""COMPUTED_VALUE"""),"Kris Gopalakrishnan")</f>
        <v>Kris Gopalakrishnan</v>
      </c>
      <c r="C1738" s="17" t="str">
        <f>IFERROR(__xludf.DUMMYFUNCTION("""COMPUTED_VALUE"""),"Co-founder Infosys")</f>
        <v>Co-founder Infosys</v>
      </c>
      <c r="D1738" s="17"/>
      <c r="E1738" s="17"/>
      <c r="F1738" s="17"/>
      <c r="G1738" s="17"/>
      <c r="H1738" s="17"/>
    </row>
    <row r="1739">
      <c r="A1739" s="17" t="str">
        <f>IFERROR(__xludf.DUMMYFUNCTION("""COMPUTED_VALUE"""),"Paytm")</f>
        <v>Paytm</v>
      </c>
      <c r="B1739" s="17" t="str">
        <f>IFERROR(__xludf.DUMMYFUNCTION("""COMPUTED_VALUE"""),"Vijay Shekhar Sharma")</f>
        <v>Vijay Shekhar Sharma</v>
      </c>
      <c r="C1739" s="17" t="str">
        <f>IFERROR(__xludf.DUMMYFUNCTION("""COMPUTED_VALUE"""),"Founder")</f>
        <v>Founder</v>
      </c>
      <c r="D1739" s="17"/>
      <c r="E1739" s="17"/>
      <c r="F1739" s="17"/>
      <c r="G1739" s="17"/>
      <c r="H1739" s="17"/>
    </row>
    <row r="1740">
      <c r="A1740" s="17" t="str">
        <f>IFERROR(__xludf.DUMMYFUNCTION("""COMPUTED_VALUE"""),"ISKCON")</f>
        <v>ISKCON</v>
      </c>
      <c r="B1740" s="17" t="str">
        <f>IFERROR(__xludf.DUMMYFUNCTION("""COMPUTED_VALUE"""),"Gaur Gopal Das")</f>
        <v>Gaur Gopal Das</v>
      </c>
      <c r="C1740" s="17" t="str">
        <f>IFERROR(__xludf.DUMMYFUNCTION("""COMPUTED_VALUE"""),"Speaker")</f>
        <v>Speaker</v>
      </c>
      <c r="D1740" s="27" t="str">
        <f>IFERROR(__xludf.DUMMYFUNCTION("""COMPUTED_VALUE"""),"https://www.linkedin.com/in/gaurgopald/")</f>
        <v>https://www.linkedin.com/in/gaurgopald/</v>
      </c>
      <c r="E1740" s="17"/>
      <c r="F1740" s="17" t="str">
        <f>IFERROR(__xludf.DUMMYFUNCTION("""COMPUTED_VALUE"""),"sevendec@gmail.com")</f>
        <v>sevendec@gmail.com</v>
      </c>
      <c r="G1740" s="17"/>
      <c r="H1740" s="17"/>
    </row>
    <row r="1741">
      <c r="A1741" s="17" t="str">
        <f>IFERROR(__xludf.DUMMYFUNCTION("""COMPUTED_VALUE"""),"Brahma Kumaris")</f>
        <v>Brahma Kumaris</v>
      </c>
      <c r="B1741" s="17" t="str">
        <f>IFERROR(__xludf.DUMMYFUNCTION("""COMPUTED_VALUE"""),"BK Shivani")</f>
        <v>BK Shivani</v>
      </c>
      <c r="C1741" s="17" t="str">
        <f>IFERROR(__xludf.DUMMYFUNCTION("""COMPUTED_VALUE"""),"Speaker")</f>
        <v>Speaker</v>
      </c>
      <c r="D1741" s="17"/>
      <c r="E1741" s="17"/>
      <c r="F1741" s="17"/>
      <c r="G1741" s="17"/>
      <c r="H1741" s="17"/>
    </row>
    <row r="1742">
      <c r="A1742" s="17" t="str">
        <f>IFERROR(__xludf.DUMMYFUNCTION("""COMPUTED_VALUE"""),"DRDO")</f>
        <v>DRDO</v>
      </c>
      <c r="B1742" s="17" t="str">
        <f>IFERROR(__xludf.DUMMYFUNCTION("""COMPUTED_VALUE"""),"Dr Tessy Thomas")</f>
        <v>Dr Tessy Thomas</v>
      </c>
      <c r="C1742" s="17" t="str">
        <f>IFERROR(__xludf.DUMMYFUNCTION("""COMPUTED_VALUE"""),"Scientist")</f>
        <v>Scientist</v>
      </c>
      <c r="D1742" s="17"/>
      <c r="E1742" s="17"/>
      <c r="F1742" s="17"/>
      <c r="G1742" s="17"/>
      <c r="H1742" s="17"/>
    </row>
    <row r="1743">
      <c r="A1743" s="17" t="str">
        <f>IFERROR(__xludf.DUMMYFUNCTION("""COMPUTED_VALUE"""),"REAR (Renewable Energy Association of Rajasthan)")</f>
        <v>REAR (Renewable Energy Association of Rajasthan)</v>
      </c>
      <c r="B1743" s="17" t="str">
        <f>IFERROR(__xludf.DUMMYFUNCTION("""COMPUTED_VALUE"""),"Ajay Yadav")</f>
        <v>Ajay Yadav</v>
      </c>
      <c r="C1743" s="17" t="str">
        <f>IFERROR(__xludf.DUMMYFUNCTION("""COMPUTED_VALUE"""),"President ")</f>
        <v>President </v>
      </c>
      <c r="D1743" s="27" t="str">
        <f>IFERROR(__xludf.DUMMYFUNCTION("""COMPUTED_VALUE"""),"https://www.linkedin.com/in/ajay-yadav-solar/")</f>
        <v>https://www.linkedin.com/in/ajay-yadav-solar/</v>
      </c>
      <c r="E1743" s="17" t="str">
        <f>IFERROR(__xludf.DUMMYFUNCTION("""COMPUTED_VALUE"""),"9958582628, +918299519741")</f>
        <v>9958582628, +918299519741</v>
      </c>
      <c r="F1743" s="17" t="str">
        <f>IFERROR(__xludf.DUMMYFUNCTION("""COMPUTED_VALUE"""),"ajayupes@gmail.com")</f>
        <v>ajayupes@gmail.com</v>
      </c>
      <c r="G1743" s="17" t="str">
        <f>IFERROR(__xludf.DUMMYFUNCTION("""COMPUTED_VALUE"""),"itsajayadav@gmail.com")</f>
        <v>itsajayadav@gmail.com</v>
      </c>
      <c r="H1743" s="17"/>
    </row>
    <row r="1744">
      <c r="A1744" s="17" t="str">
        <f>IFERROR(__xludf.DUMMYFUNCTION("""COMPUTED_VALUE"""),"Spark Solar Solutions")</f>
        <v>Spark Solar Solutions</v>
      </c>
      <c r="B1744" s="17" t="str">
        <f>IFERROR(__xludf.DUMMYFUNCTION("""COMPUTED_VALUE"""),"Shaik Mahafooz")</f>
        <v>Shaik Mahafooz</v>
      </c>
      <c r="C1744" s="17" t="str">
        <f>IFERROR(__xludf.DUMMYFUNCTION("""COMPUTED_VALUE"""),"Founder")</f>
        <v>Founder</v>
      </c>
      <c r="D1744" s="27" t="str">
        <f>IFERROR(__xludf.DUMMYFUNCTION("""COMPUTED_VALUE"""),"https://www.linkedin.com/in/shaik-mahafooz-4295a6256/")</f>
        <v>https://www.linkedin.com/in/shaik-mahafooz-4295a6256/</v>
      </c>
      <c r="E1744" s="17" t="str">
        <f>IFERROR(__xludf.DUMMYFUNCTION("""COMPUTED_VALUE"""),"919502099892")</f>
        <v>919502099892</v>
      </c>
      <c r="F1744" s="17" t="str">
        <f>IFERROR(__xludf.DUMMYFUNCTION("""COMPUTED_VALUE"""),"mahafoozworkinbox@gmail.com")</f>
        <v>mahafoozworkinbox@gmail.com</v>
      </c>
      <c r="G1744" s="17" t="str">
        <f>IFERROR(__xludf.DUMMYFUNCTION("""COMPUTED_VALUE"""),"mahafooz@sparksolarsolutions.in")</f>
        <v>mahafooz@sparksolarsolutions.in</v>
      </c>
      <c r="H1744" s="17"/>
    </row>
    <row r="1745">
      <c r="A1745" s="17" t="str">
        <f>IFERROR(__xludf.DUMMYFUNCTION("""COMPUTED_VALUE"""),"First Energy")</f>
        <v>First Energy</v>
      </c>
      <c r="B1745" s="17" t="str">
        <f>IFERROR(__xludf.DUMMYFUNCTION("""COMPUTED_VALUE"""),"Mahesh Yagnaraman")</f>
        <v>Mahesh Yagnaraman</v>
      </c>
      <c r="C1745" s="17" t="str">
        <f>IFERROR(__xludf.DUMMYFUNCTION("""COMPUTED_VALUE"""),"Co-founder and Director")</f>
        <v>Co-founder and Director</v>
      </c>
      <c r="D1745" s="27" t="str">
        <f>IFERROR(__xludf.DUMMYFUNCTION("""COMPUTED_VALUE"""),"https://www.linkedin.com/in/maheshyagna/")</f>
        <v>https://www.linkedin.com/in/maheshyagna/</v>
      </c>
      <c r="E1745" s="17" t="str">
        <f>IFERROR(__xludf.DUMMYFUNCTION("""COMPUTED_VALUE"""),"919975412343")</f>
        <v>919975412343</v>
      </c>
      <c r="F1745" s="17" t="str">
        <f>IFERROR(__xludf.DUMMYFUNCTION("""COMPUTED_VALUE"""),"yagnaramans@gmail.com")</f>
        <v>yagnaramans@gmail.com</v>
      </c>
      <c r="G1745" s="17" t="str">
        <f>IFERROR(__xludf.DUMMYFUNCTION("""COMPUTED_VALUE"""),"maheshyagna@me.com")</f>
        <v>maheshyagna@me.com</v>
      </c>
      <c r="H1745" s="17"/>
    </row>
    <row r="1746">
      <c r="A1746" s="17" t="str">
        <f>IFERROR(__xludf.DUMMYFUNCTION("""COMPUTED_VALUE"""),"Apollo Hospitals")</f>
        <v>Apollo Hospitals</v>
      </c>
      <c r="B1746" s="17" t="str">
        <f>IFERROR(__xludf.DUMMYFUNCTION("""COMPUTED_VALUE"""),"Preetha Reddy")</f>
        <v>Preetha Reddy</v>
      </c>
      <c r="C1746" s="17" t="str">
        <f>IFERROR(__xludf.DUMMYFUNCTION("""COMPUTED_VALUE"""),"Vice Chairperson")</f>
        <v>Vice Chairperson</v>
      </c>
      <c r="D1746" s="27" t="str">
        <f>IFERROR(__xludf.DUMMYFUNCTION("""COMPUTED_VALUE"""),"https://www.linkedin.com/in/preetha-reddy/?originalSubdomain=in")</f>
        <v>https://www.linkedin.com/in/preetha-reddy/?originalSubdomain=in</v>
      </c>
      <c r="E1746" s="17" t="str">
        <f>IFERROR(__xludf.DUMMYFUNCTION("""COMPUTED_VALUE"""),"19145225809")</f>
        <v>19145225809</v>
      </c>
      <c r="F1746" s="17" t="str">
        <f>IFERROR(__xludf.DUMMYFUNCTION("""COMPUTED_VALUE"""),"preethareddy@apollohospitals.com")</f>
        <v>preethareddy@apollohospitals.com</v>
      </c>
      <c r="G1746" s="17"/>
      <c r="H1746" s="17"/>
    </row>
    <row r="1747">
      <c r="A1747" s="17" t="str">
        <f>IFERROR(__xludf.DUMMYFUNCTION("""COMPUTED_VALUE"""),"Metropolis Healthcare Limited")</f>
        <v>Metropolis Healthcare Limited</v>
      </c>
      <c r="B1747" s="17" t="str">
        <f>IFERROR(__xludf.DUMMYFUNCTION("""COMPUTED_VALUE"""),"Ameera Shah")</f>
        <v>Ameera Shah</v>
      </c>
      <c r="C1747" s="17" t="str">
        <f>IFERROR(__xludf.DUMMYFUNCTION("""COMPUTED_VALUE"""),"Executive Chairperson")</f>
        <v>Executive Chairperson</v>
      </c>
      <c r="D1747" s="27" t="str">
        <f>IFERROR(__xludf.DUMMYFUNCTION("""COMPUTED_VALUE"""),"https://www.linkedin.com/in/ameerashah/?originalSubdomain=in")</f>
        <v>https://www.linkedin.com/in/ameerashah/?originalSubdomain=in</v>
      </c>
      <c r="E1747" s="17" t="str">
        <f>IFERROR(__xludf.DUMMYFUNCTION("""COMPUTED_VALUE"""),"919820457472")</f>
        <v>919820457472</v>
      </c>
      <c r="F1747" s="17" t="str">
        <f>IFERROR(__xludf.DUMMYFUNCTION("""COMPUTED_VALUE"""),"md.office@metropolisindia.com")</f>
        <v>md.office@metropolisindia.com</v>
      </c>
      <c r="G1747" s="17"/>
      <c r="H1747" s="17"/>
    </row>
    <row r="1748">
      <c r="A1748" s="17" t="str">
        <f>IFERROR(__xludf.DUMMYFUNCTION("""COMPUTED_VALUE"""),"Biological E. LTD")</f>
        <v>Biological E. LTD</v>
      </c>
      <c r="B1748" s="17" t="str">
        <f>IFERROR(__xludf.DUMMYFUNCTION("""COMPUTED_VALUE"""),"Mahima Datla")</f>
        <v>Mahima Datla</v>
      </c>
      <c r="C1748" s="17" t="str">
        <f>IFERROR(__xludf.DUMMYFUNCTION("""COMPUTED_VALUE"""),"Sr. Vice President")</f>
        <v>Sr. Vice President</v>
      </c>
      <c r="D1748" s="27" t="str">
        <f>IFERROR(__xludf.DUMMYFUNCTION("""COMPUTED_VALUE"""),"https://www.linkedin.com/in/mahima-datla-41a18827/?originalSubdomain=in")</f>
        <v>https://www.linkedin.com/in/mahima-datla-41a18827/?originalSubdomain=in</v>
      </c>
      <c r="E1748" s="17"/>
      <c r="F1748" s="17" t="str">
        <f>IFERROR(__xludf.DUMMYFUNCTION("""COMPUTED_VALUE"""),"mdatla@biologicale.com")</f>
        <v>mdatla@biologicale.com</v>
      </c>
      <c r="G1748" s="17" t="str">
        <f>IFERROR(__xludf.DUMMYFUNCTION("""COMPUTED_VALUE"""),"mahidatla@hotmail.com")</f>
        <v>mahidatla@hotmail.com</v>
      </c>
      <c r="H1748" s="17"/>
    </row>
    <row r="1749">
      <c r="A1749" s="17" t="str">
        <f>IFERROR(__xludf.DUMMYFUNCTION("""COMPUTED_VALUE"""),"Piramal Enterprises Limited")</f>
        <v>Piramal Enterprises Limited</v>
      </c>
      <c r="B1749" s="17" t="str">
        <f>IFERROR(__xludf.DUMMYFUNCTION("""COMPUTED_VALUE"""),"Swati Piramal")</f>
        <v>Swati Piramal</v>
      </c>
      <c r="C1749" s="17" t="str">
        <f>IFERROR(__xludf.DUMMYFUNCTION("""COMPUTED_VALUE"""),"Vice Chairperson")</f>
        <v>Vice Chairperson</v>
      </c>
      <c r="D1749" s="27" t="str">
        <f>IFERROR(__xludf.DUMMYFUNCTION("""COMPUTED_VALUE"""),"https://www.linkedin.com/in/drswatipiramal/?originalSubdomain=in")</f>
        <v>https://www.linkedin.com/in/drswatipiramal/?originalSubdomain=in</v>
      </c>
      <c r="E1749" s="17" t="str">
        <f>IFERROR(__xludf.DUMMYFUNCTION("""COMPUTED_VALUE"""),"18567289300")</f>
        <v>18567289300</v>
      </c>
      <c r="F1749" s="17" t="str">
        <f>IFERROR(__xludf.DUMMYFUNCTION("""COMPUTED_VALUE"""),"swati.piramal@piramal.com")</f>
        <v>swati.piramal@piramal.com</v>
      </c>
      <c r="G1749" s="17"/>
      <c r="H1749" s="17"/>
    </row>
    <row r="1750">
      <c r="A1750" s="17" t="str">
        <f>IFERROR(__xludf.DUMMYFUNCTION("""COMPUTED_VALUE"""),"Portea medical")</f>
        <v>Portea medical</v>
      </c>
      <c r="B1750" s="17" t="str">
        <f>IFERROR(__xludf.DUMMYFUNCTION("""COMPUTED_VALUE"""),"Meena Ganesh")</f>
        <v>Meena Ganesh</v>
      </c>
      <c r="C1750" s="17" t="str">
        <f>IFERROR(__xludf.DUMMYFUNCTION("""COMPUTED_VALUE"""),"Chairperson of the Board")</f>
        <v>Chairperson of the Board</v>
      </c>
      <c r="D1750" s="27" t="str">
        <f>IFERROR(__xludf.DUMMYFUNCTION("""COMPUTED_VALUE"""),"https://www.linkedin.com/in/meena-ganesh-9460795/?originalSubdomain=in")</f>
        <v>https://www.linkedin.com/in/meena-ganesh-9460795/?originalSubdomain=in</v>
      </c>
      <c r="E1750" s="17" t="str">
        <f>IFERROR(__xludf.DUMMYFUNCTION("""COMPUTED_VALUE"""),"919845116003")</f>
        <v>919845116003</v>
      </c>
      <c r="F1750" s="17" t="str">
        <f>IFERROR(__xludf.DUMMYFUNCTION("""COMPUTED_VALUE"""),"meena.ganesh@portea.com")</f>
        <v>meena.ganesh@portea.com</v>
      </c>
      <c r="G1750" s="17" t="str">
        <f>IFERROR(__xludf.DUMMYFUNCTION("""COMPUTED_VALUE"""),"meena_ganesh2002@yahoo.com")</f>
        <v>meena_ganesh2002@yahoo.com</v>
      </c>
      <c r="H1750" s="17"/>
    </row>
    <row r="1751">
      <c r="A1751" s="17" t="str">
        <f>IFERROR(__xludf.DUMMYFUNCTION("""COMPUTED_VALUE"""),"Niramai Health Analytix")</f>
        <v>Niramai Health Analytix</v>
      </c>
      <c r="B1751" s="17" t="str">
        <f>IFERROR(__xludf.DUMMYFUNCTION("""COMPUTED_VALUE"""),"Geetha Manjunath")</f>
        <v>Geetha Manjunath</v>
      </c>
      <c r="C1751" s="17" t="str">
        <f>IFERROR(__xludf.DUMMYFUNCTION("""COMPUTED_VALUE"""),"Managing Director")</f>
        <v>Managing Director</v>
      </c>
      <c r="D1751" s="27" t="str">
        <f>IFERROR(__xludf.DUMMYFUNCTION("""COMPUTED_VALUE"""),"https://www.linkedin.com/in/geetha-manjunath-82b8058/?originalSubdomain=in")</f>
        <v>https://www.linkedin.com/in/geetha-manjunath-82b8058/?originalSubdomain=in</v>
      </c>
      <c r="E1751" s="17" t="str">
        <f>IFERROR(__xludf.DUMMYFUNCTION("""COMPUTED_VALUE"""),"919880118379")</f>
        <v>919880118379</v>
      </c>
      <c r="F1751" s="17" t="str">
        <f>IFERROR(__xludf.DUMMYFUNCTION("""COMPUTED_VALUE"""),"geetha@niramai.com")</f>
        <v>geetha@niramai.com</v>
      </c>
      <c r="G1751" s="17" t="str">
        <f>IFERROR(__xludf.DUMMYFUNCTION("""COMPUTED_VALUE"""),"geethamhp@gmail.com")</f>
        <v>geethamhp@gmail.com</v>
      </c>
      <c r="H1751" s="17"/>
    </row>
    <row r="1752">
      <c r="A1752" s="17" t="str">
        <f>IFERROR(__xludf.DUMMYFUNCTION("""COMPUTED_VALUE"""),"Lyfboat")</f>
        <v>Lyfboat</v>
      </c>
      <c r="B1752" s="17" t="str">
        <f>IFERROR(__xludf.DUMMYFUNCTION("""COMPUTED_VALUE"""),"Mitika Gupta")</f>
        <v>Mitika Gupta</v>
      </c>
      <c r="C1752" s="17" t="str">
        <f>IFERROR(__xludf.DUMMYFUNCTION("""COMPUTED_VALUE"""),"Co-Founder")</f>
        <v>Co-Founder</v>
      </c>
      <c r="D1752" s="27" t="str">
        <f>IFERROR(__xludf.DUMMYFUNCTION("""COMPUTED_VALUE"""),"https://www.linkedin.com/in/mitika-gupta-9373531/")</f>
        <v>https://www.linkedin.com/in/mitika-gupta-9373531/</v>
      </c>
      <c r="E1752" s="17"/>
      <c r="F1752" s="17" t="str">
        <f>IFERROR(__xludf.DUMMYFUNCTION("""COMPUTED_VALUE"""),"mitika.gupta@lyfboat.com")</f>
        <v>mitika.gupta@lyfboat.com</v>
      </c>
      <c r="G1752" s="17" t="str">
        <f>IFERROR(__xludf.DUMMYFUNCTION("""COMPUTED_VALUE"""),"mitika.gupta@gmail.com")</f>
        <v>mitika.gupta@gmail.com</v>
      </c>
      <c r="H1752" s="17"/>
    </row>
    <row r="1753">
      <c r="A1753" s="17" t="str">
        <f>IFERROR(__xludf.DUMMYFUNCTION("""COMPUTED_VALUE"""),"Zumutor Biologics")</f>
        <v>Zumutor Biologics</v>
      </c>
      <c r="B1753" s="17" t="str">
        <f>IFERROR(__xludf.DUMMYFUNCTION("""COMPUTED_VALUE"""),"Kavitha Iyer Rodrigues")</f>
        <v>Kavitha Iyer Rodrigues</v>
      </c>
      <c r="C1753" s="17" t="str">
        <f>IFERROR(__xludf.DUMMYFUNCTION("""COMPUTED_VALUE"""),"Founder | CEO")</f>
        <v>Founder | CEO</v>
      </c>
      <c r="D1753" s="27" t="str">
        <f>IFERROR(__xludf.DUMMYFUNCTION("""COMPUTED_VALUE"""),"https://www.linkedin.com/in/kavitha-iyer-rodrigues-8b8b29b/?originalSubdomain=in")</f>
        <v>https://www.linkedin.com/in/kavitha-iyer-rodrigues-8b8b29b/?originalSubdomain=in</v>
      </c>
      <c r="E1753" s="17"/>
      <c r="F1753" s="17" t="str">
        <f>IFERROR(__xludf.DUMMYFUNCTION("""COMPUTED_VALUE"""),"kavithaiyer.rodrigues@zumutor.com")</f>
        <v>kavithaiyer.rodrigues@zumutor.com</v>
      </c>
      <c r="G1753" s="17"/>
      <c r="H1753" s="17"/>
    </row>
    <row r="1754">
      <c r="A1754" s="17" t="str">
        <f>IFERROR(__xludf.DUMMYFUNCTION("""COMPUTED_VALUE"""),"Adiuvo Diagnostics Pvt. Ltd.")</f>
        <v>Adiuvo Diagnostics Pvt. Ltd.</v>
      </c>
      <c r="B1754" s="17" t="str">
        <f>IFERROR(__xludf.DUMMYFUNCTION("""COMPUTED_VALUE"""),"Geethanjali Radhakrishnan")</f>
        <v>Geethanjali Radhakrishnan</v>
      </c>
      <c r="C1754" s="17" t="str">
        <f>IFERROR(__xludf.DUMMYFUNCTION("""COMPUTED_VALUE"""),"Founder and MD")</f>
        <v>Founder and MD</v>
      </c>
      <c r="D1754" s="27" t="str">
        <f>IFERROR(__xludf.DUMMYFUNCTION("""COMPUTED_VALUE"""),"https://www.linkedin.com/in/geethanjali-radhakrishnan-47b26a35/?originalSubdomain=in")</f>
        <v>https://www.linkedin.com/in/geethanjali-radhakrishnan-47b26a35/?originalSubdomain=in</v>
      </c>
      <c r="E1754" s="17"/>
      <c r="F1754" s="17" t="str">
        <f>IFERROR(__xludf.DUMMYFUNCTION("""COMPUTED_VALUE"""),"geethanjali@adiuvodiagnostics.com")</f>
        <v>geethanjali@adiuvodiagnostics.com</v>
      </c>
      <c r="G1754" s="17" t="str">
        <f>IFERROR(__xludf.DUMMYFUNCTION("""COMPUTED_VALUE"""),"geethanjali@auxilliumhealth.ai")</f>
        <v>geethanjali@auxilliumhealth.ai</v>
      </c>
      <c r="H1754" s="17" t="str">
        <f>IFERROR(__xludf.DUMMYFUNCTION("""COMPUTED_VALUE"""),"bioe.geethanjali@gmail.com")</f>
        <v>bioe.geethanjali@gmail.com</v>
      </c>
    </row>
    <row r="1755">
      <c r="A1755" s="27" t="str">
        <f>IFERROR(__xludf.DUMMYFUNCTION("""COMPUTED_VALUE"""),"Babblebots.ai")</f>
        <v>Babblebots.ai</v>
      </c>
      <c r="B1755" s="17" t="str">
        <f>IFERROR(__xludf.DUMMYFUNCTION("""COMPUTED_VALUE"""),"Roli Gupta")</f>
        <v>Roli Gupta</v>
      </c>
      <c r="C1755" s="17" t="str">
        <f>IFERROR(__xludf.DUMMYFUNCTION("""COMPUTED_VALUE"""),"Founder")</f>
        <v>Founder</v>
      </c>
      <c r="D1755" s="27" t="str">
        <f>IFERROR(__xludf.DUMMYFUNCTION("""COMPUTED_VALUE"""),"https://www.linkedin.com/in/rolig/?originalSubdomain=in")</f>
        <v>https://www.linkedin.com/in/rolig/?originalSubdomain=in</v>
      </c>
      <c r="E1755" s="17"/>
      <c r="F1755" s="17" t="str">
        <f>IFERROR(__xludf.DUMMYFUNCTION("""COMPUTED_VALUE"""),"roli@babblebots.ai")</f>
        <v>roli@babblebots.ai</v>
      </c>
      <c r="G1755" s="17" t="str">
        <f>IFERROR(__xludf.DUMMYFUNCTION("""COMPUTED_VALUE"""),"roli.gupta@gmail.com")</f>
        <v>roli.gupta@gmail.com</v>
      </c>
      <c r="H1755" s="17"/>
    </row>
    <row r="1756">
      <c r="A1756" s="17" t="str">
        <f>IFERROR(__xludf.DUMMYFUNCTION("""COMPUTED_VALUE"""),"Shell Group of Companies India")</f>
        <v>Shell Group of Companies India</v>
      </c>
      <c r="B1756" s="17" t="str">
        <f>IFERROR(__xludf.DUMMYFUNCTION("""COMPUTED_VALUE"""),"Mansi Tripathy")</f>
        <v>Mansi Tripathy</v>
      </c>
      <c r="C1756" s="17" t="str">
        <f>IFERROR(__xludf.DUMMYFUNCTION("""COMPUTED_VALUE"""),"Chairman")</f>
        <v>Chairman</v>
      </c>
      <c r="D1756" s="27" t="str">
        <f>IFERROR(__xludf.DUMMYFUNCTION("""COMPUTED_VALUE"""),"https://www.linkedin.com/in/mansi-tripathy-37063b1/")</f>
        <v>https://www.linkedin.com/in/mansi-tripathy-37063b1/</v>
      </c>
      <c r="E1756" s="17"/>
      <c r="F1756" s="17" t="str">
        <f>IFERROR(__xludf.DUMMYFUNCTION("""COMPUTED_VALUE"""),"mansi.tripathy@shell.com")</f>
        <v>mansi.tripathy@shell.com</v>
      </c>
      <c r="G1756" s="17" t="str">
        <f>IFERROR(__xludf.DUMMYFUNCTION("""COMPUTED_VALUE"""),"mansi.tripathy@gmail.com")</f>
        <v>mansi.tripathy@gmail.com</v>
      </c>
      <c r="H1756" s="17"/>
    </row>
    <row r="1757">
      <c r="A1757" s="17" t="str">
        <f>IFERROR(__xludf.DUMMYFUNCTION("""COMPUTED_VALUE"""),"Multiples Alternate Asset Management")</f>
        <v>Multiples Alternate Asset Management</v>
      </c>
      <c r="B1757" s="17" t="str">
        <f>IFERROR(__xludf.DUMMYFUNCTION("""COMPUTED_VALUE"""),"Renuka Ramnath")</f>
        <v>Renuka Ramnath</v>
      </c>
      <c r="C1757" s="17" t="str">
        <f>IFERROR(__xludf.DUMMYFUNCTION("""COMPUTED_VALUE"""),"Founder, MD and CEO")</f>
        <v>Founder, MD and CEO</v>
      </c>
      <c r="D1757" s="27" t="str">
        <f>IFERROR(__xludf.DUMMYFUNCTION("""COMPUTED_VALUE"""),"https://www.linkedin.com/in/renukaramnath/?originalSubdomain=in")</f>
        <v>https://www.linkedin.com/in/renukaramnath/?originalSubdomain=in</v>
      </c>
      <c r="E1757" s="17"/>
      <c r="F1757" s="17" t="str">
        <f>IFERROR(__xludf.DUMMYFUNCTION("""COMPUTED_VALUE"""),"renuka.ramnath@multiplesequity.com")</f>
        <v>renuka.ramnath@multiplesequity.com</v>
      </c>
      <c r="G1757" s="17"/>
      <c r="H1757" s="17"/>
    </row>
    <row r="1758">
      <c r="A1758" s="17" t="str">
        <f>IFERROR(__xludf.DUMMYFUNCTION("""COMPUTED_VALUE"""),"Josh Talks")</f>
        <v>Josh Talks</v>
      </c>
      <c r="B1758" s="17" t="str">
        <f>IFERROR(__xludf.DUMMYFUNCTION("""COMPUTED_VALUE"""),"Supriya Paul")</f>
        <v>Supriya Paul</v>
      </c>
      <c r="C1758" s="17" t="str">
        <f>IFERROR(__xludf.DUMMYFUNCTION("""COMPUTED_VALUE"""),"Co-Founder")</f>
        <v>Co-Founder</v>
      </c>
      <c r="D1758" s="27" t="str">
        <f>IFERROR(__xludf.DUMMYFUNCTION("""COMPUTED_VALUE"""),"https://www.linkedin.com/in/supriyapaul/?originalSubdomain=in")</f>
        <v>https://www.linkedin.com/in/supriyapaul/?originalSubdomain=in</v>
      </c>
      <c r="E1758" s="17" t="str">
        <f>IFERROR(__xludf.DUMMYFUNCTION("""COMPUTED_VALUE"""),"919818213867")</f>
        <v>919818213867</v>
      </c>
      <c r="F1758" s="17" t="str">
        <f>IFERROR(__xludf.DUMMYFUNCTION("""COMPUTED_VALUE"""),"paulsupriya93@gmail.com")</f>
        <v>paulsupriya93@gmail.com</v>
      </c>
      <c r="G1758" s="17" t="str">
        <f>IFERROR(__xludf.DUMMYFUNCTION("""COMPUTED_VALUE"""),"supriya.paul@joshtalks.com")</f>
        <v>supriya.paul@joshtalks.com</v>
      </c>
      <c r="H1758" s="17"/>
    </row>
    <row r="1759">
      <c r="A1759" s="17" t="str">
        <f>IFERROR(__xludf.DUMMYFUNCTION("""COMPUTED_VALUE"""),"VLCC")</f>
        <v>VLCC</v>
      </c>
      <c r="B1759" s="17" t="str">
        <f>IFERROR(__xludf.DUMMYFUNCTION("""COMPUTED_VALUE"""),"Vandana Luthra")</f>
        <v>Vandana Luthra</v>
      </c>
      <c r="C1759" s="17" t="str">
        <f>IFERROR(__xludf.DUMMYFUNCTION("""COMPUTED_VALUE"""),"Founder")</f>
        <v>Founder</v>
      </c>
      <c r="D1759" s="27" t="str">
        <f>IFERROR(__xludf.DUMMYFUNCTION("""COMPUTED_VALUE"""),"https://www.linkedin.com/in/vandanaluthra/?originalSubdomain=in")</f>
        <v>https://www.linkedin.com/in/vandanaluthra/?originalSubdomain=in</v>
      </c>
      <c r="E1759" s="17"/>
      <c r="F1759" s="17" t="str">
        <f>IFERROR(__xludf.DUMMYFUNCTION("""COMPUTED_VALUE"""),"vandana.luthra@vlccwellness.com")</f>
        <v>vandana.luthra@vlccwellness.com</v>
      </c>
      <c r="G1759" s="17"/>
      <c r="H1759" s="17"/>
    </row>
    <row r="1760">
      <c r="A1760" s="17" t="str">
        <f>IFERROR(__xludf.DUMMYFUNCTION("""COMPUTED_VALUE"""),"GreenCell Mobility")</f>
        <v>GreenCell Mobility</v>
      </c>
      <c r="B1760" s="17" t="str">
        <f>IFERROR(__xludf.DUMMYFUNCTION("""COMPUTED_VALUE"""),"Devndra Chawla")</f>
        <v>Devndra Chawla</v>
      </c>
      <c r="C1760" s="17" t="str">
        <f>IFERROR(__xludf.DUMMYFUNCTION("""COMPUTED_VALUE"""),"MD &amp; CEO")</f>
        <v>MD &amp; CEO</v>
      </c>
      <c r="D1760" s="27" t="str">
        <f>IFERROR(__xludf.DUMMYFUNCTION("""COMPUTED_VALUE"""),"https://www.linkedin.com/in/devendrachawla/?originalSubdomain=in")</f>
        <v>https://www.linkedin.com/in/devendrachawla/?originalSubdomain=in</v>
      </c>
      <c r="E1760" s="17"/>
      <c r="F1760" s="17" t="str">
        <f>IFERROR(__xludf.DUMMYFUNCTION("""COMPUTED_VALUE"""),"dchawla@greencellmobility.com")</f>
        <v>dchawla@greencellmobility.com</v>
      </c>
      <c r="G1760" s="17" t="str">
        <f>IFERROR(__xludf.DUMMYFUNCTION("""COMPUTED_VALUE"""),"devendrachawla@rediffmail.com")</f>
        <v>devendrachawla@rediffmail.com</v>
      </c>
      <c r="H1760" s="17"/>
    </row>
    <row r="1761">
      <c r="A1761" s="17" t="str">
        <f>IFERROR(__xludf.DUMMYFUNCTION("""COMPUTED_VALUE"""),"Altigreen Propulsion Labs")</f>
        <v>Altigreen Propulsion Labs</v>
      </c>
      <c r="B1761" s="17" t="str">
        <f>IFERROR(__xludf.DUMMYFUNCTION("""COMPUTED_VALUE"""),"Dr. Amitabh Saran")</f>
        <v>Dr. Amitabh Saran</v>
      </c>
      <c r="C1761" s="17" t="str">
        <f>IFERROR(__xludf.DUMMYFUNCTION("""COMPUTED_VALUE"""),"Founder &amp; CEO")</f>
        <v>Founder &amp; CEO</v>
      </c>
      <c r="D1761" s="27" t="str">
        <f>IFERROR(__xludf.DUMMYFUNCTION("""COMPUTED_VALUE"""),"https://www.linkedin.com/in/saran/?originalSubdomain=in")</f>
        <v>https://www.linkedin.com/in/saran/?originalSubdomain=in</v>
      </c>
      <c r="E1761" s="17"/>
      <c r="F1761" s="17" t="str">
        <f>IFERROR(__xludf.DUMMYFUNCTION("""COMPUTED_VALUE"""),"amit_home2@yahoo.com")</f>
        <v>amit_home2@yahoo.com</v>
      </c>
      <c r="G1761" s="17" t="str">
        <f>IFERROR(__xludf.DUMMYFUNCTION("""COMPUTED_VALUE"""),"amitabh.saran@altigreen.com")</f>
        <v>amitabh.saran@altigreen.com</v>
      </c>
      <c r="H1761" s="17"/>
    </row>
    <row r="1762">
      <c r="A1762" s="17" t="str">
        <f>IFERROR(__xludf.DUMMYFUNCTION("""COMPUTED_VALUE"""),"Hero Electric")</f>
        <v>Hero Electric</v>
      </c>
      <c r="B1762" s="17" t="str">
        <f>IFERROR(__xludf.DUMMYFUNCTION("""COMPUTED_VALUE"""),"Sohinder Singh Gill")</f>
        <v>Sohinder Singh Gill</v>
      </c>
      <c r="C1762" s="17" t="str">
        <f>IFERROR(__xludf.DUMMYFUNCTION("""COMPUTED_VALUE"""),"CEO")</f>
        <v>CEO</v>
      </c>
      <c r="D1762" s="27" t="str">
        <f>IFERROR(__xludf.DUMMYFUNCTION("""COMPUTED_VALUE"""),"https://www.linkedin.com/in/sohindergill/?originalSubdomain=ca")</f>
        <v>https://www.linkedin.com/in/sohindergill/?originalSubdomain=ca</v>
      </c>
      <c r="E1762" s="17"/>
      <c r="F1762" s="17" t="str">
        <f>IFERROR(__xludf.DUMMYFUNCTION("""COMPUTED_VALUE"""),"sohinder@gmail.com")</f>
        <v>sohinder@gmail.com</v>
      </c>
      <c r="G1762" s="17"/>
      <c r="H1762" s="17"/>
    </row>
    <row r="1763">
      <c r="A1763" s="17" t="str">
        <f>IFERROR(__xludf.DUMMYFUNCTION("""COMPUTED_VALUE"""),"Eki Energy Services")</f>
        <v>Eki Energy Services</v>
      </c>
      <c r="B1763" s="17" t="str">
        <f>IFERROR(__xludf.DUMMYFUNCTION("""COMPUTED_VALUE"""),"Manish Dabkara")</f>
        <v>Manish Dabkara</v>
      </c>
      <c r="C1763" s="17" t="str">
        <f>IFERROR(__xludf.DUMMYFUNCTION("""COMPUTED_VALUE"""),"MD &amp; CEO")</f>
        <v>MD &amp; CEO</v>
      </c>
      <c r="D1763" s="27" t="str">
        <f>IFERROR(__xludf.DUMMYFUNCTION("""COMPUTED_VALUE"""),"https://www.linkedin.com/in/manishdabkara/")</f>
        <v>https://www.linkedin.com/in/manishdabkara/</v>
      </c>
      <c r="E1763" s="17"/>
      <c r="F1763" s="17" t="str">
        <f>IFERROR(__xludf.DUMMYFUNCTION("""COMPUTED_VALUE"""),"md@ypo.org")</f>
        <v>md@ypo.org</v>
      </c>
      <c r="G1763" s="17" t="str">
        <f>IFERROR(__xludf.DUMMYFUNCTION("""COMPUTED_VALUE"""),"manishd@iitk.ac.in")</f>
        <v>manishd@iitk.ac.in</v>
      </c>
      <c r="H1763" s="17"/>
    </row>
    <row r="1764">
      <c r="A1764" s="17" t="str">
        <f>IFERROR(__xludf.DUMMYFUNCTION("""COMPUTED_VALUE"""),"Simple Energy")</f>
        <v>Simple Energy</v>
      </c>
      <c r="B1764" s="17" t="str">
        <f>IFERROR(__xludf.DUMMYFUNCTION("""COMPUTED_VALUE"""),"Suhas Rajkumar")</f>
        <v>Suhas Rajkumar</v>
      </c>
      <c r="C1764" s="17" t="str">
        <f>IFERROR(__xludf.DUMMYFUNCTION("""COMPUTED_VALUE"""),"Founder and CEO")</f>
        <v>Founder and CEO</v>
      </c>
      <c r="D1764" s="27" t="str">
        <f>IFERROR(__xludf.DUMMYFUNCTION("""COMPUTED_VALUE"""),"https://www.linkedin.com/in/suhas-rajkumar-277824150/?originalSubdomain=in")</f>
        <v>https://www.linkedin.com/in/suhas-rajkumar-277824150/?originalSubdomain=in</v>
      </c>
      <c r="E1764" s="17"/>
      <c r="F1764" s="17" t="str">
        <f>IFERROR(__xludf.DUMMYFUNCTION("""COMPUTED_VALUE"""),"suhasrajkumar@simpleenergy.in")</f>
        <v>suhasrajkumar@simpleenergy.in</v>
      </c>
      <c r="G1764" s="17"/>
      <c r="H1764" s="17"/>
    </row>
    <row r="1765">
      <c r="A1765" s="17" t="str">
        <f>IFERROR(__xludf.DUMMYFUNCTION("""COMPUTED_VALUE"""),"Yulu")</f>
        <v>Yulu</v>
      </c>
      <c r="B1765" s="17" t="str">
        <f>IFERROR(__xludf.DUMMYFUNCTION("""COMPUTED_VALUE"""),"Amit Gupta")</f>
        <v>Amit Gupta</v>
      </c>
      <c r="C1765" s="17" t="str">
        <f>IFERROR(__xludf.DUMMYFUNCTION("""COMPUTED_VALUE"""),"Co-Founder &amp; CEO")</f>
        <v>Co-Founder &amp; CEO</v>
      </c>
      <c r="D1765" s="27" t="str">
        <f>IFERROR(__xludf.DUMMYFUNCTION("""COMPUTED_VALUE"""),"https://www.linkedin.com/in/amitgupta007/?originalSubdomain=in")</f>
        <v>https://www.linkedin.com/in/amitgupta007/?originalSubdomain=in</v>
      </c>
      <c r="E1765" s="17"/>
      <c r="F1765" s="17" t="str">
        <f>IFERROR(__xludf.DUMMYFUNCTION("""COMPUTED_VALUE"""),"amitgupta@yulu.bike")</f>
        <v>amitgupta@yulu.bike</v>
      </c>
      <c r="G1765" s="17" t="str">
        <f>IFERROR(__xludf.DUMMYFUNCTION("""COMPUTED_VALUE"""),"amitgupta@inmobi.com")</f>
        <v>amitgupta@inmobi.com</v>
      </c>
      <c r="H1765" s="17" t="str">
        <f>IFERROR(__xludf.DUMMYFUNCTION("""COMPUTED_VALUE"""),"amitgupta007@gmail.com")</f>
        <v>amitgupta007@gmail.com</v>
      </c>
    </row>
    <row r="1766">
      <c r="A1766" s="17" t="str">
        <f>IFERROR(__xludf.DUMMYFUNCTION("""COMPUTED_VALUE"""),"Bounce Infinity")</f>
        <v>Bounce Infinity</v>
      </c>
      <c r="B1766" s="17" t="str">
        <f>IFERROR(__xludf.DUMMYFUNCTION("""COMPUTED_VALUE"""),"Vivekananda Hallekere")</f>
        <v>Vivekananda Hallekere</v>
      </c>
      <c r="C1766" s="17" t="str">
        <f>IFERROR(__xludf.DUMMYFUNCTION("""COMPUTED_VALUE"""),"CEO &amp; Co-Founder")</f>
        <v>CEO &amp; Co-Founder</v>
      </c>
      <c r="D1766" s="27" t="str">
        <f>IFERROR(__xludf.DUMMYFUNCTION("""COMPUTED_VALUE"""),"https://www.linkedin.com/in/vivekananda-hallekere-0483bb19/?originalSubdomain=in")</f>
        <v>https://www.linkedin.com/in/vivekananda-hallekere-0483bb19/?originalSubdomain=in</v>
      </c>
      <c r="E1766" s="17"/>
      <c r="F1766" s="17" t="str">
        <f>IFERROR(__xludf.DUMMYFUNCTION("""COMPUTED_VALUE"""),"vivekananda@bounceshare.com")</f>
        <v>vivekananda@bounceshare.com</v>
      </c>
      <c r="G1766" s="17" t="str">
        <f>IFERROR(__xludf.DUMMYFUNCTION("""COMPUTED_VALUE"""),"vivek.hsn@gmail.com")</f>
        <v>vivek.hsn@gmail.com</v>
      </c>
      <c r="H1766" s="17"/>
    </row>
    <row r="1767">
      <c r="A1767" s="17" t="str">
        <f>IFERROR(__xludf.DUMMYFUNCTION("""COMPUTED_VALUE"""),"SUN Mobility")</f>
        <v>SUN Mobility</v>
      </c>
      <c r="B1767" s="17" t="str">
        <f>IFERROR(__xludf.DUMMYFUNCTION("""COMPUTED_VALUE"""),"Chetan Maini")</f>
        <v>Chetan Maini</v>
      </c>
      <c r="C1767" s="17" t="str">
        <f>IFERROR(__xludf.DUMMYFUNCTION("""COMPUTED_VALUE"""),"Co-Founder and Chairman")</f>
        <v>Co-Founder and Chairman</v>
      </c>
      <c r="D1767" s="27" t="str">
        <f>IFERROR(__xludf.DUMMYFUNCTION("""COMPUTED_VALUE"""),"https://www.linkedin.com/in/mainichetan/?originalSubdomain=in")</f>
        <v>https://www.linkedin.com/in/mainichetan/?originalSubdomain=in</v>
      </c>
      <c r="E1767" s="17"/>
      <c r="F1767" s="17" t="str">
        <f>IFERROR(__xludf.DUMMYFUNCTION("""COMPUTED_VALUE"""),"chetan@sunmobility.com")</f>
        <v>chetan@sunmobility.com</v>
      </c>
      <c r="G1767" s="17" t="str">
        <f>IFERROR(__xludf.DUMMYFUNCTION("""COMPUTED_VALUE"""),"chetan@sunmobility.co.in")</f>
        <v>chetan@sunmobility.co.in</v>
      </c>
      <c r="H1767" s="17"/>
    </row>
    <row r="1768">
      <c r="A1768" s="17" t="str">
        <f>IFERROR(__xludf.DUMMYFUNCTION("""COMPUTED_VALUE"""),"Exponent Energy")</f>
        <v>Exponent Energy</v>
      </c>
      <c r="B1768" s="17" t="str">
        <f>IFERROR(__xludf.DUMMYFUNCTION("""COMPUTED_VALUE"""),"Arun Vinayak")</f>
        <v>Arun Vinayak</v>
      </c>
      <c r="C1768" s="17" t="str">
        <f>IFERROR(__xludf.DUMMYFUNCTION("""COMPUTED_VALUE"""),"Co-Founder")</f>
        <v>Co-Founder</v>
      </c>
      <c r="D1768" s="27" t="str">
        <f>IFERROR(__xludf.DUMMYFUNCTION("""COMPUTED_VALUE"""),"https://www.linkedin.com/in/arun-vinayak-71a5b973/?originalSubdomain=in")</f>
        <v>https://www.linkedin.com/in/arun-vinayak-71a5b973/?originalSubdomain=in</v>
      </c>
      <c r="E1768" s="17"/>
      <c r="F1768" s="17" t="str">
        <f>IFERROR(__xludf.DUMMYFUNCTION("""COMPUTED_VALUE"""),"arun@exponent.energy")</f>
        <v>arun@exponent.energy</v>
      </c>
      <c r="G1768" s="17" t="str">
        <f>IFERROR(__xludf.DUMMYFUNCTION("""COMPUTED_VALUE"""),"vinayak.arun@gmail.com")</f>
        <v>vinayak.arun@gmail.com</v>
      </c>
      <c r="H1768" s="17"/>
    </row>
    <row r="1769">
      <c r="A1769" s="17" t="str">
        <f>IFERROR(__xludf.DUMMYFUNCTION("""COMPUTED_VALUE"""),"Battery Smart")</f>
        <v>Battery Smart</v>
      </c>
      <c r="B1769" s="17" t="str">
        <f>IFERROR(__xludf.DUMMYFUNCTION("""COMPUTED_VALUE"""),"Pulkit Khurana")</f>
        <v>Pulkit Khurana</v>
      </c>
      <c r="C1769" s="17" t="str">
        <f>IFERROR(__xludf.DUMMYFUNCTION("""COMPUTED_VALUE"""),"Co-Founder")</f>
        <v>Co-Founder</v>
      </c>
      <c r="D1769" s="27" t="str">
        <f>IFERROR(__xludf.DUMMYFUNCTION("""COMPUTED_VALUE"""),"https://www.linkedin.com/in/pulkitkhurana/?originalSubdomain=in")</f>
        <v>https://www.linkedin.com/in/pulkitkhurana/?originalSubdomain=in</v>
      </c>
      <c r="E1769" s="17"/>
      <c r="F1769" s="17"/>
      <c r="G1769" s="17"/>
      <c r="H1769" s="17"/>
    </row>
    <row r="1770">
      <c r="A1770" s="17" t="str">
        <f>IFERROR(__xludf.DUMMYFUNCTION("""COMPUTED_VALUE"""),"Matter ")</f>
        <v>Matter </v>
      </c>
      <c r="B1770" s="17" t="str">
        <f>IFERROR(__xludf.DUMMYFUNCTION("""COMPUTED_VALUE"""),"Mohal Lalbhai")</f>
        <v>Mohal Lalbhai</v>
      </c>
      <c r="C1770" s="17" t="str">
        <f>IFERROR(__xludf.DUMMYFUNCTION("""COMPUTED_VALUE"""),"Founder")</f>
        <v>Founder</v>
      </c>
      <c r="D1770" s="27" t="str">
        <f>IFERROR(__xludf.DUMMYFUNCTION("""COMPUTED_VALUE"""),"https://www.linkedin.com/in/mrlalbhai/?originalSubdomain=in")</f>
        <v>https://www.linkedin.com/in/mrlalbhai/?originalSubdomain=in</v>
      </c>
      <c r="E1770" s="17"/>
      <c r="F1770" s="17" t="str">
        <f>IFERROR(__xludf.DUMMYFUNCTION("""COMPUTED_VALUE"""),"mohal@matter.in")</f>
        <v>mohal@matter.in</v>
      </c>
      <c r="G1770" s="17" t="str">
        <f>IFERROR(__xludf.DUMMYFUNCTION("""COMPUTED_VALUE"""),"mrlalbhai@gmail.com")</f>
        <v>mrlalbhai@gmail.com</v>
      </c>
      <c r="H1770" s="17"/>
    </row>
    <row r="1771">
      <c r="A1771" s="17" t="str">
        <f>IFERROR(__xludf.DUMMYFUNCTION("""COMPUTED_VALUE"""),"VidyutTech")</f>
        <v>VidyutTech</v>
      </c>
      <c r="B1771" s="17" t="str">
        <f>IFERROR(__xludf.DUMMYFUNCTION("""COMPUTED_VALUE"""),"Xitij Kothi ")</f>
        <v>Xitij Kothi </v>
      </c>
      <c r="C1771" s="17" t="str">
        <f>IFERROR(__xludf.DUMMYFUNCTION("""COMPUTED_VALUE"""),"Co-Founder")</f>
        <v>Co-Founder</v>
      </c>
      <c r="D1771" s="27" t="str">
        <f>IFERROR(__xludf.DUMMYFUNCTION("""COMPUTED_VALUE"""),"https://www.linkedin.com/in/xitijkothi/?originalSubdomain=in")</f>
        <v>https://www.linkedin.com/in/xitijkothi/?originalSubdomain=in</v>
      </c>
      <c r="E1771" s="17" t="str">
        <f>IFERROR(__xludf.DUMMYFUNCTION("""COMPUTED_VALUE"""),"918861011316")</f>
        <v>918861011316</v>
      </c>
      <c r="F1771" s="17" t="str">
        <f>IFERROR(__xludf.DUMMYFUNCTION("""COMPUTED_VALUE"""),"xitij@vidyuttech.com")</f>
        <v>xitij@vidyuttech.com</v>
      </c>
      <c r="G1771" s="17" t="str">
        <f>IFERROR(__xludf.DUMMYFUNCTION("""COMPUTED_VALUE"""),"xitijkothi1988@gmail.com")</f>
        <v>xitijkothi1988@gmail.com</v>
      </c>
      <c r="H1771" s="17"/>
    </row>
    <row r="1772">
      <c r="A1772" s="17" t="str">
        <f>IFERROR(__xludf.DUMMYFUNCTION("""COMPUTED_VALUE"""),"ReNew")</f>
        <v>ReNew</v>
      </c>
      <c r="B1772" s="17" t="str">
        <f>IFERROR(__xludf.DUMMYFUNCTION("""COMPUTED_VALUE"""),"Sumant Sinha")</f>
        <v>Sumant Sinha</v>
      </c>
      <c r="C1772" s="17" t="str">
        <f>IFERROR(__xludf.DUMMYFUNCTION("""COMPUTED_VALUE"""),"Founder, Chairman &amp; CEO")</f>
        <v>Founder, Chairman &amp; CEO</v>
      </c>
      <c r="D1772" s="27" t="str">
        <f>IFERROR(__xludf.DUMMYFUNCTION("""COMPUTED_VALUE"""),"https://www.linkedin.com/in/sumant-sinha/?originalSubdomain=in")</f>
        <v>https://www.linkedin.com/in/sumant-sinha/?originalSubdomain=in</v>
      </c>
      <c r="E1772" s="17" t="str">
        <f>IFERROR(__xludf.DUMMYFUNCTION("""COMPUTED_VALUE"""),"919810405828")</f>
        <v>919810405828</v>
      </c>
      <c r="F1772" s="17" t="str">
        <f>IFERROR(__xludf.DUMMYFUNCTION("""COMPUTED_VALUE"""),"sumantsinha@gmail.com")</f>
        <v>sumantsinha@gmail.com</v>
      </c>
      <c r="G1772" s="17" t="str">
        <f>IFERROR(__xludf.DUMMYFUNCTION("""COMPUTED_VALUE"""),"sumantsinha@icloud.com")</f>
        <v>sumantsinha@icloud.com</v>
      </c>
      <c r="H1772" s="17" t="str">
        <f>IFERROR(__xludf.DUMMYFUNCTION("""COMPUTED_VALUE"""),"sumant@renewpower.in")</f>
        <v>sumant@renewpower.in</v>
      </c>
    </row>
    <row r="1773">
      <c r="A1773" s="17" t="str">
        <f>IFERROR(__xludf.DUMMYFUNCTION("""COMPUTED_VALUE"""),"Tata Power Renewable Energy LTD")</f>
        <v>Tata Power Renewable Energy LTD</v>
      </c>
      <c r="B1773" s="17" t="str">
        <f>IFERROR(__xludf.DUMMYFUNCTION("""COMPUTED_VALUE"""),"Deepesh Nanda")</f>
        <v>Deepesh Nanda</v>
      </c>
      <c r="C1773" s="17" t="str">
        <f>IFERROR(__xludf.DUMMYFUNCTION("""COMPUTED_VALUE"""),"MD &amp; CEO")</f>
        <v>MD &amp; CEO</v>
      </c>
      <c r="D1773" s="27" t="str">
        <f>IFERROR(__xludf.DUMMYFUNCTION("""COMPUTED_VALUE"""),"https://www.linkedin.com/in/kdeepeshnanda/")</f>
        <v>https://www.linkedin.com/in/kdeepeshnanda/</v>
      </c>
      <c r="E1773" s="17" t="str">
        <f>IFERROR(__xludf.DUMMYFUNCTION("""COMPUTED_VALUE"""),"919871891232")</f>
        <v>919871891232</v>
      </c>
      <c r="F1773" s="17" t="str">
        <f>IFERROR(__xludf.DUMMYFUNCTION("""COMPUTED_VALUE"""),"dkn1973@yahoo.com")</f>
        <v>dkn1973@yahoo.com</v>
      </c>
      <c r="G1773" s="17"/>
      <c r="H1773" s="17"/>
    </row>
    <row r="1774">
      <c r="A1774" s="17" t="str">
        <f>IFERROR(__xludf.DUMMYFUNCTION("""COMPUTED_VALUE"""),"Thermax Limited")</f>
        <v>Thermax Limited</v>
      </c>
      <c r="B1774" s="17" t="str">
        <f>IFERROR(__xludf.DUMMYFUNCTION("""COMPUTED_VALUE"""),"Ashish Bhandari")</f>
        <v>Ashish Bhandari</v>
      </c>
      <c r="C1774" s="17" t="str">
        <f>IFERROR(__xludf.DUMMYFUNCTION("""COMPUTED_VALUE"""),"MD &amp; CEO")</f>
        <v>MD &amp; CEO</v>
      </c>
      <c r="D1774" s="27" t="str">
        <f>IFERROR(__xludf.DUMMYFUNCTION("""COMPUTED_VALUE"""),"https://www.linkedin.com/in/ashish-bhandari-212a74/?originalSubdomain=in")</f>
        <v>https://www.linkedin.com/in/ashish-bhandari-212a74/?originalSubdomain=in</v>
      </c>
      <c r="E1774" s="17" t="str">
        <f>IFERROR(__xludf.DUMMYFUNCTION("""COMPUTED_VALUE"""),"919910661176")</f>
        <v>919910661176</v>
      </c>
      <c r="F1774" s="17" t="str">
        <f>IFERROR(__xludf.DUMMYFUNCTION("""COMPUTED_VALUE"""),"ashish_bhandari@yahoo.com")</f>
        <v>ashish_bhandari@yahoo.com</v>
      </c>
      <c r="G1774" s="17" t="str">
        <f>IFERROR(__xludf.DUMMYFUNCTION("""COMPUTED_VALUE"""),"ashish.bhandari@thermaxglobal.com")</f>
        <v>ashish.bhandari@thermaxglobal.com</v>
      </c>
      <c r="H1774" s="17"/>
    </row>
    <row r="1775">
      <c r="A1775" s="17" t="str">
        <f>IFERROR(__xludf.DUMMYFUNCTION("""COMPUTED_VALUE"""),"Oorjan Cleantech")</f>
        <v>Oorjan Cleantech</v>
      </c>
      <c r="B1775" s="17" t="str">
        <f>IFERROR(__xludf.DUMMYFUNCTION("""COMPUTED_VALUE"""),"Gautam Das")</f>
        <v>Gautam Das</v>
      </c>
      <c r="C1775" s="17" t="str">
        <f>IFERROR(__xludf.DUMMYFUNCTION("""COMPUTED_VALUE"""),"Founder and CEO")</f>
        <v>Founder and CEO</v>
      </c>
      <c r="D1775" s="27" t="str">
        <f>IFERROR(__xludf.DUMMYFUNCTION("""COMPUTED_VALUE"""),"https://www.linkedin.com/in/gautamoorjan/?originalSubdomain=in")</f>
        <v>https://www.linkedin.com/in/gautamoorjan/?originalSubdomain=in</v>
      </c>
      <c r="E1775" s="17" t="str">
        <f>IFERROR(__xludf.DUMMYFUNCTION("""COMPUTED_VALUE"""),"919820963106")</f>
        <v>919820963106</v>
      </c>
      <c r="F1775" s="17" t="str">
        <f>IFERROR(__xludf.DUMMYFUNCTION("""COMPUTED_VALUE"""),"gautam@oorjan.com")</f>
        <v>gautam@oorjan.com</v>
      </c>
      <c r="G1775" s="17"/>
      <c r="H1775" s="17"/>
    </row>
    <row r="1776">
      <c r="A1776" s="17" t="str">
        <f>IFERROR(__xludf.DUMMYFUNCTION("""COMPUTED_VALUE"""),"Orb Energy")</f>
        <v>Orb Energy</v>
      </c>
      <c r="B1776" s="17" t="str">
        <f>IFERROR(__xludf.DUMMYFUNCTION("""COMPUTED_VALUE"""),"Damian Miller")</f>
        <v>Damian Miller</v>
      </c>
      <c r="C1776" s="17" t="str">
        <f>IFERROR(__xludf.DUMMYFUNCTION("""COMPUTED_VALUE"""),"CEO")</f>
        <v>CEO</v>
      </c>
      <c r="D1776" s="27" t="str">
        <f>IFERROR(__xludf.DUMMYFUNCTION("""COMPUTED_VALUE"""),"https://www.linkedin.com/in/damian-miller-72845794/?originalSubdomain=in")</f>
        <v>https://www.linkedin.com/in/damian-miller-72845794/?originalSubdomain=in</v>
      </c>
      <c r="E1776" s="17"/>
      <c r="F1776" s="17" t="str">
        <f>IFERROR(__xludf.DUMMYFUNCTION("""COMPUTED_VALUE"""),"damian.miller@orbenergy.com")</f>
        <v>damian.miller@orbenergy.com</v>
      </c>
      <c r="G1776" s="17"/>
      <c r="H1776" s="17"/>
    </row>
    <row r="1777">
      <c r="A1777" s="17" t="str">
        <f>IFERROR(__xludf.DUMMYFUNCTION("""COMPUTED_VALUE"""),"Ecozen")</f>
        <v>Ecozen</v>
      </c>
      <c r="B1777" s="17" t="str">
        <f>IFERROR(__xludf.DUMMYFUNCTION("""COMPUTED_VALUE"""),"Devendra Gupta ")</f>
        <v>Devendra Gupta </v>
      </c>
      <c r="C1777" s="17" t="str">
        <f>IFERROR(__xludf.DUMMYFUNCTION("""COMPUTED_VALUE"""),"Co-Founder &amp; CEO")</f>
        <v>Co-Founder &amp; CEO</v>
      </c>
      <c r="D1777" s="27" t="str">
        <f>IFERROR(__xludf.DUMMYFUNCTION("""COMPUTED_VALUE"""),"https://www.linkedin.com/in/devendragupta001/?originalSubdomain=in")</f>
        <v>https://www.linkedin.com/in/devendragupta001/?originalSubdomain=in</v>
      </c>
      <c r="E1777" s="17" t="str">
        <f>IFERROR(__xludf.DUMMYFUNCTION("""COMPUTED_VALUE"""),"919970158106")</f>
        <v>919970158106</v>
      </c>
      <c r="F1777" s="17" t="str">
        <f>IFERROR(__xludf.DUMMYFUNCTION("""COMPUTED_VALUE"""),"devendragupta@ecozensolutions.com")</f>
        <v>devendragupta@ecozensolutions.com</v>
      </c>
      <c r="G1777" s="17" t="str">
        <f>IFERROR(__xludf.DUMMYFUNCTION("""COMPUTED_VALUE"""),"devendragupta001@gmail.com")</f>
        <v>devendragupta001@gmail.com</v>
      </c>
      <c r="H1777" s="17"/>
    </row>
    <row r="1778">
      <c r="A1778" s="17" t="str">
        <f>IFERROR(__xludf.DUMMYFUNCTION("""COMPUTED_VALUE"""),"Solinas Integrity ")</f>
        <v>Solinas Integrity </v>
      </c>
      <c r="B1778" s="17" t="str">
        <f>IFERROR(__xludf.DUMMYFUNCTION("""COMPUTED_VALUE"""),"Divanshu Kumar")</f>
        <v>Divanshu Kumar</v>
      </c>
      <c r="C1778" s="17" t="str">
        <f>IFERROR(__xludf.DUMMYFUNCTION("""COMPUTED_VALUE"""),"Co-Founder &amp; CEO")</f>
        <v>Co-Founder &amp; CEO</v>
      </c>
      <c r="D1778" s="27" t="str">
        <f>IFERROR(__xludf.DUMMYFUNCTION("""COMPUTED_VALUE"""),"https://www.linkedin.com/in/divinvolve/?originalSubdomain=in")</f>
        <v>https://www.linkedin.com/in/divinvolve/?originalSubdomain=in</v>
      </c>
      <c r="E1778" s="17"/>
      <c r="F1778" s="17" t="str">
        <f>IFERROR(__xludf.DUMMYFUNCTION("""COMPUTED_VALUE"""),"iamdiv97@gmail.com")</f>
        <v>iamdiv97@gmail.com</v>
      </c>
      <c r="G1778" s="17" t="str">
        <f>IFERROR(__xludf.DUMMYFUNCTION("""COMPUTED_VALUE"""),"divanshu@involveedu.com")</f>
        <v>divanshu@involveedu.com</v>
      </c>
      <c r="H1778" s="17"/>
    </row>
    <row r="1779">
      <c r="A1779" s="17" t="str">
        <f>IFERROR(__xludf.DUMMYFUNCTION("""COMPUTED_VALUE"""),"GPS Renewables")</f>
        <v>GPS Renewables</v>
      </c>
      <c r="B1779" s="17" t="str">
        <f>IFERROR(__xludf.DUMMYFUNCTION("""COMPUTED_VALUE"""),"Mainak Chakraborty")</f>
        <v>Mainak Chakraborty</v>
      </c>
      <c r="C1779" s="17" t="str">
        <f>IFERROR(__xludf.DUMMYFUNCTION("""COMPUTED_VALUE"""),"Co-Founder &amp; CEO")</f>
        <v>Co-Founder &amp; CEO</v>
      </c>
      <c r="D1779" s="27" t="str">
        <f>IFERROR(__xludf.DUMMYFUNCTION("""COMPUTED_VALUE"""),"https://www.linkedin.com/in/mainakchakraborty/?originalSubdomain=in")</f>
        <v>https://www.linkedin.com/in/mainakchakraborty/?originalSubdomain=in</v>
      </c>
      <c r="E1779" s="17"/>
      <c r="F1779" s="17" t="str">
        <f>IFERROR(__xludf.DUMMYFUNCTION("""COMPUTED_VALUE"""),"mainak.chakraborty@gmail.com")</f>
        <v>mainak.chakraborty@gmail.com</v>
      </c>
      <c r="G1779" s="17"/>
      <c r="H1779" s="17"/>
    </row>
    <row r="1780">
      <c r="A1780" s="27" t="str">
        <f>IFERROR(__xludf.DUMMYFUNCTION("""COMPUTED_VALUE"""),"Phool.Co")</f>
        <v>Phool.Co</v>
      </c>
      <c r="B1780" s="17" t="str">
        <f>IFERROR(__xludf.DUMMYFUNCTION("""COMPUTED_VALUE"""),"Ankit Agarwal (different)")</f>
        <v>Ankit Agarwal (different)</v>
      </c>
      <c r="C1780" s="17" t="str">
        <f>IFERROR(__xludf.DUMMYFUNCTION("""COMPUTED_VALUE"""),"Founder")</f>
        <v>Founder</v>
      </c>
      <c r="D1780" s="27" t="str">
        <f>IFERROR(__xludf.DUMMYFUNCTION("""COMPUTED_VALUE"""),"https://www.linkedin.com/in/ankit-agarwal-phool/?originalSubdomain=in")</f>
        <v>https://www.linkedin.com/in/ankit-agarwal-phool/?originalSubdomain=in</v>
      </c>
      <c r="E1780" s="17"/>
      <c r="F1780" s="17" t="str">
        <f>IFERROR(__xludf.DUMMYFUNCTION("""COMPUTED_VALUE"""),"ankit@phool.co")</f>
        <v>ankit@phool.co</v>
      </c>
      <c r="G1780" s="17" t="str">
        <f>IFERROR(__xludf.DUMMYFUNCTION("""COMPUTED_VALUE"""),"aa@acumen.org")</f>
        <v>aa@acumen.org</v>
      </c>
      <c r="H1780" s="17" t="str">
        <f>IFERROR(__xludf.DUMMYFUNCTION("""COMPUTED_VALUE"""),"sagi_linkin16@yahoo.com")</f>
        <v>sagi_linkin16@yahoo.com</v>
      </c>
    </row>
    <row r="1781">
      <c r="A1781" s="17" t="str">
        <f>IFERROR(__xludf.DUMMYFUNCTION("""COMPUTED_VALUE"""),"ThePrint")</f>
        <v>ThePrint</v>
      </c>
      <c r="B1781" s="17" t="str">
        <f>IFERROR(__xludf.DUMMYFUNCTION("""COMPUTED_VALUE"""),"Shekhar Gupta")</f>
        <v>Shekhar Gupta</v>
      </c>
      <c r="C1781" s="17" t="str">
        <f>IFERROR(__xludf.DUMMYFUNCTION("""COMPUTED_VALUE"""),"Founder")</f>
        <v>Founder</v>
      </c>
      <c r="D1781" s="27" t="str">
        <f>IFERROR(__xludf.DUMMYFUNCTION("""COMPUTED_VALUE"""),"https://www.linkedin.com/in/shekharguptaofficial/")</f>
        <v>https://www.linkedin.com/in/shekharguptaofficial/</v>
      </c>
      <c r="E1781" s="17"/>
      <c r="F1781" s="17" t="str">
        <f>IFERROR(__xludf.DUMMYFUNCTION("""COMPUTED_VALUE"""),"shekhargupta@theprint.in")</f>
        <v>shekhargupta@theprint.in</v>
      </c>
      <c r="G1781" s="17" t="str">
        <f>IFERROR(__xludf.DUMMYFUNCTION("""COMPUTED_VALUE"""),"sg@newindianexpress.com")</f>
        <v>sg@newindianexpress.com</v>
      </c>
      <c r="H1781" s="17"/>
    </row>
    <row r="1782">
      <c r="A1782" s="17" t="str">
        <f>IFERROR(__xludf.DUMMYFUNCTION("""COMPUTED_VALUE"""),"Drishti Group")</f>
        <v>Drishti Group</v>
      </c>
      <c r="B1782" s="17" t="str">
        <f>IFERROR(__xludf.DUMMYFUNCTION("""COMPUTED_VALUE"""),"Vivek Tiwari")</f>
        <v>Vivek Tiwari</v>
      </c>
      <c r="C1782" s="17" t="str">
        <f>IFERROR(__xludf.DUMMYFUNCTION("""COMPUTED_VALUE"""),"Deputy CEO")</f>
        <v>Deputy CEO</v>
      </c>
      <c r="D1782" s="27" t="str">
        <f>IFERROR(__xludf.DUMMYFUNCTION("""COMPUTED_VALUE"""),"https://www.linkedin.com/in/vivek-tiwari-635103230/?originalSubdomain=in")</f>
        <v>https://www.linkedin.com/in/vivek-tiwari-635103230/?originalSubdomain=in</v>
      </c>
      <c r="E1782" s="17"/>
      <c r="F1782" s="17" t="str">
        <f>IFERROR(__xludf.DUMMYFUNCTION("""COMPUTED_VALUE"""),"vtgreat84@gmail.com")</f>
        <v>vtgreat84@gmail.com</v>
      </c>
      <c r="G1782" s="17"/>
      <c r="H1782" s="17"/>
    </row>
    <row r="1783">
      <c r="A1783" s="17" t="str">
        <f>IFERROR(__xludf.DUMMYFUNCTION("""COMPUTED_VALUE"""),"Drishti IAS")</f>
        <v>Drishti IAS</v>
      </c>
      <c r="B1783" s="17" t="str">
        <f>IFERROR(__xludf.DUMMYFUNCTION("""COMPUTED_VALUE"""),"Ajay Karakoti")</f>
        <v>Ajay Karakoti</v>
      </c>
      <c r="C1783" s="17" t="str">
        <f>IFERROR(__xludf.DUMMYFUNCTION("""COMPUTED_VALUE"""),"Chief Financial Officer &amp; Chief Operations Officer")</f>
        <v>Chief Financial Officer &amp; Chief Operations Officer</v>
      </c>
      <c r="D1783" s="27" t="str">
        <f>IFERROR(__xludf.DUMMYFUNCTION("""COMPUTED_VALUE"""),"https://www.linkedin.com/in/ajay-karakoti-3b9612159/?originalSubdomain=in")</f>
        <v>https://www.linkedin.com/in/ajay-karakoti-3b9612159/?originalSubdomain=in</v>
      </c>
      <c r="E1783" s="17"/>
      <c r="F1783" s="17" t="str">
        <f>IFERROR(__xludf.DUMMYFUNCTION("""COMPUTED_VALUE"""),"ajay@groupdrishti.com")</f>
        <v>ajay@groupdrishti.com</v>
      </c>
      <c r="G1783" s="17"/>
      <c r="H1783" s="17"/>
    </row>
    <row r="1784">
      <c r="A1784" s="17" t="str">
        <f>IFERROR(__xludf.DUMMYFUNCTION("""COMPUTED_VALUE"""),"Apna College")</f>
        <v>Apna College</v>
      </c>
      <c r="B1784" s="17" t="str">
        <f>IFERROR(__xludf.DUMMYFUNCTION("""COMPUTED_VALUE"""),"AMAN DHATTARWAL")</f>
        <v>AMAN DHATTARWAL</v>
      </c>
      <c r="C1784" s="17" t="str">
        <f>IFERROR(__xludf.DUMMYFUNCTION("""COMPUTED_VALUE"""),"Co-Founder")</f>
        <v>Co-Founder</v>
      </c>
      <c r="D1784" s="27" t="str">
        <f>IFERROR(__xludf.DUMMYFUNCTION("""COMPUTED_VALUE"""),"https://www.linkedin.com/in/dhattarwalaman/")</f>
        <v>https://www.linkedin.com/in/dhattarwalaman/</v>
      </c>
      <c r="E1784" s="17" t="str">
        <f>IFERROR(__xludf.DUMMYFUNCTION("""COMPUTED_VALUE"""),"8800405408, +918447266457")</f>
        <v>8800405408, +918447266457</v>
      </c>
      <c r="F1784" s="17" t="str">
        <f>IFERROR(__xludf.DUMMYFUNCTION("""COMPUTED_VALUE"""),"dhattarwalaman97@gmail.com")</f>
        <v>dhattarwalaman97@gmail.com</v>
      </c>
      <c r="G1784" s="17"/>
      <c r="H1784" s="17"/>
    </row>
    <row r="1785">
      <c r="A1785" s="17" t="str">
        <f>IFERROR(__xludf.DUMMYFUNCTION("""COMPUTED_VALUE"""),"Matter Energy")</f>
        <v>Matter Energy</v>
      </c>
      <c r="B1785" s="17" t="str">
        <f>IFERROR(__xludf.DUMMYFUNCTION("""COMPUTED_VALUE"""),"Ashwin Patil")</f>
        <v>Ashwin Patil</v>
      </c>
      <c r="C1785" s="17" t="str">
        <f>IFERROR(__xludf.DUMMYFUNCTION("""COMPUTED_VALUE"""),"Founder &amp; CEO")</f>
        <v>Founder &amp; CEO</v>
      </c>
      <c r="D1785" s="17"/>
      <c r="E1785" s="17"/>
      <c r="F1785" s="17" t="str">
        <f>IFERROR(__xludf.DUMMYFUNCTION("""COMPUTED_VALUE"""),"mohal@matter.in")</f>
        <v>mohal@matter.in</v>
      </c>
      <c r="G1785" s="17" t="str">
        <f>IFERROR(__xludf.DUMMYFUNCTION("""COMPUTED_VALUE"""),"mrlalbhai@gmail.com")</f>
        <v>mrlalbhai@gmail.com</v>
      </c>
      <c r="H1785" s="17"/>
    </row>
    <row r="1786">
      <c r="A1786" s="17" t="str">
        <f>IFERROR(__xludf.DUMMYFUNCTION("""COMPUTED_VALUE"""),"Log9 Materials")</f>
        <v>Log9 Materials</v>
      </c>
      <c r="B1786" s="17" t="str">
        <f>IFERROR(__xludf.DUMMYFUNCTION("""COMPUTED_VALUE"""),"Akshay Singhal")</f>
        <v>Akshay Singhal</v>
      </c>
      <c r="C1786" s="17" t="str">
        <f>IFERROR(__xludf.DUMMYFUNCTION("""COMPUTED_VALUE"""),"Founder &amp; CEO")</f>
        <v>Founder &amp; CEO</v>
      </c>
      <c r="D1786" s="27" t="str">
        <f>IFERROR(__xludf.DUMMYFUNCTION("""COMPUTED_VALUE"""),"https://www.linkedin.com/in/peterbordes/")</f>
        <v>https://www.linkedin.com/in/peterbordes/</v>
      </c>
      <c r="E1786" s="17"/>
      <c r="F1786" s="17" t="str">
        <f>IFERROR(__xludf.DUMMYFUNCTION("""COMPUTED_VALUE"""),"peter@aperiam.vc")</f>
        <v>peter@aperiam.vc</v>
      </c>
      <c r="G1786" s="17" t="str">
        <f>IFERROR(__xludf.DUMMYFUNCTION("""COMPUTED_VALUE"""),"peter.bordes@gmail.com")</f>
        <v>peter.bordes@gmail.com</v>
      </c>
      <c r="H1786" s="17"/>
    </row>
    <row r="1787">
      <c r="A1787" s="17" t="str">
        <f>IFERROR(__xludf.DUMMYFUNCTION("""COMPUTED_VALUE"""),"Thermax")</f>
        <v>Thermax</v>
      </c>
      <c r="B1787" s="17" t="str">
        <f>IFERROR(__xludf.DUMMYFUNCTION("""COMPUTED_VALUE"""),"Meher Pudumjee")</f>
        <v>Meher Pudumjee</v>
      </c>
      <c r="C1787" s="17" t="str">
        <f>IFERROR(__xludf.DUMMYFUNCTION("""COMPUTED_VALUE"""),"Chairperson")</f>
        <v>Chairperson</v>
      </c>
      <c r="D1787" s="17"/>
      <c r="E1787" s="17"/>
      <c r="F1787" s="17"/>
      <c r="G1787" s="17"/>
      <c r="H1787" s="17"/>
    </row>
    <row r="1788">
      <c r="A1788" s="17" t="str">
        <f>IFERROR(__xludf.DUMMYFUNCTION("""COMPUTED_VALUE"""),"Suzlon Energy")</f>
        <v>Suzlon Energy</v>
      </c>
      <c r="B1788" s="17" t="str">
        <f>IFERROR(__xludf.DUMMYFUNCTION("""COMPUTED_VALUE"""),"Tulsi Tanti")</f>
        <v>Tulsi Tanti</v>
      </c>
      <c r="C1788" s="17" t="str">
        <f>IFERROR(__xludf.DUMMYFUNCTION("""COMPUTED_VALUE"""),"Founder")</f>
        <v>Founder</v>
      </c>
      <c r="D1788" s="17"/>
      <c r="E1788" s="17"/>
      <c r="F1788" s="17"/>
      <c r="G1788" s="17"/>
      <c r="H1788" s="17"/>
    </row>
    <row r="1789">
      <c r="A1789" s="17" t="str">
        <f>IFERROR(__xludf.DUMMYFUNCTION("""COMPUTED_VALUE"""),"Luminous Power Technologies")</f>
        <v>Luminous Power Technologies</v>
      </c>
      <c r="B1789" s="17" t="str">
        <f>IFERROR(__xludf.DUMMYFUNCTION("""COMPUTED_VALUE"""),"Preeti Bajaj")</f>
        <v>Preeti Bajaj</v>
      </c>
      <c r="C1789" s="17" t="str">
        <f>IFERROR(__xludf.DUMMYFUNCTION("""COMPUTED_VALUE"""),"CEO")</f>
        <v>CEO</v>
      </c>
      <c r="D1789" s="27" t="str">
        <f>IFERROR(__xludf.DUMMYFUNCTION("""COMPUTED_VALUE"""),"https://www.linkedin.com/in/preetibajaj/")</f>
        <v>https://www.linkedin.com/in/preetibajaj/</v>
      </c>
      <c r="E1789" s="17"/>
      <c r="F1789" s="17" t="str">
        <f>IFERROR(__xludf.DUMMYFUNCTION("""COMPUTED_VALUE"""),"preeti.bajaj@luminousindia.com")</f>
        <v>preeti.bajaj@luminousindia.com</v>
      </c>
      <c r="G1789" s="17" t="str">
        <f>IFERROR(__xludf.DUMMYFUNCTION("""COMPUTED_VALUE"""),"preetib26@hotmail.com")</f>
        <v>preetib26@hotmail.com</v>
      </c>
      <c r="H1789" s="17" t="str">
        <f>IFERROR(__xludf.DUMMYFUNCTION("""COMPUTED_VALUE"""),"preetib36@hotmail.com")</f>
        <v>preetib36@hotmail.com</v>
      </c>
    </row>
    <row r="1790">
      <c r="A1790" s="17" t="str">
        <f>IFERROR(__xludf.DUMMYFUNCTION("""COMPUTED_VALUE"""),"ReNew Power")</f>
        <v>ReNew Power</v>
      </c>
      <c r="B1790" s="17" t="str">
        <f>IFERROR(__xludf.DUMMYFUNCTION("""COMPUTED_VALUE"""),"Sumant Sinha")</f>
        <v>Sumant Sinha</v>
      </c>
      <c r="C1790" s="17" t="str">
        <f>IFERROR(__xludf.DUMMYFUNCTION("""COMPUTED_VALUE"""),"Founder &amp; CEO")</f>
        <v>Founder &amp; CEO</v>
      </c>
      <c r="D1790" s="17"/>
      <c r="E1790" s="17"/>
      <c r="F1790" s="17"/>
      <c r="G1790" s="17"/>
      <c r="H1790" s="17"/>
    </row>
    <row r="1791">
      <c r="A1791" s="17" t="str">
        <f>IFERROR(__xludf.DUMMYFUNCTION("""COMPUTED_VALUE"""),"Avaana Capital")</f>
        <v>Avaana Capital</v>
      </c>
      <c r="B1791" s="17" t="str">
        <f>IFERROR(__xludf.DUMMYFUNCTION("""COMPUTED_VALUE"""),"Anjali Bansal")</f>
        <v>Anjali Bansal</v>
      </c>
      <c r="C1791" s="17" t="str">
        <f>IFERROR(__xludf.DUMMYFUNCTION("""COMPUTED_VALUE"""),"Founder")</f>
        <v>Founder</v>
      </c>
      <c r="D1791" s="27" t="str">
        <f>IFERROR(__xludf.DUMMYFUNCTION("""COMPUTED_VALUE"""),"https://www.linkedin.com/in/anjali-bansal-8489091/")</f>
        <v>https://www.linkedin.com/in/anjali-bansal-8489091/</v>
      </c>
      <c r="E1791" s="17"/>
      <c r="F1791" s="17" t="str">
        <f>IFERROR(__xludf.DUMMYFUNCTION("""COMPUTED_VALUE"""),"abansal@spencerstuart.com")</f>
        <v>abansal@spencerstuart.com</v>
      </c>
      <c r="G1791" s="17" t="str">
        <f>IFERROR(__xludf.DUMMYFUNCTION("""COMPUTED_VALUE"""),"anjalibansal21@gmail.com")</f>
        <v>anjalibansal21@gmail.com</v>
      </c>
      <c r="H1791" s="17"/>
    </row>
    <row r="1792">
      <c r="A1792" s="17" t="str">
        <f>IFERROR(__xludf.DUMMYFUNCTION("""COMPUTED_VALUE"""),"Centre for Science and Environment")</f>
        <v>Centre for Science and Environment</v>
      </c>
      <c r="B1792" s="17" t="str">
        <f>IFERROR(__xludf.DUMMYFUNCTION("""COMPUTED_VALUE"""),"Sunita Narain")</f>
        <v>Sunita Narain</v>
      </c>
      <c r="C1792" s="17" t="str">
        <f>IFERROR(__xludf.DUMMYFUNCTION("""COMPUTED_VALUE"""),"Director General")</f>
        <v>Director General</v>
      </c>
      <c r="D1792" s="27" t="str">
        <f>IFERROR(__xludf.DUMMYFUNCTION("""COMPUTED_VALUE"""),"https://www.linkedin.com/in/sunita-narain-22797477/")</f>
        <v>https://www.linkedin.com/in/sunita-narain-22797477/</v>
      </c>
      <c r="E1792" s="17"/>
      <c r="F1792" s="17" t="str">
        <f>IFERROR(__xludf.DUMMYFUNCTION("""COMPUTED_VALUE"""),"sunita@cseindia.org")</f>
        <v>sunita@cseindia.org</v>
      </c>
      <c r="G1792" s="17" t="str">
        <f>IFERROR(__xludf.DUMMYFUNCTION("""COMPUTED_VALUE"""),"sunitanar@gmail.com")</f>
        <v>sunitanar@gmail.com</v>
      </c>
      <c r="H1792" s="17"/>
    </row>
    <row r="1793">
      <c r="A1793" s="17" t="str">
        <f>IFERROR(__xludf.DUMMYFUNCTION("""COMPUTED_VALUE"""),"Yulu")</f>
        <v>Yulu</v>
      </c>
      <c r="B1793" s="17" t="str">
        <f>IFERROR(__xludf.DUMMYFUNCTION("""COMPUTED_VALUE"""),"Neeraj Kumar")</f>
        <v>Neeraj Kumar</v>
      </c>
      <c r="C1793" s="17" t="str">
        <f>IFERROR(__xludf.DUMMYFUNCTION("""COMPUTED_VALUE"""),"Business Head")</f>
        <v>Business Head</v>
      </c>
      <c r="D1793" s="27" t="str">
        <f>IFERROR(__xludf.DUMMYFUNCTION("""COMPUTED_VALUE"""),"https://www.linkedin.com/in/neerajkumar10/?originalSubdomain=in")</f>
        <v>https://www.linkedin.com/in/neerajkumar10/?originalSubdomain=in</v>
      </c>
      <c r="E1793" s="17"/>
      <c r="F1793" s="17" t="str">
        <f>IFERROR(__xludf.DUMMYFUNCTION("""COMPUTED_VALUE"""),"neeraj.kumar@yulu.bike")</f>
        <v>neeraj.kumar@yulu.bike</v>
      </c>
      <c r="G1793" s="17"/>
      <c r="H1793" s="17"/>
    </row>
    <row r="1794">
      <c r="A1794" s="17" t="str">
        <f>IFERROR(__xludf.DUMMYFUNCTION("""COMPUTED_VALUE"""),"Company name ")</f>
        <v>Company name </v>
      </c>
      <c r="B1794" s="17" t="str">
        <f>IFERROR(__xludf.DUMMYFUNCTION("""COMPUTED_VALUE"""),"Name")</f>
        <v>Name</v>
      </c>
      <c r="C1794" s="17" t="str">
        <f>IFERROR(__xludf.DUMMYFUNCTION("""COMPUTED_VALUE"""),"Designation")</f>
        <v>Designation</v>
      </c>
      <c r="D1794" s="17" t="str">
        <f>IFERROR(__xludf.DUMMYFUNCTION("""COMPUTED_VALUE"""),"Linkedin ID")</f>
        <v>Linkedin ID</v>
      </c>
      <c r="E1794" s="17" t="str">
        <f>IFERROR(__xludf.DUMMYFUNCTION("""COMPUTED_VALUE"""),"Email")</f>
        <v>Email</v>
      </c>
      <c r="F1794" s="17" t="str">
        <f>IFERROR(__xludf.DUMMYFUNCTION("""COMPUTED_VALUE"""),"Contact No.")</f>
        <v>Contact No.</v>
      </c>
      <c r="G1794" s="17" t="str">
        <f>IFERROR(__xludf.DUMMYFUNCTION("""COMPUTED_VALUE"""),"Email 2")</f>
        <v>Email 2</v>
      </c>
      <c r="H1794" s="17"/>
    </row>
    <row r="1795">
      <c r="A1795" s="17" t="str">
        <f>IFERROR(__xludf.DUMMYFUNCTION("""COMPUTED_VALUE"""),"Unicorns")</f>
        <v>Unicorns</v>
      </c>
      <c r="B1795" s="17"/>
      <c r="C1795" s="17"/>
      <c r="D1795" s="17"/>
      <c r="E1795" s="17"/>
      <c r="F1795" s="17"/>
      <c r="G1795" s="17"/>
      <c r="H1795" s="17"/>
    </row>
    <row r="1796">
      <c r="A1796" s="17" t="str">
        <f>IFERROR(__xludf.DUMMYFUNCTION("""COMPUTED_VALUE"""),"Netradyne")</f>
        <v>Netradyne</v>
      </c>
      <c r="B1796" s="17" t="str">
        <f>IFERROR(__xludf.DUMMYFUNCTION("""COMPUTED_VALUE"""),"Smita Sanadhya")</f>
        <v>Smita Sanadhya</v>
      </c>
      <c r="C1796" s="17" t="str">
        <f>IFERROR(__xludf.DUMMYFUNCTION("""COMPUTED_VALUE"""),"CFO")</f>
        <v>CFO</v>
      </c>
      <c r="D1796" s="27" t="str">
        <f>IFERROR(__xludf.DUMMYFUNCTION("""COMPUTED_VALUE"""),"https://www.linkedin.com/in/smitasanadhya/")</f>
        <v>https://www.linkedin.com/in/smitasanadhya/</v>
      </c>
      <c r="E1796" s="17" t="str">
        <f>IFERROR(__xludf.DUMMYFUNCTION("""COMPUTED_VALUE"""),"smita.sanadhya@netradyne.com")</f>
        <v>smita.sanadhya@netradyne.com</v>
      </c>
      <c r="F1796" s="17" t="str">
        <f>IFERROR(__xludf.DUMMYFUNCTION("""COMPUTED_VALUE"""),"14087998416, 14153667401")</f>
        <v>14087998416, 14153667401</v>
      </c>
      <c r="G1796" s="17" t="str">
        <f>IFERROR(__xludf.DUMMYFUNCTION("""COMPUTED_VALUE"""),", sanadhya@gmail.com, smita.sanadhya@outlook.com")</f>
        <v>, sanadhya@gmail.com, smita.sanadhya@outlook.com</v>
      </c>
      <c r="H1796" s="17"/>
    </row>
    <row r="1797">
      <c r="A1797" s="17" t="str">
        <f>IFERROR(__xludf.DUMMYFUNCTION("""COMPUTED_VALUE"""),"Drools")</f>
        <v>Drools</v>
      </c>
      <c r="B1797" s="17" t="str">
        <f>IFERROR(__xludf.DUMMYFUNCTION("""COMPUTED_VALUE"""),"Rasik Sontakke")</f>
        <v>Rasik Sontakke</v>
      </c>
      <c r="C1797" s="17" t="str">
        <f>IFERROR(__xludf.DUMMYFUNCTION("""COMPUTED_VALUE"""),"CFO")</f>
        <v>CFO</v>
      </c>
      <c r="D1797" s="27" t="str">
        <f>IFERROR(__xludf.DUMMYFUNCTION("""COMPUTED_VALUE"""),"https://www.linkedin.com/in/rasik-sontakke-2b25b27/?originalSubdomain=in")</f>
        <v>https://www.linkedin.com/in/rasik-sontakke-2b25b27/?originalSubdomain=in</v>
      </c>
      <c r="E1797" s="17" t="str">
        <f>IFERROR(__xludf.DUMMYFUNCTION("""COMPUTED_VALUE"""),"rasiks@gmail.com")</f>
        <v>rasiks@gmail.com</v>
      </c>
      <c r="F1797" s="17"/>
      <c r="G1797" s="17"/>
      <c r="H1797" s="17"/>
    </row>
    <row r="1798">
      <c r="A1798" s="17" t="str">
        <f>IFERROR(__xludf.DUMMYFUNCTION("""COMPUTED_VALUE"""),"Porter")</f>
        <v>Porter</v>
      </c>
      <c r="B1798" s="17" t="str">
        <f>IFERROR(__xludf.DUMMYFUNCTION("""COMPUTED_VALUE"""),"Pankaj Shroff")</f>
        <v>Pankaj Shroff</v>
      </c>
      <c r="C1798" s="17" t="str">
        <f>IFERROR(__xludf.DUMMYFUNCTION("""COMPUTED_VALUE"""),"CFO")</f>
        <v>CFO</v>
      </c>
      <c r="D1798" s="27" t="str">
        <f>IFERROR(__xludf.DUMMYFUNCTION("""COMPUTED_VALUE"""),"https://www.linkedin.com/in/pankajshroff/?originalSubdomain=in")</f>
        <v>https://www.linkedin.com/in/pankajshroff/?originalSubdomain=in</v>
      </c>
      <c r="E1798" s="17" t="str">
        <f>IFERROR(__xludf.DUMMYFUNCTION("""COMPUTED_VALUE"""),"pshroff1982@gmail.com")</f>
        <v>pshroff1982@gmail.com</v>
      </c>
      <c r="F1798" s="17"/>
      <c r="G1798" s="17"/>
      <c r="H1798" s="17"/>
    </row>
    <row r="1799">
      <c r="A1799" s="17" t="str">
        <f>IFERROR(__xludf.DUMMYFUNCTION("""COMPUTED_VALUE"""),"Perfios")</f>
        <v>Perfios</v>
      </c>
      <c r="B1799" s="17" t="str">
        <f>IFERROR(__xludf.DUMMYFUNCTION("""COMPUTED_VALUE"""),"Rajesh Kini ")</f>
        <v>Rajesh Kini </v>
      </c>
      <c r="C1799" s="17" t="str">
        <f>IFERROR(__xludf.DUMMYFUNCTION("""COMPUTED_VALUE"""),"CFO")</f>
        <v>CFO</v>
      </c>
      <c r="D1799" s="27" t="str">
        <f>IFERROR(__xludf.DUMMYFUNCTION("""COMPUTED_VALUE"""),"https://www.linkedin.com/in/rajesh-kini-a6433a1/?originalSubdomain=in")</f>
        <v>https://www.linkedin.com/in/rajesh-kini-a6433a1/?originalSubdomain=in</v>
      </c>
      <c r="E1799" s="17" t="str">
        <f>IFERROR(__xludf.DUMMYFUNCTION("""COMPUTED_VALUE"""),"rajesh.kini@perfios.com")</f>
        <v>rajesh.kini@perfios.com</v>
      </c>
      <c r="F1799" s="17"/>
      <c r="G1799" s="17" t="str">
        <f>IFERROR(__xludf.DUMMYFUNCTION("""COMPUTED_VALUE"""),", mrajeshkini@gmail.com")</f>
        <v>, mrajeshkini@gmail.com</v>
      </c>
      <c r="H1799" s="17"/>
    </row>
    <row r="1800">
      <c r="A1800" s="17" t="str">
        <f>IFERROR(__xludf.DUMMYFUNCTION("""COMPUTED_VALUE"""),"Rapido")</f>
        <v>Rapido</v>
      </c>
      <c r="B1800" s="17" t="str">
        <f>IFERROR(__xludf.DUMMYFUNCTION("""COMPUTED_VALUE"""),"Vivek Krishna")</f>
        <v>Vivek Krishna</v>
      </c>
      <c r="C1800" s="17" t="str">
        <f>IFERROR(__xludf.DUMMYFUNCTION("""COMPUTED_VALUE"""),"CFO")</f>
        <v>CFO</v>
      </c>
      <c r="D1800" s="27" t="str">
        <f>IFERROR(__xludf.DUMMYFUNCTION("""COMPUTED_VALUE"""),"https://www.linkedin.com/in/rvivekkrishna/?originalSubdomain=in")</f>
        <v>https://www.linkedin.com/in/rvivekkrishna/?originalSubdomain=in</v>
      </c>
      <c r="E1800" s="17" t="str">
        <f>IFERROR(__xludf.DUMMYFUNCTION("""COMPUTED_VALUE"""),"vivek@rapido.bike")</f>
        <v>vivek@rapido.bike</v>
      </c>
      <c r="F1800" s="17"/>
      <c r="G1800" s="17"/>
      <c r="H1800" s="17"/>
    </row>
    <row r="1801">
      <c r="A1801" s="17" t="str">
        <f>IFERROR(__xludf.DUMMYFUNCTION("""COMPUTED_VALUE"""),"RateGain")</f>
        <v>RateGain</v>
      </c>
      <c r="B1801" s="17" t="str">
        <f>IFERROR(__xludf.DUMMYFUNCTION("""COMPUTED_VALUE"""),"Rohan Mittal ")</f>
        <v>Rohan Mittal </v>
      </c>
      <c r="C1801" s="17" t="str">
        <f>IFERROR(__xludf.DUMMYFUNCTION("""COMPUTED_VALUE"""),"CFO")</f>
        <v>CFO</v>
      </c>
      <c r="D1801" s="27" t="str">
        <f>IFERROR(__xludf.DUMMYFUNCTION("""COMPUTED_VALUE"""),"https://www.linkedin.com/in/rohanmittal83/?originalSubdomain=in")</f>
        <v>https://www.linkedin.com/in/rohanmittal83/?originalSubdomain=in</v>
      </c>
      <c r="E1801" s="17" t="str">
        <f>IFERROR(__xludf.DUMMYFUNCTION("""COMPUTED_VALUE"""),"rohan.mittal@rategain.com")</f>
        <v>rohan.mittal@rategain.com</v>
      </c>
      <c r="F1801" s="17"/>
      <c r="G1801" s="17" t="str">
        <f>IFERROR(__xludf.DUMMYFUNCTION("""COMPUTED_VALUE"""),"rohanxj@gmail.com, ")</f>
        <v>rohanxj@gmail.com, </v>
      </c>
      <c r="H1801" s="17"/>
    </row>
    <row r="1802">
      <c r="A1802" s="17" t="str">
        <f>IFERROR(__xludf.DUMMYFUNCTION("""COMPUTED_VALUE"""),"Moneyview")</f>
        <v>Moneyview</v>
      </c>
      <c r="B1802" s="17" t="str">
        <f>IFERROR(__xludf.DUMMYFUNCTION("""COMPUTED_VALUE"""),"Saurav Goyal")</f>
        <v>Saurav Goyal</v>
      </c>
      <c r="C1802" s="17" t="str">
        <f>IFERROR(__xludf.DUMMYFUNCTION("""COMPUTED_VALUE"""),"CFO")</f>
        <v>CFO</v>
      </c>
      <c r="D1802" s="27" t="str">
        <f>IFERROR(__xludf.DUMMYFUNCTION("""COMPUTED_VALUE"""),"https://www.linkedin.com/in/saurav-goyal-40905235/?originalSubdomain=in")</f>
        <v>https://www.linkedin.com/in/saurav-goyal-40905235/?originalSubdomain=in</v>
      </c>
      <c r="E1802" s="17" t="str">
        <f>IFERROR(__xludf.DUMMYFUNCTION("""COMPUTED_VALUE"""),"saurav.goyal@moneyview.in")</f>
        <v>saurav.goyal@moneyview.in</v>
      </c>
      <c r="F1802" s="17"/>
      <c r="G1802" s="17"/>
      <c r="H1802" s="17"/>
    </row>
    <row r="1803">
      <c r="A1803" s="17" t="str">
        <f>IFERROR(__xludf.DUMMYFUNCTION("""COMPUTED_VALUE"""),"Ather")</f>
        <v>Ather</v>
      </c>
      <c r="B1803" s="17" t="str">
        <f>IFERROR(__xludf.DUMMYFUNCTION("""COMPUTED_VALUE"""),"Sohil Parekh")</f>
        <v>Sohil Parekh</v>
      </c>
      <c r="C1803" s="17" t="str">
        <f>IFERROR(__xludf.DUMMYFUNCTION("""COMPUTED_VALUE"""),"CFO")</f>
        <v>CFO</v>
      </c>
      <c r="D1803" s="27" t="str">
        <f>IFERROR(__xludf.DUMMYFUNCTION("""COMPUTED_VALUE"""),"http://linkedin.com/in/sohil-parekh-09719716/?originalSubdomain=in")</f>
        <v>http://linkedin.com/in/sohil-parekh-09719716/?originalSubdomain=in</v>
      </c>
      <c r="E1803" s="17" t="str">
        <f>IFERROR(__xludf.DUMMYFUNCTION("""COMPUTED_VALUE"""),"sohil.parekh@atherenergy.com")</f>
        <v>sohil.parekh@atherenergy.com</v>
      </c>
      <c r="F1803" s="17"/>
      <c r="G1803" s="17"/>
      <c r="H1803" s="17"/>
    </row>
    <row r="1804">
      <c r="A1804" s="17" t="str">
        <f>IFERROR(__xludf.DUMMYFUNCTION("""COMPUTED_VALUE"""),"Zepto")</f>
        <v>Zepto</v>
      </c>
      <c r="B1804" s="17" t="str">
        <f>IFERROR(__xludf.DUMMYFUNCTION("""COMPUTED_VALUE"""),"Ramesh Bafna")</f>
        <v>Ramesh Bafna</v>
      </c>
      <c r="C1804" s="17" t="str">
        <f>IFERROR(__xludf.DUMMYFUNCTION("""COMPUTED_VALUE"""),"CFO")</f>
        <v>CFO</v>
      </c>
      <c r="D1804" s="27" t="str">
        <f>IFERROR(__xludf.DUMMYFUNCTION("""COMPUTED_VALUE"""),"https://www.linkedin.com/in/rameshbafna/?originalSubdomain=in")</f>
        <v>https://www.linkedin.com/in/rameshbafna/?originalSubdomain=in</v>
      </c>
      <c r="E1804" s="17" t="str">
        <f>IFERROR(__xludf.DUMMYFUNCTION("""COMPUTED_VALUE"""),"ramesh.bafna@zeptonow.com")</f>
        <v>ramesh.bafna@zeptonow.com</v>
      </c>
      <c r="F1804" s="17"/>
      <c r="G1804" s="17"/>
      <c r="H1804" s="17"/>
    </row>
    <row r="1805">
      <c r="A1805" s="17" t="str">
        <f>IFERROR(__xludf.DUMMYFUNCTION("""COMPUTED_VALUE"""),"InCred")</f>
        <v>InCred</v>
      </c>
      <c r="B1805" s="17" t="str">
        <f>IFERROR(__xludf.DUMMYFUNCTION("""COMPUTED_VALUE"""),"Gaurav Maheshwari ")</f>
        <v>Gaurav Maheshwari </v>
      </c>
      <c r="C1805" s="17" t="str">
        <f>IFERROR(__xludf.DUMMYFUNCTION("""COMPUTED_VALUE"""),"CFO")</f>
        <v>CFO</v>
      </c>
      <c r="D1805" s="27" t="str">
        <f>IFERROR(__xludf.DUMMYFUNCTION("""COMPUTED_VALUE"""),"https://www.linkedin.com/in/gaurav-maheshwari-341a80a4/?originalSubdomain=in")</f>
        <v>https://www.linkedin.com/in/gaurav-maheshwari-341a80a4/?originalSubdomain=in</v>
      </c>
      <c r="E1805" s="17" t="str">
        <f>IFERROR(__xludf.DUMMYFUNCTION("""COMPUTED_VALUE"""),"gaurav.maheshwari@incred.com")</f>
        <v>gaurav.maheshwari@incred.com</v>
      </c>
      <c r="F1805" s="17"/>
      <c r="G1805" s="17"/>
      <c r="H1805" s="17"/>
    </row>
    <row r="1806">
      <c r="A1806" s="17" t="str">
        <f>IFERROR(__xludf.DUMMYFUNCTION("""COMPUTED_VALUE"""),"Uniphore")</f>
        <v>Uniphore</v>
      </c>
      <c r="B1806" s="17" t="str">
        <f>IFERROR(__xludf.DUMMYFUNCTION("""COMPUTED_VALUE"""),"Stephane Berthier")</f>
        <v>Stephane Berthier</v>
      </c>
      <c r="C1806" s="17" t="str">
        <f>IFERROR(__xludf.DUMMYFUNCTION("""COMPUTED_VALUE"""),"CFO")</f>
        <v>CFO</v>
      </c>
      <c r="D1806" s="27" t="str">
        <f>IFERROR(__xludf.DUMMYFUNCTION("""COMPUTED_VALUE"""),"https://www.linkedin.com/in/sberthier/")</f>
        <v>https://www.linkedin.com/in/sberthier/</v>
      </c>
      <c r="E1806" s="17" t="str">
        <f>IFERROR(__xludf.DUMMYFUNCTION("""COMPUTED_VALUE"""),"stephane.berthier@uniphore.com")</f>
        <v>stephane.berthier@uniphore.com</v>
      </c>
      <c r="F1806" s="17"/>
      <c r="G1806" s="17"/>
      <c r="H1806" s="17"/>
    </row>
    <row r="1807">
      <c r="A1807" s="17" t="str">
        <f>IFERROR(__xludf.DUMMYFUNCTION("""COMPUTED_VALUE"""),"Xpressbees")</f>
        <v>Xpressbees</v>
      </c>
      <c r="B1807" s="17" t="str">
        <f>IFERROR(__xludf.DUMMYFUNCTION("""COMPUTED_VALUE"""),"Santosh Abbimane")</f>
        <v>Santosh Abbimane</v>
      </c>
      <c r="C1807" s="17" t="str">
        <f>IFERROR(__xludf.DUMMYFUNCTION("""COMPUTED_VALUE"""),"CFO")</f>
        <v>CFO</v>
      </c>
      <c r="D1807" s="27" t="str">
        <f>IFERROR(__xludf.DUMMYFUNCTION("""COMPUTED_VALUE"""),"https://www.linkedin.com/in/santoshabbimane/?originalSubdomain=in")</f>
        <v>https://www.linkedin.com/in/santoshabbimane/?originalSubdomain=in</v>
      </c>
      <c r="E1807" s="17" t="str">
        <f>IFERROR(__xludf.DUMMYFUNCTION("""COMPUTED_VALUE"""),"santosh.abbimane@xpressbees.com")</f>
        <v>santosh.abbimane@xpressbees.com</v>
      </c>
      <c r="F1807" s="17"/>
      <c r="G1807" s="17"/>
      <c r="H1807" s="17"/>
    </row>
    <row r="1808">
      <c r="A1808" s="17" t="str">
        <f>IFERROR(__xludf.DUMMYFUNCTION("""COMPUTED_VALUE"""),"LEAD")</f>
        <v>LEAD</v>
      </c>
      <c r="B1808" s="17" t="str">
        <f>IFERROR(__xludf.DUMMYFUNCTION("""COMPUTED_VALUE"""),"Arpit Jain")</f>
        <v>Arpit Jain</v>
      </c>
      <c r="C1808" s="17" t="str">
        <f>IFERROR(__xludf.DUMMYFUNCTION("""COMPUTED_VALUE"""),"CFO")</f>
        <v>CFO</v>
      </c>
      <c r="D1808" s="27" t="str">
        <f>IFERROR(__xludf.DUMMYFUNCTION("""COMPUTED_VALUE"""),"https://www.linkedin.com/in/arpitjaincacs/?originalSubdomain=in")</f>
        <v>https://www.linkedin.com/in/arpitjaincacs/?originalSubdomain=in</v>
      </c>
      <c r="E1808" s="17" t="str">
        <f>IFERROR(__xludf.DUMMYFUNCTION("""COMPUTED_VALUE"""),"arpit.jain@leadschool.in")</f>
        <v>arpit.jain@leadschool.in</v>
      </c>
      <c r="F1808" s="17"/>
      <c r="G1808" s="17"/>
      <c r="H1808" s="17"/>
    </row>
    <row r="1809">
      <c r="A1809" s="17" t="str">
        <f>IFERROR(__xludf.DUMMYFUNCTION("""COMPUTED_VALUE"""),"Livspace")</f>
        <v>Livspace</v>
      </c>
      <c r="B1809" s="17" t="str">
        <f>IFERROR(__xludf.DUMMYFUNCTION("""COMPUTED_VALUE"""),"Saurabh Agarwal")</f>
        <v>Saurabh Agarwal</v>
      </c>
      <c r="C1809" s="17" t="str">
        <f>IFERROR(__xludf.DUMMYFUNCTION("""COMPUTED_VALUE"""),"CFO")</f>
        <v>CFO</v>
      </c>
      <c r="D1809" s="27" t="str">
        <f>IFERROR(__xludf.DUMMYFUNCTION("""COMPUTED_VALUE"""),"https://www.linkedin.com/in/saurabh-agarwal-a882a2a/?originalSubdomain=in")</f>
        <v>https://www.linkedin.com/in/saurabh-agarwal-a882a2a/?originalSubdomain=in</v>
      </c>
      <c r="E1809" s="17" t="str">
        <f>IFERROR(__xludf.DUMMYFUNCTION("""COMPUTED_VALUE"""),"saurabh.agarwal@redbus.com")</f>
        <v>saurabh.agarwal@redbus.com</v>
      </c>
      <c r="F1809" s="17"/>
      <c r="G1809" s="17" t="str">
        <f>IFERROR(__xludf.DUMMYFUNCTION("""COMPUTED_VALUE"""),", agrsaurabh19@gmail.com")</f>
        <v>, agrsaurabh19@gmail.com</v>
      </c>
      <c r="H1809" s="17"/>
    </row>
    <row r="1810">
      <c r="A1810" s="17" t="str">
        <f>IFERROR(__xludf.DUMMYFUNCTION("""COMPUTED_VALUE"""),"Open")</f>
        <v>Open</v>
      </c>
      <c r="B1810" s="17" t="str">
        <f>IFERROR(__xludf.DUMMYFUNCTION("""COMPUTED_VALUE"""),"Deena Jacob")</f>
        <v>Deena Jacob</v>
      </c>
      <c r="C1810" s="17" t="str">
        <f>IFERROR(__xludf.DUMMYFUNCTION("""COMPUTED_VALUE"""),"CFO")</f>
        <v>CFO</v>
      </c>
      <c r="D1810" s="27" t="str">
        <f>IFERROR(__xludf.DUMMYFUNCTION("""COMPUTED_VALUE"""),"https://www.linkedin.com/in/deena-jacob-348b8b4/?originalSubdomain=in")</f>
        <v>https://www.linkedin.com/in/deena-jacob-348b8b4/?originalSubdomain=in</v>
      </c>
      <c r="E1810" s="17" t="str">
        <f>IFERROR(__xludf.DUMMYFUNCTION("""COMPUTED_VALUE"""),"deenajacob@open.money")</f>
        <v>deenajacob@open.money</v>
      </c>
      <c r="F1810" s="17"/>
      <c r="G1810" s="17" t="str">
        <f>IFERROR(__xludf.DUMMYFUNCTION("""COMPUTED_VALUE"""),", deena@bankopen.co, deenajacob@gmail.com")</f>
        <v>, deena@bankopen.co, deenajacob@gmail.com</v>
      </c>
      <c r="H1810" s="17"/>
    </row>
    <row r="1811">
      <c r="A1811" s="17" t="str">
        <f>IFERROR(__xludf.DUMMYFUNCTION("""COMPUTED_VALUE"""),"Amagi")</f>
        <v>Amagi</v>
      </c>
      <c r="B1811" s="17" t="str">
        <f>IFERROR(__xludf.DUMMYFUNCTION("""COMPUTED_VALUE"""),"Vijay NP")</f>
        <v>Vijay NP</v>
      </c>
      <c r="C1811" s="17" t="str">
        <f>IFERROR(__xludf.DUMMYFUNCTION("""COMPUTED_VALUE"""),"CFO")</f>
        <v>CFO</v>
      </c>
      <c r="D1811" s="27" t="str">
        <f>IFERROR(__xludf.DUMMYFUNCTION("""COMPUTED_VALUE"""),"https://www.linkedin.com/in/vijaynp/?originalSubdomain=in")</f>
        <v>https://www.linkedin.com/in/vijaynp/?originalSubdomain=in</v>
      </c>
      <c r="E1811" s="17" t="str">
        <f>IFERROR(__xludf.DUMMYFUNCTION("""COMPUTED_VALUE"""),"vijay@amagi.com")</f>
        <v>vijay@amagi.com</v>
      </c>
      <c r="F1811" s="17"/>
      <c r="G1811" s="17" t="str">
        <f>IFERROR(__xludf.DUMMYFUNCTION("""COMPUTED_VALUE"""),", vijaynamonarasimhan@gmail.com")</f>
        <v>, vijaynamonarasimhan@gmail.com</v>
      </c>
      <c r="H1811" s="17"/>
    </row>
    <row r="1812">
      <c r="A1812" s="17" t="str">
        <f>IFERROR(__xludf.DUMMYFUNCTION("""COMPUTED_VALUE"""),"Oxyzo")</f>
        <v>Oxyzo</v>
      </c>
      <c r="B1812" s="17" t="str">
        <f>IFERROR(__xludf.DUMMYFUNCTION("""COMPUTED_VALUE"""),"Ankush Jain")</f>
        <v>Ankush Jain</v>
      </c>
      <c r="C1812" s="17" t="str">
        <f>IFERROR(__xludf.DUMMYFUNCTION("""COMPUTED_VALUE"""),"Chief Business Officer")</f>
        <v>Chief Business Officer</v>
      </c>
      <c r="D1812" s="27" t="str">
        <f>IFERROR(__xludf.DUMMYFUNCTION("""COMPUTED_VALUE"""),"https://www.linkedin.com/in/ankush-jain-68746014/?originalSubdomain=in")</f>
        <v>https://www.linkedin.com/in/ankush-jain-68746014/?originalSubdomain=in</v>
      </c>
      <c r="E1812" s="17" t="str">
        <f>IFERROR(__xludf.DUMMYFUNCTION("""COMPUTED_VALUE"""),"ankush.jain@oxyzo.in")</f>
        <v>ankush.jain@oxyzo.in</v>
      </c>
      <c r="F1812" s="17"/>
      <c r="G1812" s="17"/>
      <c r="H1812" s="17"/>
    </row>
    <row r="1813">
      <c r="A1813" s="17" t="str">
        <f>IFERROR(__xludf.DUMMYFUNCTION("""COMPUTED_VALUE"""),"Games24x7")</f>
        <v>Games24x7</v>
      </c>
      <c r="B1813" s="17" t="str">
        <f>IFERROR(__xludf.DUMMYFUNCTION("""COMPUTED_VALUE"""),"Rahul Tewari")</f>
        <v>Rahul Tewari</v>
      </c>
      <c r="C1813" s="17" t="str">
        <f>IFERROR(__xludf.DUMMYFUNCTION("""COMPUTED_VALUE"""),"CFO")</f>
        <v>CFO</v>
      </c>
      <c r="D1813" s="27" t="str">
        <f>IFERROR(__xludf.DUMMYFUNCTION("""COMPUTED_VALUE"""),"https://www.linkedin.com/in/rahul1tewari/?originalSubdomain=in")</f>
        <v>https://www.linkedin.com/in/rahul1tewari/?originalSubdomain=in</v>
      </c>
      <c r="E1813" s="17" t="str">
        <f>IFERROR(__xludf.DUMMYFUNCTION("""COMPUTED_VALUE"""),"rahul.tewari@damacdigital.com")</f>
        <v>rahul.tewari@damacdigital.com</v>
      </c>
      <c r="F1813" s="17"/>
      <c r="G1813" s="17"/>
      <c r="H1813" s="17"/>
    </row>
    <row r="1814">
      <c r="A1814" s="17" t="str">
        <f>IFERROR(__xludf.DUMMYFUNCTION("""COMPUTED_VALUE"""),"DealShare")</f>
        <v>DealShare</v>
      </c>
      <c r="B1814" s="17" t="str">
        <f>IFERROR(__xludf.DUMMYFUNCTION("""COMPUTED_VALUE"""),"Ashish Shah")</f>
        <v>Ashish Shah</v>
      </c>
      <c r="C1814" s="17" t="str">
        <f>IFERROR(__xludf.DUMMYFUNCTION("""COMPUTED_VALUE"""),"CFO")</f>
        <v>CFO</v>
      </c>
      <c r="D1814" s="27" t="str">
        <f>IFERROR(__xludf.DUMMYFUNCTION("""COMPUTED_VALUE"""),"https://www.linkedin.com/in/caashishshah/?originalSubdomain=in")</f>
        <v>https://www.linkedin.com/in/caashishshah/?originalSubdomain=in</v>
      </c>
      <c r="E1814" s="17" t="str">
        <f>IFERROR(__xludf.DUMMYFUNCTION("""COMPUTED_VALUE"""),"ashish.shah@dealshare.in.")</f>
        <v>ashish.shah@dealshare.in.</v>
      </c>
      <c r="F1814" s="17"/>
      <c r="G1814" s="17"/>
      <c r="H1814" s="17"/>
    </row>
    <row r="1815">
      <c r="A1815" s="17" t="str">
        <f>IFERROR(__xludf.DUMMYFUNCTION("""COMPUTED_VALUE"""),"OneCard")</f>
        <v>OneCard</v>
      </c>
      <c r="B1815" s="17" t="str">
        <f>IFERROR(__xludf.DUMMYFUNCTION("""COMPUTED_VALUE"""),"Anurag Sinha")</f>
        <v>Anurag Sinha</v>
      </c>
      <c r="C1815" s="17" t="str">
        <f>IFERROR(__xludf.DUMMYFUNCTION("""COMPUTED_VALUE"""),"CEO")</f>
        <v>CEO</v>
      </c>
      <c r="D1815" s="27" t="str">
        <f>IFERROR(__xludf.DUMMYFUNCTION("""COMPUTED_VALUE"""),"https://www.linkedin.com/in/anuragsinha2/?originalSubdomain=in")</f>
        <v>https://www.linkedin.com/in/anuragsinha2/?originalSubdomain=in</v>
      </c>
      <c r="E1815" s="17" t="str">
        <f>IFERROR(__xludf.DUMMYFUNCTION("""COMPUTED_VALUE"""),"anuragsinha@gmail.com")</f>
        <v>anuragsinha@gmail.com</v>
      </c>
      <c r="F1815" s="17"/>
      <c r="G1815" s="17"/>
      <c r="H1815" s="17"/>
    </row>
    <row r="1816">
      <c r="A1816" s="17" t="str">
        <f>IFERROR(__xludf.DUMMYFUNCTION("""COMPUTED_VALUE"""),"Yubi")</f>
        <v>Yubi</v>
      </c>
      <c r="B1816" s="17" t="str">
        <f>IFERROR(__xludf.DUMMYFUNCTION("""COMPUTED_VALUE"""),"Vaidyanathan Mahadevan")</f>
        <v>Vaidyanathan Mahadevan</v>
      </c>
      <c r="C1816" s="17" t="str">
        <f>IFERROR(__xludf.DUMMYFUNCTION("""COMPUTED_VALUE"""),"CFO")</f>
        <v>CFO</v>
      </c>
      <c r="D1816" s="27" t="str">
        <f>IFERROR(__xludf.DUMMYFUNCTION("""COMPUTED_VALUE"""),"https://www.linkedin.com/in/vaidyanathan-mahadevan-01086b7/?originalSubdomain=in")</f>
        <v>https://www.linkedin.com/in/vaidyanathan-mahadevan-01086b7/?originalSubdomain=in</v>
      </c>
      <c r="E1816" s="17" t="str">
        <f>IFERROR(__xludf.DUMMYFUNCTION("""COMPUTED_VALUE"""),"vaidyanathan.mahadevan@go-yubi.com")</f>
        <v>vaidyanathan.mahadevan@go-yubi.com</v>
      </c>
      <c r="F1816" s="17"/>
      <c r="G1816" s="17" t="str">
        <f>IFERROR(__xludf.DUMMYFUNCTION("""COMPUTED_VALUE"""),", nmvaidya@hotmail.com")</f>
        <v>, nmvaidya@hotmail.com</v>
      </c>
      <c r="H1816" s="17"/>
    </row>
    <row r="1817">
      <c r="A1817" s="17" t="str">
        <f>IFERROR(__xludf.DUMMYFUNCTION("""COMPUTED_VALUE"""),"Tata 1mg")</f>
        <v>Tata 1mg</v>
      </c>
      <c r="B1817" s="17" t="str">
        <f>IFERROR(__xludf.DUMMYFUNCTION("""COMPUTED_VALUE"""),"Sanjay Jhawar")</f>
        <v>Sanjay Jhawar</v>
      </c>
      <c r="C1817" s="17" t="str">
        <f>IFERROR(__xludf.DUMMYFUNCTION("""COMPUTED_VALUE"""),"CFO")</f>
        <v>CFO</v>
      </c>
      <c r="D1817" s="27" t="str">
        <f>IFERROR(__xludf.DUMMYFUNCTION("""COMPUTED_VALUE"""),"https://www.linkedin.com/in/sanjay-jhawar-23468552/?originalSubdomain=in")</f>
        <v>https://www.linkedin.com/in/sanjay-jhawar-23468552/?originalSubdomain=in</v>
      </c>
      <c r="E1817" s="17" t="str">
        <f>IFERROR(__xludf.DUMMYFUNCTION("""COMPUTED_VALUE"""),"sanjay.jhawar@1mg.com")</f>
        <v>sanjay.jhawar@1mg.com</v>
      </c>
      <c r="F1817" s="17"/>
      <c r="G1817" s="17" t="str">
        <f>IFERROR(__xludf.DUMMYFUNCTION("""COMPUTED_VALUE"""),", sanjayjhawar1@rediffmail.com")</f>
        <v>, sanjayjhawar1@rediffmail.com</v>
      </c>
      <c r="H1817" s="17"/>
    </row>
    <row r="1818">
      <c r="A1818" s="17" t="str">
        <f>IFERROR(__xludf.DUMMYFUNCTION("""COMPUTED_VALUE"""),"Shiprocket")</f>
        <v>Shiprocket</v>
      </c>
      <c r="B1818" s="17" t="str">
        <f>IFERROR(__xludf.DUMMYFUNCTION("""COMPUTED_VALUE"""),"Tanmay Kumar")</f>
        <v>Tanmay Kumar</v>
      </c>
      <c r="C1818" s="17" t="str">
        <f>IFERROR(__xludf.DUMMYFUNCTION("""COMPUTED_VALUE"""),"CFO")</f>
        <v>CFO</v>
      </c>
      <c r="D1818" s="27" t="str">
        <f>IFERROR(__xludf.DUMMYFUNCTION("""COMPUTED_VALUE"""),"https://www.linkedin.com/in/kumartanmay/?originalSubdomain=in")</f>
        <v>https://www.linkedin.com/in/kumartanmay/?originalSubdomain=in</v>
      </c>
      <c r="E1818" s="17" t="str">
        <f>IFERROR(__xludf.DUMMYFUNCTION("""COMPUTED_VALUE"""),"tanmay.kumar@shiprocket.in")</f>
        <v>tanmay.kumar@shiprocket.in</v>
      </c>
      <c r="F1818" s="17"/>
      <c r="G1818" s="17" t="str">
        <f>IFERROR(__xludf.DUMMYFUNCTION("""COMPUTED_VALUE"""),", kumartanmay@yahoo.com")</f>
        <v>, kumartanmay@yahoo.com</v>
      </c>
      <c r="H1818" s="17"/>
    </row>
    <row r="1819">
      <c r="A1819" s="17" t="str">
        <f>IFERROR(__xludf.DUMMYFUNCTION("""COMPUTED_VALUE"""),"PhysicsWallah")</f>
        <v>PhysicsWallah</v>
      </c>
      <c r="B1819" s="17" t="str">
        <f>IFERROR(__xludf.DUMMYFUNCTION("""COMPUTED_VALUE"""),"Amit Sachdeva")</f>
        <v>Amit Sachdeva</v>
      </c>
      <c r="C1819" s="17" t="str">
        <f>IFERROR(__xludf.DUMMYFUNCTION("""COMPUTED_VALUE"""),"CFO")</f>
        <v>CFO</v>
      </c>
      <c r="D1819" s="27" t="str">
        <f>IFERROR(__xludf.DUMMYFUNCTION("""COMPUTED_VALUE"""),"https://www.linkedin.com/in/amit-sachdeva-a756537/?originalSubdomain=in")</f>
        <v>https://www.linkedin.com/in/amit-sachdeva-a756537/?originalSubdomain=in</v>
      </c>
      <c r="E1819" s="17" t="str">
        <f>IFERROR(__xludf.DUMMYFUNCTION("""COMPUTED_VALUE"""),"amit@pw.live, amit.sachdeva@pw.live, ")</f>
        <v>amit@pw.live, amit.sachdeva@pw.live, </v>
      </c>
      <c r="F1819" s="17" t="str">
        <f>IFERROR(__xludf.DUMMYFUNCTION("""COMPUTED_VALUE"""),"93934 87747   98108 32745")</f>
        <v>93934 87747   98108 32745</v>
      </c>
      <c r="G1819" s="17"/>
      <c r="H1819" s="17"/>
    </row>
    <row r="1820">
      <c r="A1820" s="17" t="str">
        <f>IFERROR(__xludf.DUMMYFUNCTION("""COMPUTED_VALUE"""),"Fractal")</f>
        <v>Fractal</v>
      </c>
      <c r="B1820" s="17" t="str">
        <f>IFERROR(__xludf.DUMMYFUNCTION("""COMPUTED_VALUE"""),"Ashwath Bhat")</f>
        <v>Ashwath Bhat</v>
      </c>
      <c r="C1820" s="17" t="str">
        <f>IFERROR(__xludf.DUMMYFUNCTION("""COMPUTED_VALUE"""),"CFO")</f>
        <v>CFO</v>
      </c>
      <c r="D1820" s="27" t="str">
        <f>IFERROR(__xludf.DUMMYFUNCTION("""COMPUTED_VALUE"""),"https://www.linkedin.com/in/ashwath-bhat-41784816/")</f>
        <v>https://www.linkedin.com/in/ashwath-bhat-41784816/</v>
      </c>
      <c r="E1820" s="17" t="str">
        <f>IFERROR(__xludf.DUMMYFUNCTION("""COMPUTED_VALUE"""),"ashwath.bhat@fractal.ai")</f>
        <v>ashwath.bhat@fractal.ai</v>
      </c>
      <c r="F1820" s="17"/>
      <c r="G1820" s="17"/>
      <c r="H1820" s="17"/>
    </row>
    <row r="1821">
      <c r="A1821" s="17" t="str">
        <f>IFERROR(__xludf.DUMMYFUNCTION("""COMPUTED_VALUE"""),"Sire")</f>
        <v>Sire</v>
      </c>
      <c r="B1821" s="17" t="str">
        <f>IFERROR(__xludf.DUMMYFUNCTION("""COMPUTED_VALUE"""),"Merijn Rieke")</f>
        <v>Merijn Rieke</v>
      </c>
      <c r="C1821" s="17" t="str">
        <f>IFERROR(__xludf.DUMMYFUNCTION("""COMPUTED_VALUE"""),"CFO")</f>
        <v>CFO</v>
      </c>
      <c r="D1821" s="27" t="str">
        <f>IFERROR(__xludf.DUMMYFUNCTION("""COMPUTED_VALUE"""),"https://www.linkedin.com/in/mrieke/?originalSubdomain=nl")</f>
        <v>https://www.linkedin.com/in/mrieke/?originalSubdomain=nl</v>
      </c>
      <c r="E1821" s="17" t="str">
        <f>IFERROR(__xludf.DUMMYFUNCTION("""COMPUTED_VALUE"""),"m.rieke@sire-search.com")</f>
        <v>m.rieke@sire-search.com</v>
      </c>
      <c r="F1821" s="17"/>
      <c r="G1821" s="17" t="str">
        <f>IFERROR(__xludf.DUMMYFUNCTION("""COMPUTED_VALUE"""),", merijnrieke@me.com")</f>
        <v>, merijnrieke@me.com</v>
      </c>
      <c r="H1821" s="17"/>
    </row>
    <row r="1822">
      <c r="A1822" s="17" t="str">
        <f>IFERROR(__xludf.DUMMYFUNCTION("""COMPUTED_VALUE"""),"Darwinbox")</f>
        <v>Darwinbox</v>
      </c>
      <c r="B1822" s="17" t="str">
        <f>IFERROR(__xludf.DUMMYFUNCTION("""COMPUTED_VALUE"""),"Rajesh Agarwal ")</f>
        <v>Rajesh Agarwal </v>
      </c>
      <c r="C1822" s="17" t="str">
        <f>IFERROR(__xludf.DUMMYFUNCTION("""COMPUTED_VALUE"""),"CFO")</f>
        <v>CFO</v>
      </c>
      <c r="D1822" s="27" t="str">
        <f>IFERROR(__xludf.DUMMYFUNCTION("""COMPUTED_VALUE"""),"https://www.linkedin.com/in/rajesh-agarwal-b844b38/?originalSubdomain=in")</f>
        <v>https://www.linkedin.com/in/rajesh-agarwal-b844b38/?originalSubdomain=in</v>
      </c>
      <c r="E1822" s="17" t="str">
        <f>IFERROR(__xludf.DUMMYFUNCTION("""COMPUTED_VALUE"""),"rajesh.agarwal@darwinbox.com")</f>
        <v>rajesh.agarwal@darwinbox.com</v>
      </c>
      <c r="F1822" s="17" t="str">
        <f>IFERROR(__xludf.DUMMYFUNCTION("""COMPUTED_VALUE"""),"9900596404")</f>
        <v>9900596404</v>
      </c>
      <c r="G1822" s="17" t="str">
        <f>IFERROR(__xludf.DUMMYFUNCTION("""COMPUTED_VALUE"""),", ag_rajesh@rediffmail.com")</f>
        <v>, ag_rajesh@rediffmail.com</v>
      </c>
      <c r="H1822" s="17"/>
    </row>
    <row r="1823">
      <c r="A1823" s="17" t="str">
        <f>IFERROR(__xludf.DUMMYFUNCTION("""COMPUTED_VALUE"""),"Acko")</f>
        <v>Acko</v>
      </c>
      <c r="B1823" s="17" t="str">
        <f>IFERROR(__xludf.DUMMYFUNCTION("""COMPUTED_VALUE"""),"Nitin Sood")</f>
        <v>Nitin Sood</v>
      </c>
      <c r="C1823" s="17" t="str">
        <f>IFERROR(__xludf.DUMMYFUNCTION("""COMPUTED_VALUE"""),"CFO")</f>
        <v>CFO</v>
      </c>
      <c r="D1823" s="27" t="str">
        <f>IFERROR(__xludf.DUMMYFUNCTION("""COMPUTED_VALUE"""),"https://www.linkedin.com/in/nitin-sood-458b5615/?originalSubdomain=in")</f>
        <v>https://www.linkedin.com/in/nitin-sood-458b5615/?originalSubdomain=in</v>
      </c>
      <c r="E1823" s="17" t="str">
        <f>IFERROR(__xludf.DUMMYFUNCTION("""COMPUTED_VALUE"""),"nitin.s@acko.com")</f>
        <v>nitin.s@acko.com</v>
      </c>
      <c r="F1823" s="17"/>
      <c r="G1823" s="17"/>
      <c r="H1823" s="17"/>
    </row>
    <row r="1824">
      <c r="A1824" s="17" t="str">
        <f>IFERROR(__xludf.DUMMYFUNCTION("""COMPUTED_VALUE"""),"Apna")</f>
        <v>Apna</v>
      </c>
      <c r="B1824" s="17" t="str">
        <f>IFERROR(__xludf.DUMMYFUNCTION("""COMPUTED_VALUE"""),"Reema Jhunjhunwala")</f>
        <v>Reema Jhunjhunwala</v>
      </c>
      <c r="C1824" s="17" t="str">
        <f>IFERROR(__xludf.DUMMYFUNCTION("""COMPUTED_VALUE"""),"Senior Director Finance ")</f>
        <v>Senior Director Finance </v>
      </c>
      <c r="D1824" s="27" t="str">
        <f>IFERROR(__xludf.DUMMYFUNCTION("""COMPUTED_VALUE"""),"https://www.linkedin.com/in/reemajhunjhunwala/?originalSubdomain=in")</f>
        <v>https://www.linkedin.com/in/reemajhunjhunwala/?originalSubdomain=in</v>
      </c>
      <c r="E1824" s="17" t="str">
        <f>IFERROR(__xludf.DUMMYFUNCTION("""COMPUTED_VALUE"""),"reema@apna.co")</f>
        <v>reema@apna.co</v>
      </c>
      <c r="F1824" s="17"/>
      <c r="G1824" s="17"/>
      <c r="H1824" s="17"/>
    </row>
    <row r="1825">
      <c r="A1825" s="17" t="str">
        <f>IFERROR(__xludf.DUMMYFUNCTION("""COMPUTED_VALUE"""),"BharatPe")</f>
        <v>BharatPe</v>
      </c>
      <c r="B1825" s="17" t="str">
        <f>IFERROR(__xludf.DUMMYFUNCTION("""COMPUTED_VALUE"""),"Nalin Negi ")</f>
        <v>Nalin Negi </v>
      </c>
      <c r="C1825" s="17" t="str">
        <f>IFERROR(__xludf.DUMMYFUNCTION("""COMPUTED_VALUE"""),"CFO")</f>
        <v>CFO</v>
      </c>
      <c r="D1825" s="27" t="str">
        <f>IFERROR(__xludf.DUMMYFUNCTION("""COMPUTED_VALUE"""),"https://www.linkedin.com/in/nalin-negi-8a9bbb3/?originalSubdomain=in")</f>
        <v>https://www.linkedin.com/in/nalin-negi-8a9bbb3/?originalSubdomain=in</v>
      </c>
      <c r="E1825" s="17" t="str">
        <f>IFERROR(__xludf.DUMMYFUNCTION("""COMPUTED_VALUE"""),"nalin@bharatpe.com")</f>
        <v>nalin@bharatpe.com</v>
      </c>
      <c r="F1825" s="17"/>
      <c r="G1825" s="17"/>
      <c r="H1825" s="17"/>
    </row>
    <row r="1826">
      <c r="A1826" s="17" t="str">
        <f>IFERROR(__xludf.DUMMYFUNCTION("""COMPUTED_VALUE"""),"BlackBuck")</f>
        <v>BlackBuck</v>
      </c>
      <c r="B1826" s="17" t="str">
        <f>IFERROR(__xludf.DUMMYFUNCTION("""COMPUTED_VALUE"""),"Satyakam Naik")</f>
        <v>Satyakam Naik</v>
      </c>
      <c r="C1826" s="17" t="str">
        <f>IFERROR(__xludf.DUMMYFUNCTION("""COMPUTED_VALUE"""),"CFO")</f>
        <v>CFO</v>
      </c>
      <c r="D1826" s="27" t="str">
        <f>IFERROR(__xludf.DUMMYFUNCTION("""COMPUTED_VALUE"""),"https://www.linkedin.com/in/satyakamgnaik/?originalSubdomain=in")</f>
        <v>https://www.linkedin.com/in/satyakamgnaik/?originalSubdomain=in</v>
      </c>
      <c r="E1826" s="17" t="str">
        <f>IFERROR(__xludf.DUMMYFUNCTION("""COMPUTED_VALUE"""),"satyakam.n@blackbuck.com")</f>
        <v>satyakam.n@blackbuck.com</v>
      </c>
      <c r="F1826" s="17"/>
      <c r="G1826" s="17"/>
      <c r="H1826" s="17"/>
    </row>
    <row r="1827">
      <c r="A1827" s="17" t="str">
        <f>IFERROR(__xludf.DUMMYFUNCTION("""COMPUTED_VALUE"""),"BrowserStack")</f>
        <v>BrowserStack</v>
      </c>
      <c r="B1827" s="17" t="str">
        <f>IFERROR(__xludf.DUMMYFUNCTION("""COMPUTED_VALUE"""),"Vikash Sureka ")</f>
        <v>Vikash Sureka </v>
      </c>
      <c r="C1827" s="17" t="str">
        <f>IFERROR(__xludf.DUMMYFUNCTION("""COMPUTED_VALUE"""),"CFO")</f>
        <v>CFO</v>
      </c>
      <c r="D1827" s="27" t="str">
        <f>IFERROR(__xludf.DUMMYFUNCTION("""COMPUTED_VALUE"""),"https://www.linkedin.com/in/vikash-sureka-3086067/?originalSubdomain=in")</f>
        <v>https://www.linkedin.com/in/vikash-sureka-3086067/?originalSubdomain=in</v>
      </c>
      <c r="E1827" s="17" t="str">
        <f>IFERROR(__xludf.DUMMYFUNCTION("""COMPUTED_VALUE"""),"vikash@browserstack.com")</f>
        <v>vikash@browserstack.com</v>
      </c>
      <c r="F1827" s="17"/>
      <c r="G1827" s="17"/>
      <c r="H1827" s="17"/>
    </row>
    <row r="1828">
      <c r="A1828" s="17" t="str">
        <f>IFERROR(__xludf.DUMMYFUNCTION("""COMPUTED_VALUE"""),"Zetwerk")</f>
        <v>Zetwerk</v>
      </c>
      <c r="B1828" s="17" t="str">
        <f>IFERROR(__xludf.DUMMYFUNCTION("""COMPUTED_VALUE""")," Pulkit Bhandari")</f>
        <v> Pulkit Bhandari</v>
      </c>
      <c r="C1828" s="17" t="str">
        <f>IFERROR(__xludf.DUMMYFUNCTION("""COMPUTED_VALUE"""),"CFO")</f>
        <v>CFO</v>
      </c>
      <c r="D1828" s="27" t="str">
        <f>IFERROR(__xludf.DUMMYFUNCTION("""COMPUTED_VALUE"""),"https://www.linkedin.com/in/pulkit-bhandari-86650b37/?originalSubdomain=in")</f>
        <v>https://www.linkedin.com/in/pulkit-bhandari-86650b37/?originalSubdomain=in</v>
      </c>
      <c r="E1828" s="17" t="str">
        <f>IFERROR(__xludf.DUMMYFUNCTION("""COMPUTED_VALUE"""),"pulkit@zensar.com")</f>
        <v>pulkit@zensar.com</v>
      </c>
      <c r="F1828" s="17"/>
      <c r="G1828" s="17"/>
      <c r="H1828" s="17"/>
    </row>
    <row r="1829">
      <c r="A1829" s="17" t="str">
        <f>IFERROR(__xludf.DUMMYFUNCTION("""COMPUTED_VALUE"""),"Zeta")</f>
        <v>Zeta</v>
      </c>
      <c r="B1829" s="17" t="str">
        <f>IFERROR(__xludf.DUMMYFUNCTION("""COMPUTED_VALUE"""),"Christopher Greiner")</f>
        <v>Christopher Greiner</v>
      </c>
      <c r="C1829" s="17" t="str">
        <f>IFERROR(__xludf.DUMMYFUNCTION("""COMPUTED_VALUE"""),"CFO")</f>
        <v>CFO</v>
      </c>
      <c r="D1829" s="27" t="str">
        <f>IFERROR(__xludf.DUMMYFUNCTION("""COMPUTED_VALUE"""),"https://www.linkedin.com/in/chrisgreiner1/")</f>
        <v>https://www.linkedin.com/in/chrisgreiner1/</v>
      </c>
      <c r="E1829" s="17" t="str">
        <f>IFERROR(__xludf.DUMMYFUNCTION("""COMPUTED_VALUE"""),"cgreiner@zetainteractive.com")</f>
        <v>cgreiner@zetainteractive.com</v>
      </c>
      <c r="F1829" s="17"/>
      <c r="G1829" s="17" t="str">
        <f>IFERROR(__xludf.DUMMYFUNCTION("""COMPUTED_VALUE"""),", chrisgreiner1@gmail.com")</f>
        <v>, chrisgreiner1@gmail.com</v>
      </c>
      <c r="H1829" s="17"/>
    </row>
    <row r="1830">
      <c r="A1830" s="17" t="str">
        <f>IFERROR(__xludf.DUMMYFUNCTION("""COMPUTED_VALUE"""),"Vedantu")</f>
        <v>Vedantu</v>
      </c>
      <c r="B1830" s="17" t="str">
        <f>IFERROR(__xludf.DUMMYFUNCTION("""COMPUTED_VALUE"""),"Pankaj Jain
")</f>
        <v>Pankaj Jain
</v>
      </c>
      <c r="C1830" s="17" t="str">
        <f>IFERROR(__xludf.DUMMYFUNCTION("""COMPUTED_VALUE"""),"CFO")</f>
        <v>CFO</v>
      </c>
      <c r="D1830" s="27" t="str">
        <f>IFERROR(__xludf.DUMMYFUNCTION("""COMPUTED_VALUE"""),"https://www.linkedin.com/in/pankaj-jain-b443211/?originalSubdomain=in")</f>
        <v>https://www.linkedin.com/in/pankaj-jain-b443211/?originalSubdomain=in</v>
      </c>
      <c r="E1830" s="17" t="str">
        <f>IFERROR(__xludf.DUMMYFUNCTION("""COMPUTED_VALUE"""),"pankaj.jain@vedantu.com")</f>
        <v>pankaj.jain@vedantu.com</v>
      </c>
      <c r="F1830" s="17"/>
      <c r="G1830" s="17"/>
      <c r="H1830" s="17"/>
    </row>
    <row r="1831">
      <c r="A1831" s="17" t="str">
        <f>IFERROR(__xludf.DUMMYFUNCTION("""COMPUTED_VALUE"""),"Spinny")</f>
        <v>Spinny</v>
      </c>
      <c r="B1831" s="17" t="str">
        <f>IFERROR(__xludf.DUMMYFUNCTION("""COMPUTED_VALUE"""),"Ravi Hans Jora")</f>
        <v>Ravi Hans Jora</v>
      </c>
      <c r="C1831" s="17" t="str">
        <f>IFERROR(__xludf.DUMMYFUNCTION("""COMPUTED_VALUE"""),"Head- Finance and Strategy")</f>
        <v>Head- Finance and Strategy</v>
      </c>
      <c r="D1831" s="27" t="str">
        <f>IFERROR(__xludf.DUMMYFUNCTION("""COMPUTED_VALUE"""),"https://www.linkedin.com/in/ravi-hans-jora-685b6151/?originalSubdomain=in")</f>
        <v>https://www.linkedin.com/in/ravi-hans-jora-685b6151/?originalSubdomain=in</v>
      </c>
      <c r="E1831" s="17" t="str">
        <f>IFERROR(__xludf.DUMMYFUNCTION("""COMPUTED_VALUE"""),"ravi.jora@spinny.com")</f>
        <v>ravi.jora@spinny.com</v>
      </c>
      <c r="F1831" s="17" t="str">
        <f>IFERROR(__xludf.DUMMYFUNCTION("""COMPUTED_VALUE"""),"954091232    90056 57117")</f>
        <v>954091232    90056 57117</v>
      </c>
      <c r="G1831" s="17" t="str">
        <f>IFERROR(__xludf.DUMMYFUNCTION("""COMPUTED_VALUE"""),", ravihansjora@gmail.com")</f>
        <v>, ravihansjora@gmail.com</v>
      </c>
      <c r="H1831" s="17"/>
    </row>
    <row r="1832">
      <c r="A1832" s="17" t="str">
        <f>IFERROR(__xludf.DUMMYFUNCTION("""COMPUTED_VALUE"""),"CarDekho")</f>
        <v>CarDekho</v>
      </c>
      <c r="B1832" s="17" t="str">
        <f>IFERROR(__xludf.DUMMYFUNCTION("""COMPUTED_VALUE"""),"Mayank Gupta")</f>
        <v>Mayank Gupta</v>
      </c>
      <c r="C1832" s="17" t="str">
        <f>IFERROR(__xludf.DUMMYFUNCTION("""COMPUTED_VALUE"""),"CFO")</f>
        <v>CFO</v>
      </c>
      <c r="D1832" s="27" t="str">
        <f>IFERROR(__xludf.DUMMYFUNCTION("""COMPUTED_VALUE"""),"https://www.linkedin.com/in/mayank1180/?originalSubdomain=in")</f>
        <v>https://www.linkedin.com/in/mayank1180/?originalSubdomain=in</v>
      </c>
      <c r="E1832" s="17" t="str">
        <f>IFERROR(__xludf.DUMMYFUNCTION("""COMPUTED_VALUE"""),"mayank.gupta@girnarsoft.com")</f>
        <v>mayank.gupta@girnarsoft.com</v>
      </c>
      <c r="F1832" s="17"/>
      <c r="G1832" s="17"/>
      <c r="H1832" s="17"/>
    </row>
    <row r="1833">
      <c r="A1833" s="17" t="str">
        <f>IFERROR(__xludf.DUMMYFUNCTION("""COMPUTED_VALUE"""),"ShareChat")</f>
        <v>ShareChat</v>
      </c>
      <c r="B1833" s="17" t="str">
        <f>IFERROR(__xludf.DUMMYFUNCTION("""COMPUTED_VALUE"""),"Manohar Charan")</f>
        <v>Manohar Charan</v>
      </c>
      <c r="C1833" s="17" t="str">
        <f>IFERROR(__xludf.DUMMYFUNCTION("""COMPUTED_VALUE"""),"CFO &amp; Co-Founder")</f>
        <v>CFO &amp; Co-Founder</v>
      </c>
      <c r="D1833" s="27" t="str">
        <f>IFERROR(__xludf.DUMMYFUNCTION("""COMPUTED_VALUE"""),"https://www.linkedin.com/in/manohar-charan/?originalSubdomain=in")</f>
        <v>https://www.linkedin.com/in/manohar-charan/?originalSubdomain=in</v>
      </c>
      <c r="E1833" s="17" t="str">
        <f>IFERROR(__xludf.DUMMYFUNCTION("""COMPUTED_VALUE"""),"charan@sharechat.com")</f>
        <v>charan@sharechat.com</v>
      </c>
      <c r="F1833" s="17"/>
      <c r="G1833" s="17" t="str">
        <f>IFERROR(__xludf.DUMMYFUNCTION("""COMPUTED_VALUE"""),", msc@sharechat.co")</f>
        <v>, msc@sharechat.co</v>
      </c>
      <c r="H1833" s="17"/>
    </row>
    <row r="1834">
      <c r="A1834" s="17" t="str">
        <f>IFERROR(__xludf.DUMMYFUNCTION("""COMPUTED_VALUE"""),"Mensa")</f>
        <v>Mensa</v>
      </c>
      <c r="B1834" s="17" t="str">
        <f>IFERROR(__xludf.DUMMYFUNCTION("""COMPUTED_VALUE"""),"Vinay Juluri")</f>
        <v>Vinay Juluri</v>
      </c>
      <c r="C1834" s="17" t="str">
        <f>IFERROR(__xludf.DUMMYFUNCTION("""COMPUTED_VALUE"""),"CFO")</f>
        <v>CFO</v>
      </c>
      <c r="D1834" s="27" t="str">
        <f>IFERROR(__xludf.DUMMYFUNCTION("""COMPUTED_VALUE"""),"https://www.linkedin.com/in/vinay-juluri-24b02555/?originalSubdomain=in")</f>
        <v>https://www.linkedin.com/in/vinay-juluri-24b02555/?originalSubdomain=in</v>
      </c>
      <c r="E1834" s="17" t="str">
        <f>IFERROR(__xludf.DUMMYFUNCTION("""COMPUTED_VALUE"""),"vinay@eloelo.in")</f>
        <v>vinay@eloelo.in</v>
      </c>
      <c r="F1834" s="17" t="str">
        <f>IFERROR(__xludf.DUMMYFUNCTION("""COMPUTED_VALUE"""),"9000010280")</f>
        <v>9000010280</v>
      </c>
      <c r="G1834" s="17"/>
      <c r="H1834" s="17"/>
    </row>
    <row r="1835">
      <c r="A1835" s="17" t="str">
        <f>IFERROR(__xludf.DUMMYFUNCTION("""COMPUTED_VALUE"""),"Urban Company")</f>
        <v>Urban Company</v>
      </c>
      <c r="B1835" s="17" t="str">
        <f>IFERROR(__xludf.DUMMYFUNCTION("""COMPUTED_VALUE"""),"Abhay Mathur
")</f>
        <v>Abhay Mathur
</v>
      </c>
      <c r="C1835" s="17" t="str">
        <f>IFERROR(__xludf.DUMMYFUNCTION("""COMPUTED_VALUE"""),"CFO")</f>
        <v>CFO</v>
      </c>
      <c r="D1835" s="27" t="str">
        <f>IFERROR(__xludf.DUMMYFUNCTION("""COMPUTED_VALUE"""),"https://www.linkedin.com/in/abhay-mathur-aba9aa5/?originalSubdomain=in")</f>
        <v>https://www.linkedin.com/in/abhay-mathur-aba9aa5/?originalSubdomain=in</v>
      </c>
      <c r="E1835" s="17" t="str">
        <f>IFERROR(__xludf.DUMMYFUNCTION("""COMPUTED_VALUE"""),"abhaymathur@urbancompany.com")</f>
        <v>abhaymathur@urbancompany.com</v>
      </c>
      <c r="F1835" s="17" t="str">
        <f>IFERROR(__xludf.DUMMYFUNCTION("""COMPUTED_VALUE"""),"95603 33979   77386 36430")</f>
        <v>95603 33979   77386 36430</v>
      </c>
      <c r="G1835" s="17"/>
      <c r="H1835" s="17"/>
    </row>
    <row r="1836">
      <c r="A1836" s="17" t="str">
        <f>IFERROR(__xludf.DUMMYFUNCTION("""COMPUTED_VALUE"""),"Eruditus")</f>
        <v>Eruditus</v>
      </c>
      <c r="B1836" s="17" t="str">
        <f>IFERROR(__xludf.DUMMYFUNCTION("""COMPUTED_VALUE"""),"Ankit Gadia ")</f>
        <v>Ankit Gadia </v>
      </c>
      <c r="C1836" s="17" t="str">
        <f>IFERROR(__xludf.DUMMYFUNCTION("""COMPUTED_VALUE"""),"CFO")</f>
        <v>CFO</v>
      </c>
      <c r="D1836" s="27" t="str">
        <f>IFERROR(__xludf.DUMMYFUNCTION("""COMPUTED_VALUE"""),"https://www.linkedin.com/in/ankit-gadia-958bb514/?originalSubdomain=in")</f>
        <v>https://www.linkedin.com/in/ankit-gadia-958bb514/?originalSubdomain=in</v>
      </c>
      <c r="E1836" s="17" t="str">
        <f>IFERROR(__xludf.DUMMYFUNCTION("""COMPUTED_VALUE"""),"ankit.gadia@emeritus.org")</f>
        <v>ankit.gadia@emeritus.org</v>
      </c>
      <c r="F1836" s="17"/>
      <c r="G1836" s="17"/>
      <c r="H1836" s="17"/>
    </row>
    <row r="1837">
      <c r="A1837" s="17" t="str">
        <f>IFERROR(__xludf.DUMMYFUNCTION("""COMPUTED_VALUE"""),"CoinDCX")</f>
        <v>CoinDCX</v>
      </c>
      <c r="B1837" s="17" t="str">
        <f>IFERROR(__xludf.DUMMYFUNCTION("""COMPUTED_VALUE"""),"Abhinav Jain Ranka")</f>
        <v>Abhinav Jain Ranka</v>
      </c>
      <c r="C1837" s="17" t="str">
        <f>IFERROR(__xludf.DUMMYFUNCTION("""COMPUTED_VALUE"""),"CFO")</f>
        <v>CFO</v>
      </c>
      <c r="D1837" s="27" t="str">
        <f>IFERROR(__xludf.DUMMYFUNCTION("""COMPUTED_VALUE"""),"https://www.linkedin.com/in/abhinavpjain/?originalSubdomain=in")</f>
        <v>https://www.linkedin.com/in/abhinavpjain/?originalSubdomain=in</v>
      </c>
      <c r="E1837" s="17" t="str">
        <f>IFERROR(__xludf.DUMMYFUNCTION("""COMPUTED_VALUE"""),"abhinavjainranka@gmail.com")</f>
        <v>abhinavjainranka@gmail.com</v>
      </c>
      <c r="F1837" s="17" t="str">
        <f>IFERROR(__xludf.DUMMYFUNCTION("""COMPUTED_VALUE""")," 95940 63393     98926 01542")</f>
        <v> 95940 63393     98926 01542</v>
      </c>
      <c r="G1837" s="17" t="str">
        <f>IFERROR(__xludf.DUMMYFUNCTION("""COMPUTED_VALUE"""),", abhinav.ranka@yahoo.com")</f>
        <v>, abhinav.ranka@yahoo.com</v>
      </c>
      <c r="H1837" s="17"/>
    </row>
    <row r="1838">
      <c r="A1838" s="17" t="str">
        <f>IFERROR(__xludf.DUMMYFUNCTION("""COMPUTED_VALUE"""),"Coinswitch")</f>
        <v>Coinswitch</v>
      </c>
      <c r="B1838" s="17" t="str">
        <f>IFERROR(__xludf.DUMMYFUNCTION("""COMPUTED_VALUE"""),"2")</f>
        <v>2</v>
      </c>
      <c r="C1838" s="17" t="str">
        <f>IFERROR(__xludf.DUMMYFUNCTION("""COMPUTED_VALUE"""),"CFO")</f>
        <v>CFO</v>
      </c>
      <c r="D1838" s="27" t="str">
        <f>IFERROR(__xludf.DUMMYFUNCTION("""COMPUTED_VALUE"""),"https://www.linkedin.com/in/siva1982/?originalSubdomain=in")</f>
        <v>https://www.linkedin.com/in/siva1982/?originalSubdomain=in</v>
      </c>
      <c r="E1838" s="17" t="str">
        <f>IFERROR(__xludf.DUMMYFUNCTION("""COMPUTED_VALUE"""),"siva@coinswitch.co")</f>
        <v>siva@coinswitch.co</v>
      </c>
      <c r="F1838" s="17" t="str">
        <f>IFERROR(__xludf.DUMMYFUNCTION("""COMPUTED_VALUE"""),"82970 09191  99209 42194")</f>
        <v>82970 09191  99209 42194</v>
      </c>
      <c r="G1838" s="17" t="str">
        <f>IFERROR(__xludf.DUMMYFUNCTION("""COMPUTED_VALUE"""),", siva1982@gmail.com")</f>
        <v>, siva1982@gmail.com</v>
      </c>
      <c r="H1838" s="17"/>
    </row>
    <row r="1839">
      <c r="A1839" s="17" t="str">
        <f>IFERROR(__xludf.DUMMYFUNCTION("""COMPUTED_VALUE"""),"GlobalBees")</f>
        <v>GlobalBees</v>
      </c>
      <c r="B1839" s="17" t="str">
        <f>IFERROR(__xludf.DUMMYFUNCTION("""COMPUTED_VALUE"""),"Rohit Goyal")</f>
        <v>Rohit Goyal</v>
      </c>
      <c r="C1839" s="17" t="str">
        <f>IFERROR(__xludf.DUMMYFUNCTION("""COMPUTED_VALUE"""),"CFO")</f>
        <v>CFO</v>
      </c>
      <c r="D1839" s="27" t="str">
        <f>IFERROR(__xludf.DUMMYFUNCTION("""COMPUTED_VALUE"""),"https://www.linkedin.com/in/rohit-goyal1/?originalSubdomain=in")</f>
        <v>https://www.linkedin.com/in/rohit-goyal1/?originalSubdomain=in</v>
      </c>
      <c r="E1839" s="17" t="str">
        <f>IFERROR(__xludf.DUMMYFUNCTION("""COMPUTED_VALUE"""),"rohit@globalbees.com")</f>
        <v>rohit@globalbees.com</v>
      </c>
      <c r="F1839" s="17" t="str">
        <f>IFERROR(__xludf.DUMMYFUNCTION("""COMPUTED_VALUE"""),"9717747672")</f>
        <v>9717747672</v>
      </c>
      <c r="G1839" s="17" t="str">
        <f>IFERROR(__xludf.DUMMYFUNCTION("""COMPUTED_VALUE"""),", trijalrohitgoyal@gmail.com")</f>
        <v>, trijalrohitgoyal@gmail.com</v>
      </c>
      <c r="H1839" s="17"/>
    </row>
    <row r="1840">
      <c r="A1840" s="17" t="str">
        <f>IFERROR(__xludf.DUMMYFUNCTION("""COMPUTED_VALUE"""),"Slice")</f>
        <v>Slice</v>
      </c>
      <c r="B1840" s="17" t="str">
        <f>IFERROR(__xludf.DUMMYFUNCTION("""COMPUTED_VALUE"""),"Sudhesh Chandrasekar")</f>
        <v>Sudhesh Chandrasekar</v>
      </c>
      <c r="C1840" s="17" t="str">
        <f>IFERROR(__xludf.DUMMYFUNCTION("""COMPUTED_VALUE"""),"CFO")</f>
        <v>CFO</v>
      </c>
      <c r="D1840" s="27" t="str">
        <f>IFERROR(__xludf.DUMMYFUNCTION("""COMPUTED_VALUE"""),"https://www.linkedin.com/in/sudhesh-chandrasekar/?originalSubdomain=in")</f>
        <v>https://www.linkedin.com/in/sudhesh-chandrasekar/?originalSubdomain=in</v>
      </c>
      <c r="E1840" s="17" t="str">
        <f>IFERROR(__xludf.DUMMYFUNCTION("""COMPUTED_VALUE"""),"sudhesh.chandrasekar@finbox.in")</f>
        <v>sudhesh.chandrasekar@finbox.in</v>
      </c>
      <c r="F1840" s="17" t="str">
        <f>IFERROR(__xludf.DUMMYFUNCTION("""COMPUTED_VALUE"""),"85274 94360, 95433 85489")</f>
        <v>85274 94360, 95433 85489</v>
      </c>
      <c r="G1840" s="17" t="str">
        <f>IFERROR(__xludf.DUMMYFUNCTION("""COMPUTED_VALUE"""),", sudhesh1988@gmail.com")</f>
        <v>, sudhesh1988@gmail.com</v>
      </c>
      <c r="H1840" s="17"/>
    </row>
    <row r="1841">
      <c r="A1841" s="17" t="str">
        <f>IFERROR(__xludf.DUMMYFUNCTION("""COMPUTED_VALUE"""),"Pristyn Care")</f>
        <v>Pristyn Care</v>
      </c>
      <c r="B1841" s="17" t="str">
        <f>IFERROR(__xludf.DUMMYFUNCTION("""COMPUTED_VALUE"""),"Prabhat Agarwal ")</f>
        <v>Prabhat Agarwal </v>
      </c>
      <c r="C1841" s="17"/>
      <c r="D1841" s="27" t="str">
        <f>IFERROR(__xludf.DUMMYFUNCTION("""COMPUTED_VALUE"""),"https://www.linkedin.com/in/prabhat-agarwal/?originalSubdomain=in")</f>
        <v>https://www.linkedin.com/in/prabhat-agarwal/?originalSubdomain=in</v>
      </c>
      <c r="E1841" s="17" t="str">
        <f>IFERROR(__xludf.DUMMYFUNCTION("""COMPUTED_VALUE"""),"prabhat.agarwal@insurancedekho.com")</f>
        <v>prabhat.agarwal@insurancedekho.com</v>
      </c>
      <c r="F1841" s="17" t="str">
        <f>IFERROR(__xludf.DUMMYFUNCTION("""COMPUTED_VALUE"""),"8130279922")</f>
        <v>8130279922</v>
      </c>
      <c r="G1841" s="17" t="str">
        <f>IFERROR(__xludf.DUMMYFUNCTION("""COMPUTED_VALUE"""),"prabhat2911@gmail.com, ")</f>
        <v>prabhat2911@gmail.com, </v>
      </c>
      <c r="H1841" s="17"/>
    </row>
    <row r="1842">
      <c r="A1842" s="17" t="str">
        <f>IFERROR(__xludf.DUMMYFUNCTION("""COMPUTED_VALUE"""),"Innovaccer")</f>
        <v>Innovaccer</v>
      </c>
      <c r="B1842" s="17" t="str">
        <f>IFERROR(__xludf.DUMMYFUNCTION("""COMPUTED_VALUE"""),"Scott B.")</f>
        <v>Scott B.</v>
      </c>
      <c r="C1842" s="17" t="str">
        <f>IFERROR(__xludf.DUMMYFUNCTION("""COMPUTED_VALUE"""),"CFO")</f>
        <v>CFO</v>
      </c>
      <c r="D1842" s="27" t="str">
        <f>IFERROR(__xludf.DUMMYFUNCTION("""COMPUTED_VALUE"""),"https://www.linkedin.com/in/scott-b-4513915/")</f>
        <v>https://www.linkedin.com/in/scott-b-4513915/</v>
      </c>
      <c r="E1842" s="17" t="str">
        <f>IFERROR(__xludf.DUMMYFUNCTION("""COMPUTED_VALUE"""),"scott.bruckner@plexus.com")</f>
        <v>scott.bruckner@plexus.com</v>
      </c>
      <c r="F1842" s="17" t="str">
        <f>IFERROR(__xludf.DUMMYFUNCTION("""COMPUTED_VALUE"""),"1 978-688-6706")</f>
        <v>1 978-688-6706</v>
      </c>
      <c r="G1842" s="17" t="str">
        <f>IFERROR(__xludf.DUMMYFUNCTION("""COMPUTED_VALUE"""),", sbruckner1@gmail.com")</f>
        <v>, sbruckner1@gmail.com</v>
      </c>
      <c r="H1842" s="17"/>
    </row>
    <row r="1843">
      <c r="A1843" s="17" t="str">
        <f>IFERROR(__xludf.DUMMYFUNCTION("""COMPUTED_VALUE"""),"Licious")</f>
        <v>Licious</v>
      </c>
      <c r="B1843" s="17" t="str">
        <f>IFERROR(__xludf.DUMMYFUNCTION("""COMPUTED_VALUE"""),"Karishma Gupta")</f>
        <v>Karishma Gupta</v>
      </c>
      <c r="C1843" s="17" t="str">
        <f>IFERROR(__xludf.DUMMYFUNCTION("""COMPUTED_VALUE"""),"CFO")</f>
        <v>CFO</v>
      </c>
      <c r="D1843" s="27" t="str">
        <f>IFERROR(__xludf.DUMMYFUNCTION("""COMPUTED_VALUE"""),"https://www.linkedin.com/in/karishmagupta6/")</f>
        <v>https://www.linkedin.com/in/karishmagupta6/</v>
      </c>
      <c r="E1843" s="17"/>
      <c r="F1843" s="17"/>
      <c r="G1843" s="17"/>
      <c r="H1843" s="17"/>
    </row>
    <row r="1844">
      <c r="A1844" s="17" t="str">
        <f>IFERROR(__xludf.DUMMYFUNCTION("""COMPUTED_VALUE"""),"MindTickle")</f>
        <v>MindTickle</v>
      </c>
      <c r="B1844" s="17" t="str">
        <f>IFERROR(__xludf.DUMMYFUNCTION("""COMPUTED_VALUE"""),"Ankur Verma ")</f>
        <v>Ankur Verma </v>
      </c>
      <c r="C1844" s="17" t="str">
        <f>IFERROR(__xludf.DUMMYFUNCTION("""COMPUTED_VALUE"""),"CFO")</f>
        <v>CFO</v>
      </c>
      <c r="D1844" s="27" t="str">
        <f>IFERROR(__xludf.DUMMYFUNCTION("""COMPUTED_VALUE"""),"https://www.linkedin.com/in/ankver/")</f>
        <v>https://www.linkedin.com/in/ankver/</v>
      </c>
      <c r="E1844" s="17" t="str">
        <f>IFERROR(__xludf.DUMMYFUNCTION("""COMPUTED_VALUE"""),"ankur.verma@mindtickle.com")</f>
        <v>ankur.verma@mindtickle.com</v>
      </c>
      <c r="F1844" s="17"/>
      <c r="G1844" s="17"/>
      <c r="H1844" s="17"/>
    </row>
    <row r="1845">
      <c r="A1845" s="17" t="str">
        <f>IFERROR(__xludf.DUMMYFUNCTION("""COMPUTED_VALUE"""),"MPL")</f>
        <v>MPL</v>
      </c>
      <c r="B1845" s="17"/>
      <c r="C1845" s="17" t="str">
        <f>IFERROR(__xludf.DUMMYFUNCTION("""COMPUTED_VALUE"""),"CFO")</f>
        <v>CFO</v>
      </c>
      <c r="D1845" s="17"/>
      <c r="E1845" s="17"/>
      <c r="F1845" s="17"/>
      <c r="G1845" s="17"/>
      <c r="H1845" s="17"/>
    </row>
    <row r="1846">
      <c r="A1846" s="17" t="str">
        <f>IFERROR(__xludf.DUMMYFUNCTION("""COMPUTED_VALUE"""),"Meesho")</f>
        <v>Meesho</v>
      </c>
      <c r="B1846" s="17" t="str">
        <f>IFERROR(__xludf.DUMMYFUNCTION("""COMPUTED_VALUE"""),"Dhiresh Bansal")</f>
        <v>Dhiresh Bansal</v>
      </c>
      <c r="C1846" s="17" t="str">
        <f>IFERROR(__xludf.DUMMYFUNCTION("""COMPUTED_VALUE"""),"CFO")</f>
        <v>CFO</v>
      </c>
      <c r="D1846" s="27" t="str">
        <f>IFERROR(__xludf.DUMMYFUNCTION("""COMPUTED_VALUE"""),"https://www.linkedin.com/in/dhiresh/?originalSubdomain=in")</f>
        <v>https://www.linkedin.com/in/dhiresh/?originalSubdomain=in</v>
      </c>
      <c r="E1846" s="17" t="str">
        <f>IFERROR(__xludf.DUMMYFUNCTION("""COMPUTED_VALUE"""),"dhiresh.bansal@meesho.com")</f>
        <v>dhiresh.bansal@meesho.com</v>
      </c>
      <c r="F1846" s="17" t="str">
        <f>IFERROR(__xludf.DUMMYFUNCTION("""COMPUTED_VALUE"""),"983356900")</f>
        <v>983356900</v>
      </c>
      <c r="G1846" s="17"/>
      <c r="H1846" s="17"/>
    </row>
    <row r="1847">
      <c r="A1847" s="17" t="str">
        <f>IFERROR(__xludf.DUMMYFUNCTION("""COMPUTED_VALUE"""),"OfBusiness")</f>
        <v>OfBusiness</v>
      </c>
      <c r="B1847" s="17" t="str">
        <f>IFERROR(__xludf.DUMMYFUNCTION("""COMPUTED_VALUE"""),"Deepak Jajodia ")</f>
        <v>Deepak Jajodia </v>
      </c>
      <c r="C1847" s="17" t="str">
        <f>IFERROR(__xludf.DUMMYFUNCTION("""COMPUTED_VALUE"""),"CFO")</f>
        <v>CFO</v>
      </c>
      <c r="D1847" s="27" t="str">
        <f>IFERROR(__xludf.DUMMYFUNCTION("""COMPUTED_VALUE"""),"https://www.linkedin.com/in/deepak-jajodia-109b186/?originalSubdomain=in")</f>
        <v>https://www.linkedin.com/in/deepak-jajodia-109b186/?originalSubdomain=in</v>
      </c>
      <c r="E1847" s="17" t="str">
        <f>IFERROR(__xludf.DUMMYFUNCTION("""COMPUTED_VALUE"""),"deepak.jajodia@ofbusiness.com")</f>
        <v>deepak.jajodia@ofbusiness.com</v>
      </c>
      <c r="F1847" s="17" t="str">
        <f>IFERROR(__xludf.DUMMYFUNCTION("""COMPUTED_VALUE"""),"9818889826")</f>
        <v>9818889826</v>
      </c>
      <c r="G1847" s="17"/>
      <c r="H1847" s="17"/>
    </row>
    <row r="1848">
      <c r="A1848" s="17" t="str">
        <f>IFERROR(__xludf.DUMMYFUNCTION("""COMPUTED_VALUE"""),"NoBroker")</f>
        <v>NoBroker</v>
      </c>
      <c r="B1848" s="17" t="str">
        <f>IFERROR(__xludf.DUMMYFUNCTION("""COMPUTED_VALUE"""),"Ashish Shand")</f>
        <v>Ashish Shand</v>
      </c>
      <c r="C1848" s="17" t="str">
        <f>IFERROR(__xludf.DUMMYFUNCTION("""COMPUTED_VALUE"""),"CFO")</f>
        <v>CFO</v>
      </c>
      <c r="D1848" s="27" t="str">
        <f>IFERROR(__xludf.DUMMYFUNCTION("""COMPUTED_VALUE"""),"https://www.linkedin.com/in/ashish-shand-178b24117/?originalSubdomain=in")</f>
        <v>https://www.linkedin.com/in/ashish-shand-178b24117/?originalSubdomain=in</v>
      </c>
      <c r="E1848" s="17" t="str">
        <f>IFERROR(__xludf.DUMMYFUNCTION("""COMPUTED_VALUE"""),"ashish.shand@nobroker.in")</f>
        <v>ashish.shand@nobroker.in</v>
      </c>
      <c r="F1848" s="17" t="str">
        <f>IFERROR(__xludf.DUMMYFUNCTION("""COMPUTED_VALUE"""),"9902078654")</f>
        <v>9902078654</v>
      </c>
      <c r="G1848" s="17"/>
      <c r="H1848" s="17"/>
    </row>
    <row r="1849">
      <c r="A1849" s="17" t="str">
        <f>IFERROR(__xludf.DUMMYFUNCTION("""COMPUTED_VALUE"""),"Mamaearth")</f>
        <v>Mamaearth</v>
      </c>
      <c r="B1849" s="17" t="str">
        <f>IFERROR(__xludf.DUMMYFUNCTION("""COMPUTED_VALUE"""),"Ramanpreet Sohi")</f>
        <v>Ramanpreet Sohi</v>
      </c>
      <c r="C1849" s="17" t="str">
        <f>IFERROR(__xludf.DUMMYFUNCTION("""COMPUTED_VALUE"""),"CFO")</f>
        <v>CFO</v>
      </c>
      <c r="D1849" s="27" t="str">
        <f>IFERROR(__xludf.DUMMYFUNCTION("""COMPUTED_VALUE"""),"https://www.linkedin.com/in/ramanpreet-sohi-1635328/?originalSubdomain=in")</f>
        <v>https://www.linkedin.com/in/ramanpreet-sohi-1635328/?originalSubdomain=in</v>
      </c>
      <c r="E1849" s="17" t="str">
        <f>IFERROR(__xludf.DUMMYFUNCTION("""COMPUTED_VALUE"""),"ramanpreet.sohi@religare.in")</f>
        <v>ramanpreet.sohi@religare.in</v>
      </c>
      <c r="F1849" s="17" t="str">
        <f>IFERROR(__xludf.DUMMYFUNCTION("""COMPUTED_VALUE"""),"98187 07285")</f>
        <v>98187 07285</v>
      </c>
      <c r="G1849" s="17" t="str">
        <f>IFERROR(__xludf.DUMMYFUNCTION("""COMPUTED_VALUE"""),", rony_sohi@yahoo.co.in")</f>
        <v>, rony_sohi@yahoo.co.in</v>
      </c>
      <c r="H1849" s="17"/>
    </row>
    <row r="1850">
      <c r="A1850" s="17" t="str">
        <f>IFERROR(__xludf.DUMMYFUNCTION("""COMPUTED_VALUE"""),"Gupshup")</f>
        <v>Gupshup</v>
      </c>
      <c r="B1850" s="17" t="str">
        <f>IFERROR(__xludf.DUMMYFUNCTION("""COMPUTED_VALUE"""),"Amit Shrivastav ")</f>
        <v>Amit Shrivastav </v>
      </c>
      <c r="C1850" s="17" t="str">
        <f>IFERROR(__xludf.DUMMYFUNCTION("""COMPUTED_VALUE"""),"CFO")</f>
        <v>CFO</v>
      </c>
      <c r="D1850" s="27" t="str">
        <f>IFERROR(__xludf.DUMMYFUNCTION("""COMPUTED_VALUE"""),"https://www.linkedin.com/in/amit-shrivastav-50763a201/?originalSubdomain=in")</f>
        <v>https://www.linkedin.com/in/amit-shrivastav-50763a201/?originalSubdomain=in</v>
      </c>
      <c r="E1850" s="17" t="str">
        <f>IFERROR(__xludf.DUMMYFUNCTION("""COMPUTED_VALUE"""),"ashrivastav@gupshup.io")</f>
        <v>ashrivastav@gupshup.io</v>
      </c>
      <c r="F1850" s="17"/>
      <c r="G1850" s="17"/>
      <c r="H1850" s="17"/>
    </row>
    <row r="1851">
      <c r="A1851" s="17" t="str">
        <f>IFERROR(__xludf.DUMMYFUNCTION("""COMPUTED_VALUE"""),"Groww")</f>
        <v>Groww</v>
      </c>
      <c r="B1851" s="17" t="str">
        <f>IFERROR(__xludf.DUMMYFUNCTION("""COMPUTED_VALUE"""),"Ishan Bansal")</f>
        <v>Ishan Bansal</v>
      </c>
      <c r="C1851" s="17" t="str">
        <f>IFERROR(__xludf.DUMMYFUNCTION("""COMPUTED_VALUE"""),"CFO")</f>
        <v>CFO</v>
      </c>
      <c r="D1851" s="27" t="str">
        <f>IFERROR(__xludf.DUMMYFUNCTION("""COMPUTED_VALUE"""),"https://www.linkedin.com/in/ishan-bansal-8678b216/?originalSubdomain=in")</f>
        <v>https://www.linkedin.com/in/ishan-bansal-8678b216/?originalSubdomain=in</v>
      </c>
      <c r="E1851" s="17" t="str">
        <f>IFERROR(__xludf.DUMMYFUNCTION("""COMPUTED_VALUE"""),"ishan.bansal@groww.in")</f>
        <v>ishan.bansal@groww.in</v>
      </c>
      <c r="F1851" s="17"/>
      <c r="G1851" s="17"/>
      <c r="H1851" s="17"/>
    </row>
    <row r="1852">
      <c r="A1852" s="17" t="str">
        <f>IFERROR(__xludf.DUMMYFUNCTION("""COMPUTED_VALUE"""),"Moglix")</f>
        <v>Moglix</v>
      </c>
      <c r="B1852" s="17" t="str">
        <f>IFERROR(__xludf.DUMMYFUNCTION("""COMPUTED_VALUE"""),"Sanjeev Arora")</f>
        <v>Sanjeev Arora</v>
      </c>
      <c r="C1852" s="17" t="str">
        <f>IFERROR(__xludf.DUMMYFUNCTION("""COMPUTED_VALUE"""),"CFO")</f>
        <v>CFO</v>
      </c>
      <c r="D1852" s="27" t="str">
        <f>IFERROR(__xludf.DUMMYFUNCTION("""COMPUTED_VALUE"""),"https://www.linkedin.com/in/sanjeev-arora-2038b812/")</f>
        <v>https://www.linkedin.com/in/sanjeev-arora-2038b812/</v>
      </c>
      <c r="E1852" s="17" t="str">
        <f>IFERROR(__xludf.DUMMYFUNCTION("""COMPUTED_VALUE"""),"sanjeev.arora@moglix.com")</f>
        <v>sanjeev.arora@moglix.com</v>
      </c>
      <c r="F1852" s="17"/>
      <c r="G1852" s="17"/>
      <c r="H1852" s="17"/>
    </row>
    <row r="1853">
      <c r="A1853" s="17" t="str">
        <f>IFERROR(__xludf.DUMMYFUNCTION("""COMPUTED_VALUE"""),"Infra.Market")</f>
        <v>Infra.Market</v>
      </c>
      <c r="B1853" s="17" t="str">
        <f>IFERROR(__xludf.DUMMYFUNCTION("""COMPUTED_VALUE"""),"Manish Porwal ")</f>
        <v>Manish Porwal </v>
      </c>
      <c r="C1853" s="17" t="str">
        <f>IFERROR(__xludf.DUMMYFUNCTION("""COMPUTED_VALUE"""),"CFO")</f>
        <v>CFO</v>
      </c>
      <c r="D1853" s="27" t="str">
        <f>IFERROR(__xludf.DUMMYFUNCTION("""COMPUTED_VALUE"""),"https://www.linkedin.com/in/ca-manish-porwal-363ba74/")</f>
        <v>https://www.linkedin.com/in/ca-manish-porwal-363ba74/</v>
      </c>
      <c r="E1853" s="17" t="str">
        <f>IFERROR(__xludf.DUMMYFUNCTION("""COMPUTED_VALUE"""),"manish@infra.market, manish.porwal@infra.market")</f>
        <v>manish@infra.market, manish.porwal@infra.market</v>
      </c>
      <c r="F1853" s="17" t="str">
        <f>IFERROR(__xludf.DUMMYFUNCTION("""COMPUTED_VALUE""")," 98215 10827, +91 88793 50107")</f>
        <v> 98215 10827, +91 88793 50107</v>
      </c>
      <c r="G1853" s="17"/>
      <c r="H1853" s="17"/>
    </row>
    <row r="1854">
      <c r="A1854" s="17" t="str">
        <f>IFERROR(__xludf.DUMMYFUNCTION("""COMPUTED_VALUE"""),"Rebel Foods")</f>
        <v>Rebel Foods</v>
      </c>
      <c r="B1854" s="17" t="str">
        <f>IFERROR(__xludf.DUMMYFUNCTION("""COMPUTED_VALUE"""),"Piyush Kakkad ")</f>
        <v>Piyush Kakkad </v>
      </c>
      <c r="C1854" s="17" t="str">
        <f>IFERROR(__xludf.DUMMYFUNCTION("""COMPUTED_VALUE"""),"CFO")</f>
        <v>CFO</v>
      </c>
      <c r="D1854" s="27" t="str">
        <f>IFERROR(__xludf.DUMMYFUNCTION("""COMPUTED_VALUE"""),"https://www.linkedin.com/in/piyush-kakkad-b991a2a1/?originalSubdomain=in")</f>
        <v>https://www.linkedin.com/in/piyush-kakkad-b991a2a1/?originalSubdomain=in</v>
      </c>
      <c r="E1854" s="17" t="str">
        <f>IFERROR(__xludf.DUMMYFUNCTION("""COMPUTED_VALUE"""),"piyush.kakkad@rebelfoods.com")</f>
        <v>piyush.kakkad@rebelfoods.com</v>
      </c>
      <c r="F1854" s="17" t="str">
        <f>IFERROR(__xludf.DUMMYFUNCTION("""COMPUTED_VALUE"""),"9811213131")</f>
        <v>9811213131</v>
      </c>
      <c r="G1854" s="17" t="str">
        <f>IFERROR(__xludf.DUMMYFUNCTION("""COMPUTED_VALUE"""),", piyush.kakkad@rivigo.com, piyush.kakkad2@gmail.com")</f>
        <v>, piyush.kakkad@rivigo.com, piyush.kakkad2@gmail.com</v>
      </c>
      <c r="H1854" s="17"/>
    </row>
    <row r="1855">
      <c r="A1855" s="17" t="str">
        <f>IFERROR(__xludf.DUMMYFUNCTION("""COMPUTED_VALUE"""),"Blinkit")</f>
        <v>Blinkit</v>
      </c>
      <c r="B1855" s="17" t="str">
        <f>IFERROR(__xludf.DUMMYFUNCTION("""COMPUTED_VALUE"""),"Vipin Kapooria")</f>
        <v>Vipin Kapooria</v>
      </c>
      <c r="C1855" s="17" t="str">
        <f>IFERROR(__xludf.DUMMYFUNCTION("""COMPUTED_VALUE"""),"CFO")</f>
        <v>CFO</v>
      </c>
      <c r="D1855" s="17" t="str">
        <f>IFERROR(__xludf.DUMMYFUNCTION("""COMPUTED_VALUE"""),"(28) Vipin Kapooria | LinkedIn")</f>
        <v>(28) Vipin Kapooria | LinkedIn</v>
      </c>
      <c r="E1855" s="17" t="str">
        <f>IFERROR(__xludf.DUMMYFUNCTION("""COMPUTED_VALUE"""),"vipin.kapooria@grofers.com")</f>
        <v>vipin.kapooria@grofers.com</v>
      </c>
      <c r="F1855" s="17" t="str">
        <f>IFERROR(__xludf.DUMMYFUNCTION("""COMPUTED_VALUE"""),"95559 77401")</f>
        <v>95559 77401</v>
      </c>
      <c r="G1855" s="17" t="str">
        <f>IFERROR(__xludf.DUMMYFUNCTION("""COMPUTED_VALUE"""),", vipin.kapooria@gmail.com")</f>
        <v>, vipin.kapooria@gmail.com</v>
      </c>
      <c r="H1855" s="17"/>
    </row>
    <row r="1856">
      <c r="A1856" s="17" t="str">
        <f>IFERROR(__xludf.DUMMYFUNCTION("""COMPUTED_VALUE"""),"Cars24")</f>
        <v>Cars24</v>
      </c>
      <c r="B1856" s="17" t="str">
        <f>IFERROR(__xludf.DUMMYFUNCTION("""COMPUTED_VALUE"""),"Shivanshu Makkar")</f>
        <v>Shivanshu Makkar</v>
      </c>
      <c r="C1856" s="17" t="str">
        <f>IFERROR(__xludf.DUMMYFUNCTION("""COMPUTED_VALUE"""),"CFO")</f>
        <v>CFO</v>
      </c>
      <c r="D1856" s="27" t="str">
        <f>IFERROR(__xludf.DUMMYFUNCTION("""COMPUTED_VALUE"""),"https://www.linkedin.com/in/shivanshumakkar/?originalSubdomain=in")</f>
        <v>https://www.linkedin.com/in/shivanshumakkar/?originalSubdomain=in</v>
      </c>
      <c r="E1856" s="17" t="str">
        <f>IFERROR(__xludf.DUMMYFUNCTION("""COMPUTED_VALUE"""),"shivanshu.makkar@cars24.com")</f>
        <v>shivanshu.makkar@cars24.com</v>
      </c>
      <c r="F1856" s="17" t="str">
        <f>IFERROR(__xludf.DUMMYFUNCTION("""COMPUTED_VALUE"""),"9999568876")</f>
        <v>9999568876</v>
      </c>
      <c r="G1856" s="17" t="str">
        <f>IFERROR(__xludf.DUMMYFUNCTION("""COMPUTED_VALUE"""),", shivanshumakkar@gmail.com")</f>
        <v>, shivanshumakkar@gmail.com</v>
      </c>
      <c r="H1856" s="17"/>
    </row>
    <row r="1857">
      <c r="A1857" s="17" t="str">
        <f>IFERROR(__xludf.DUMMYFUNCTION("""COMPUTED_VALUE"""),"DailyHunt")</f>
        <v>DailyHunt</v>
      </c>
      <c r="B1857" s="17" t="str">
        <f>IFERROR(__xludf.DUMMYFUNCTION("""COMPUTED_VALUE"""),"Prakashan Manikoth")</f>
        <v>Prakashan Manikoth</v>
      </c>
      <c r="C1857" s="17" t="str">
        <f>IFERROR(__xludf.DUMMYFUNCTION("""COMPUTED_VALUE"""),"CFO")</f>
        <v>CFO</v>
      </c>
      <c r="D1857" s="27" t="str">
        <f>IFERROR(__xludf.DUMMYFUNCTION("""COMPUTED_VALUE"""),"https://www.linkedin.com/in/prakashan-manikoth/")</f>
        <v>https://www.linkedin.com/in/prakashan-manikoth/</v>
      </c>
      <c r="E1857" s="17" t="str">
        <f>IFERROR(__xludf.DUMMYFUNCTION("""COMPUTED_VALUE"""),"prakashan.manikoth@verse.in, prakashan.manikoth@leadsquared.com")</f>
        <v>prakashan.manikoth@verse.in, prakashan.manikoth@leadsquared.com</v>
      </c>
      <c r="F1857" s="17"/>
      <c r="G1857" s="17"/>
      <c r="H1857" s="17"/>
    </row>
    <row r="1858">
      <c r="A1858" s="17" t="str">
        <f>IFERROR(__xludf.DUMMYFUNCTION("""COMPUTED_VALUE"""),"FirstCry")</f>
        <v>FirstCry</v>
      </c>
      <c r="B1858" s="17" t="str">
        <f>IFERROR(__xludf.DUMMYFUNCTION("""COMPUTED_VALUE"""),"Gautam Sharma
")</f>
        <v>Gautam Sharma
</v>
      </c>
      <c r="C1858" s="17" t="str">
        <f>IFERROR(__xludf.DUMMYFUNCTION("""COMPUTED_VALUE"""),"CFO")</f>
        <v>CFO</v>
      </c>
      <c r="D1858" s="27" t="str">
        <f>IFERROR(__xludf.DUMMYFUNCTION("""COMPUTED_VALUE"""),"https://www.linkedin.com/in/cagautamsharma/?originalSubdomain=in")</f>
        <v>https://www.linkedin.com/in/cagautamsharma/?originalSubdomain=in</v>
      </c>
      <c r="E1858" s="17" t="str">
        <f>IFERROR(__xludf.DUMMYFUNCTION("""COMPUTED_VALUE"""),"gautam@firstcry.com")</f>
        <v>gautam@firstcry.com</v>
      </c>
      <c r="F1858" s="17" t="str">
        <f>IFERROR(__xludf.DUMMYFUNCTION("""COMPUTED_VALUE"""),"85520 01919")</f>
        <v>85520 01919</v>
      </c>
      <c r="G1858" s="17"/>
      <c r="H1858" s="17"/>
    </row>
    <row r="1859">
      <c r="A1859" s="17" t="str">
        <f>IFERROR(__xludf.DUMMYFUNCTION("""COMPUTED_VALUE"""),"Glance")</f>
        <v>Glance</v>
      </c>
      <c r="B1859" s="17" t="str">
        <f>IFERROR(__xludf.DUMMYFUNCTION("""COMPUTED_VALUE"""),"Ranjana Auti
")</f>
        <v>Ranjana Auti
</v>
      </c>
      <c r="C1859" s="17" t="str">
        <f>IFERROR(__xludf.DUMMYFUNCTION("""COMPUTED_VALUE"""),"CFO")</f>
        <v>CFO</v>
      </c>
      <c r="D1859" s="17"/>
      <c r="E1859" s="17"/>
      <c r="F1859" s="17"/>
      <c r="G1859" s="17"/>
      <c r="H1859" s="17"/>
    </row>
    <row r="1860">
      <c r="A1860" s="17" t="str">
        <f>IFERROR(__xludf.DUMMYFUNCTION("""COMPUTED_VALUE"""),"Nykaa")</f>
        <v>Nykaa</v>
      </c>
      <c r="B1860" s="17" t="str">
        <f>IFERROR(__xludf.DUMMYFUNCTION("""COMPUTED_VALUE"""),"Ganesh P ")</f>
        <v>Ganesh P </v>
      </c>
      <c r="C1860" s="17" t="str">
        <f>IFERROR(__xludf.DUMMYFUNCTION("""COMPUTED_VALUE"""),"CFO")</f>
        <v>CFO</v>
      </c>
      <c r="D1860" s="27" t="str">
        <f>IFERROR(__xludf.DUMMYFUNCTION("""COMPUTED_VALUE"""),"https://www.linkedin.com/in/pganesh1/?originalSubdomain=in")</f>
        <v>https://www.linkedin.com/in/pganesh1/?originalSubdomain=in</v>
      </c>
      <c r="E1860" s="17" t="str">
        <f>IFERROR(__xludf.DUMMYFUNCTION("""COMPUTED_VALUE"""),"pganesh1971@yahoo.co.in")</f>
        <v>pganesh1971@yahoo.co.in</v>
      </c>
      <c r="F1860" s="17"/>
      <c r="G1860" s="17"/>
      <c r="H1860" s="17"/>
    </row>
    <row r="1861">
      <c r="A1861" s="17" t="str">
        <f>IFERROR(__xludf.DUMMYFUNCTION("""COMPUTED_VALUE"""),"Pine Labs")</f>
        <v>Pine Labs</v>
      </c>
      <c r="B1861" s="17" t="str">
        <f>IFERROR(__xludf.DUMMYFUNCTION("""COMPUTED_VALUE"""),"Sameer Kamath")</f>
        <v>Sameer Kamath</v>
      </c>
      <c r="C1861" s="17" t="str">
        <f>IFERROR(__xludf.DUMMYFUNCTION("""COMPUTED_VALUE"""),"CFO")</f>
        <v>CFO</v>
      </c>
      <c r="D1861" s="27" t="str">
        <f>IFERROR(__xludf.DUMMYFUNCTION("""COMPUTED_VALUE"""),"https://www.linkedin.com/in/sameer-kamath-1561077/?originalSubdomain=in")</f>
        <v>https://www.linkedin.com/in/sameer-kamath-1561077/?originalSubdomain=in</v>
      </c>
      <c r="E1861" s="17" t="str">
        <f>IFERROR(__xludf.DUMMYFUNCTION("""COMPUTED_VALUE"""),"sameer.kamath@pinelabs.com")</f>
        <v>sameer.kamath@pinelabs.com</v>
      </c>
      <c r="F1861" s="17"/>
      <c r="G1861" s="17"/>
      <c r="H1861" s="17"/>
    </row>
    <row r="1862">
      <c r="A1862" s="17" t="str">
        <f>IFERROR(__xludf.DUMMYFUNCTION("""COMPUTED_VALUE"""),"Zerodha")</f>
        <v>Zerodha</v>
      </c>
      <c r="B1862" s="17" t="str">
        <f>IFERROR(__xludf.DUMMYFUNCTION("""COMPUTED_VALUE"""),"Nikhil Kamath ")</f>
        <v>Nikhil Kamath </v>
      </c>
      <c r="C1862" s="17" t="str">
        <f>IFERROR(__xludf.DUMMYFUNCTION("""COMPUTED_VALUE"""),"CFO")</f>
        <v>CFO</v>
      </c>
      <c r="D1862" s="27" t="str">
        <f>IFERROR(__xludf.DUMMYFUNCTION("""COMPUTED_VALUE"""),"https://www.linkedin.com/in/nikhilkamathcio/?originalSubdomain=in")</f>
        <v>https://www.linkedin.com/in/nikhilkamathcio/?originalSubdomain=in</v>
      </c>
      <c r="E1862" s="17" t="str">
        <f>IFERROR(__xludf.DUMMYFUNCTION("""COMPUTED_VALUE"""),"nikhil.kamath@zerodha.com")</f>
        <v>nikhil.kamath@zerodha.com</v>
      </c>
      <c r="F1862" s="17"/>
      <c r="G1862" s="17" t="str">
        <f>IFERROR(__xludf.DUMMYFUNCTION("""COMPUTED_VALUE"""),", nikhil@gruhas.com")</f>
        <v>, nikhil@gruhas.com</v>
      </c>
      <c r="H1862" s="17"/>
    </row>
    <row r="1863">
      <c r="A1863" s="17" t="str">
        <f>IFERROR(__xludf.DUMMYFUNCTION("""COMPUTED_VALUE"""),"Razorpay")</f>
        <v>Razorpay</v>
      </c>
      <c r="B1863" s="17" t="str">
        <f>IFERROR(__xludf.DUMMYFUNCTION("""COMPUTED_VALUE"""),"Arpit Chug
")</f>
        <v>Arpit Chug
</v>
      </c>
      <c r="C1863" s="17" t="str">
        <f>IFERROR(__xludf.DUMMYFUNCTION("""COMPUTED_VALUE"""),"CFO")</f>
        <v>CFO</v>
      </c>
      <c r="D1863" s="27" t="str">
        <f>IFERROR(__xludf.DUMMYFUNCTION("""COMPUTED_VALUE"""),"https://www.linkedin.com/in/arpit-chug-5928354/?originalSubdomain=in")</f>
        <v>https://www.linkedin.com/in/arpit-chug-5928354/?originalSubdomain=in</v>
      </c>
      <c r="E1863" s="17" t="str">
        <f>IFERROR(__xludf.DUMMYFUNCTION("""COMPUTED_VALUE"""),"arpit.chug@razorpay.com")</f>
        <v>arpit.chug@razorpay.com</v>
      </c>
      <c r="F1863" s="17"/>
      <c r="G1863" s="17"/>
      <c r="H1863" s="17"/>
    </row>
    <row r="1864">
      <c r="A1864" s="17" t="str">
        <f>IFERROR(__xludf.DUMMYFUNCTION("""COMPUTED_VALUE"""),"Unacademy")</f>
        <v>Unacademy</v>
      </c>
      <c r="B1864" s="17" t="str">
        <f>IFERROR(__xludf.DUMMYFUNCTION("""COMPUTED_VALUE"""),"Abhishek Pipara")</f>
        <v>Abhishek Pipara</v>
      </c>
      <c r="C1864" s="17" t="str">
        <f>IFERROR(__xludf.DUMMYFUNCTION("""COMPUTED_VALUE"""),"CFO")</f>
        <v>CFO</v>
      </c>
      <c r="D1864" s="27" t="str">
        <f>IFERROR(__xludf.DUMMYFUNCTION("""COMPUTED_VALUE"""),"https://www.linkedin.com/in/abhishek-pipara-40a21a2b/?originalSubdomain=in")</f>
        <v>https://www.linkedin.com/in/abhishek-pipara-40a21a2b/?originalSubdomain=in</v>
      </c>
      <c r="E1864" s="17" t="str">
        <f>IFERROR(__xludf.DUMMYFUNCTION("""COMPUTED_VALUE"""),"abhishek.pipara@unacademy.com")</f>
        <v>abhishek.pipara@unacademy.com</v>
      </c>
      <c r="F1864" s="17"/>
      <c r="G1864" s="17"/>
      <c r="H1864" s="17"/>
    </row>
    <row r="1865">
      <c r="A1865" s="17" t="str">
        <f>IFERROR(__xludf.DUMMYFUNCTION("""COMPUTED_VALUE"""),"Zenoti")</f>
        <v>Zenoti</v>
      </c>
      <c r="B1865" s="17" t="str">
        <f>IFERROR(__xludf.DUMMYFUNCTION("""COMPUTED_VALUE"""),"Sean Blitchok")</f>
        <v>Sean Blitchok</v>
      </c>
      <c r="C1865" s="17" t="str">
        <f>IFERROR(__xludf.DUMMYFUNCTION("""COMPUTED_VALUE"""),"CFO")</f>
        <v>CFO</v>
      </c>
      <c r="D1865" s="27" t="str">
        <f>IFERROR(__xludf.DUMMYFUNCTION("""COMPUTED_VALUE"""),"https://www.linkedin.com/in/sblitchok/")</f>
        <v>https://www.linkedin.com/in/sblitchok/</v>
      </c>
      <c r="E1865" s="17" t="str">
        <f>IFERROR(__xludf.DUMMYFUNCTION("""COMPUTED_VALUE"""),"blitcho2@yahoo.com")</f>
        <v>blitcho2@yahoo.com</v>
      </c>
      <c r="F1865" s="17"/>
      <c r="G1865" s="17"/>
      <c r="H1865" s="17"/>
    </row>
    <row r="1866">
      <c r="A1866" s="17" t="str">
        <f>IFERROR(__xludf.DUMMYFUNCTION("""COMPUTED_VALUE"""),"BigBasket")</f>
        <v>BigBasket</v>
      </c>
      <c r="B1866" s="17" t="str">
        <f>IFERROR(__xludf.DUMMYFUNCTION("""COMPUTED_VALUE"""),"Manish Bajoria ")</f>
        <v>Manish Bajoria </v>
      </c>
      <c r="C1866" s="17" t="str">
        <f>IFERROR(__xludf.DUMMYFUNCTION("""COMPUTED_VALUE"""),"CFO")</f>
        <v>CFO</v>
      </c>
      <c r="D1866" s="27" t="str">
        <f>IFERROR(__xludf.DUMMYFUNCTION("""COMPUTED_VALUE"""),"https://www.linkedin.com/in/manish-bajoria/?originalSubdomain=in")</f>
        <v>https://www.linkedin.com/in/manish-bajoria/?originalSubdomain=in</v>
      </c>
      <c r="E1866" s="17" t="str">
        <f>IFERROR(__xludf.DUMMYFUNCTION("""COMPUTED_VALUE"""),"manish.bajoria@bigbasket.com")</f>
        <v>manish.bajoria@bigbasket.com</v>
      </c>
      <c r="F1866" s="17" t="str">
        <f>IFERROR(__xludf.DUMMYFUNCTION("""COMPUTED_VALUE"""),"8861006053")</f>
        <v>8861006053</v>
      </c>
      <c r="G1866" s="17"/>
      <c r="H1866" s="17"/>
    </row>
    <row r="1867">
      <c r="A1867" s="17" t="str">
        <f>IFERROR(__xludf.DUMMYFUNCTION("""COMPUTED_VALUE"""),"Delhivery")</f>
        <v>Delhivery</v>
      </c>
      <c r="B1867" s="17" t="str">
        <f>IFERROR(__xludf.DUMMYFUNCTION("""COMPUTED_VALUE"""),"Amit Agarwal")</f>
        <v>Amit Agarwal</v>
      </c>
      <c r="C1867" s="17" t="str">
        <f>IFERROR(__xludf.DUMMYFUNCTION("""COMPUTED_VALUE"""),"CFO")</f>
        <v>CFO</v>
      </c>
      <c r="D1867" s="27" t="str">
        <f>IFERROR(__xludf.DUMMYFUNCTION("""COMPUTED_VALUE"""),"https://www.linkedin.com/in/amit-agarwal-027b195/?originalSubdomain=in")</f>
        <v>https://www.linkedin.com/in/amit-agarwal-027b195/?originalSubdomain=in</v>
      </c>
      <c r="E1867" s="17" t="str">
        <f>IFERROR(__xludf.DUMMYFUNCTION("""COMPUTED_VALUE"""),"amit.agarwal@delhivery.com")</f>
        <v>amit.agarwal@delhivery.com</v>
      </c>
      <c r="F1867" s="17"/>
      <c r="G1867" s="17"/>
      <c r="H1867" s="17"/>
    </row>
    <row r="1868">
      <c r="A1868" s="17" t="str">
        <f>IFERROR(__xludf.DUMMYFUNCTION("""COMPUTED_VALUE"""),"Dream Sports")</f>
        <v>Dream Sports</v>
      </c>
      <c r="B1868" s="17" t="str">
        <f>IFERROR(__xludf.DUMMYFUNCTION("""COMPUTED_VALUE"""),"Navin Agarwal
")</f>
        <v>Navin Agarwal
</v>
      </c>
      <c r="C1868" s="17" t="str">
        <f>IFERROR(__xludf.DUMMYFUNCTION("""COMPUTED_VALUE"""),"CFO")</f>
        <v>CFO</v>
      </c>
      <c r="D1868" s="27" t="str">
        <f>IFERROR(__xludf.DUMMYFUNCTION("""COMPUTED_VALUE"""),"https://www.linkedin.com/in/agarwal-navin/?originalSubdomain=in")</f>
        <v>https://www.linkedin.com/in/agarwal-navin/?originalSubdomain=in</v>
      </c>
      <c r="E1868" s="17" t="str">
        <f>IFERROR(__xludf.DUMMYFUNCTION("""COMPUTED_VALUE"""),"navin.a@dream11.com")</f>
        <v>navin.a@dream11.com</v>
      </c>
      <c r="F1868" s="17"/>
      <c r="G1868" s="17"/>
      <c r="H1868" s="17"/>
    </row>
    <row r="1869">
      <c r="A1869" s="17" t="str">
        <f>IFERROR(__xludf.DUMMYFUNCTION("""COMPUTED_VALUE"""),"Icertis")</f>
        <v>Icertis</v>
      </c>
      <c r="B1869" s="17" t="str">
        <f>IFERROR(__xludf.DUMMYFUNCTION("""COMPUTED_VALUE"""),"Rajat Bahri")</f>
        <v>Rajat Bahri</v>
      </c>
      <c r="C1869" s="17" t="str">
        <f>IFERROR(__xludf.DUMMYFUNCTION("""COMPUTED_VALUE"""),"CFO")</f>
        <v>CFO</v>
      </c>
      <c r="D1869" s="27" t="str">
        <f>IFERROR(__xludf.DUMMYFUNCTION("""COMPUTED_VALUE"""),"https://www.linkedin.com/in/rajat-bahri-79b5004/")</f>
        <v>https://www.linkedin.com/in/rajat-bahri-79b5004/</v>
      </c>
      <c r="E1869" s="17" t="str">
        <f>IFERROR(__xludf.DUMMYFUNCTION("""COMPUTED_VALUE"""),"amit.agarwal@delhivery.com")</f>
        <v>amit.agarwal@delhivery.com</v>
      </c>
      <c r="F1869" s="17"/>
      <c r="G1869" s="17"/>
      <c r="H1869" s="17"/>
    </row>
    <row r="1870">
      <c r="A1870" s="17" t="str">
        <f>IFERROR(__xludf.DUMMYFUNCTION("""COMPUTED_VALUE"""),"Druva")</f>
        <v>Druva</v>
      </c>
      <c r="B1870" s="17" t="str">
        <f>IFERROR(__xludf.DUMMYFUNCTION("""COMPUTED_VALUE"""),"Jagroop Bal")</f>
        <v>Jagroop Bal</v>
      </c>
      <c r="C1870" s="17" t="str">
        <f>IFERROR(__xludf.DUMMYFUNCTION("""COMPUTED_VALUE"""),"CFO")</f>
        <v>CFO</v>
      </c>
      <c r="D1870" s="27" t="str">
        <f>IFERROR(__xludf.DUMMYFUNCTION("""COMPUTED_VALUE"""),"https://www.linkedin.com/in/jagroopbal/")</f>
        <v>https://www.linkedin.com/in/jagroopbal/</v>
      </c>
      <c r="E1870" s="17" t="str">
        <f>IFERROR(__xludf.DUMMYFUNCTION("""COMPUTED_VALUE"""),"jagroop.bal@druva.com")</f>
        <v>jagroop.bal@druva.com</v>
      </c>
      <c r="F1870" s="17"/>
      <c r="G1870" s="17"/>
      <c r="H1870" s="17"/>
    </row>
    <row r="1871">
      <c r="A1871" s="17" t="str">
        <f>IFERROR(__xludf.DUMMYFUNCTION("""COMPUTED_VALUE"""),"Ola Electric")</f>
        <v>Ola Electric</v>
      </c>
      <c r="B1871" s="17" t="str">
        <f>IFERROR(__xludf.DUMMYFUNCTION("""COMPUTED_VALUE"""),"G R Arun Kumar")</f>
        <v>G R Arun Kumar</v>
      </c>
      <c r="C1871" s="17" t="str">
        <f>IFERROR(__xludf.DUMMYFUNCTION("""COMPUTED_VALUE"""),"CFO")</f>
        <v>CFO</v>
      </c>
      <c r="D1871" s="27" t="str">
        <f>IFERROR(__xludf.DUMMYFUNCTION("""COMPUTED_VALUE"""),"https://www.linkedin.com/in/g-r-arun-kumar-86523314/?originalSubdomain=in")</f>
        <v>https://www.linkedin.com/in/g-r-arun-kumar-86523314/?originalSubdomain=in</v>
      </c>
      <c r="E1871" s="17" t="str">
        <f>IFERROR(__xludf.DUMMYFUNCTION("""COMPUTED_VALUE"""),"g_kumar@welspun.com")</f>
        <v>g_kumar@welspun.com</v>
      </c>
      <c r="F1871" s="17"/>
      <c r="G1871" s="17"/>
      <c r="H1871" s="17"/>
    </row>
    <row r="1872">
      <c r="A1872" s="17" t="str">
        <f>IFERROR(__xludf.DUMMYFUNCTION("""COMPUTED_VALUE"""),"Lenskart")</f>
        <v>Lenskart</v>
      </c>
      <c r="B1872" s="17" t="str">
        <f>IFERROR(__xludf.DUMMYFUNCTION("""COMPUTED_VALUE"""),"Abhishek Gupta")</f>
        <v>Abhishek Gupta</v>
      </c>
      <c r="C1872" s="17" t="str">
        <f>IFERROR(__xludf.DUMMYFUNCTION("""COMPUTED_VALUE"""),"CFO")</f>
        <v>CFO</v>
      </c>
      <c r="D1872" s="27" t="str">
        <f>IFERROR(__xludf.DUMMYFUNCTION("""COMPUTED_VALUE"""),"https://www.linkedin.com/in/abhishek-gupta-140ab611/?originalSubdomain=in")</f>
        <v>https://www.linkedin.com/in/abhishek-gupta-140ab611/?originalSubdomain=in</v>
      </c>
      <c r="E1872" s="17" t="str">
        <f>IFERROR(__xludf.DUMMYFUNCTION("""COMPUTED_VALUE"""),"abhishek@lenskart.com")</f>
        <v>abhishek@lenskart.com</v>
      </c>
      <c r="F1872" s="17"/>
      <c r="G1872" s="17"/>
      <c r="H1872" s="17"/>
    </row>
    <row r="1873">
      <c r="A1873" s="17" t="str">
        <f>IFERROR(__xludf.DUMMYFUNCTION("""COMPUTED_VALUE"""),"BillDesk")</f>
        <v>BillDesk</v>
      </c>
      <c r="B1873" s="17" t="str">
        <f>IFERROR(__xludf.DUMMYFUNCTION("""COMPUTED_VALUE"""),"Srinivasu MN")</f>
        <v>Srinivasu MN</v>
      </c>
      <c r="C1873" s="17" t="str">
        <f>IFERROR(__xludf.DUMMYFUNCTION("""COMPUTED_VALUE"""),"CFO")</f>
        <v>CFO</v>
      </c>
      <c r="D1873" s="27" t="str">
        <f>IFERROR(__xludf.DUMMYFUNCTION("""COMPUTED_VALUE"""),"https://www.linkedin.com/in/srinivasu/?originalSubdomain=in")</f>
        <v>https://www.linkedin.com/in/srinivasu/?originalSubdomain=in</v>
      </c>
      <c r="E1873" s="17"/>
      <c r="F1873" s="17"/>
      <c r="G1873" s="17"/>
      <c r="H1873" s="17"/>
    </row>
    <row r="1874">
      <c r="A1874" s="17" t="str">
        <f>IFERROR(__xludf.DUMMYFUNCTION("""COMPUTED_VALUE"""),"BYJU’S")</f>
        <v>BYJU’S</v>
      </c>
      <c r="B1874" s="17"/>
      <c r="C1874" s="17" t="str">
        <f>IFERROR(__xludf.DUMMYFUNCTION("""COMPUTED_VALUE"""),"CFO")</f>
        <v>CFO</v>
      </c>
      <c r="D1874" s="17"/>
      <c r="E1874" s="17"/>
      <c r="F1874" s="17"/>
      <c r="G1874" s="17"/>
      <c r="H1874" s="17"/>
    </row>
    <row r="1875">
      <c r="A1875" s="17" t="str">
        <f>IFERROR(__xludf.DUMMYFUNCTION("""COMPUTED_VALUE"""),"Paytm ")</f>
        <v>Paytm </v>
      </c>
      <c r="B1875" s="17" t="str">
        <f>IFERROR(__xludf.DUMMYFUNCTION("""COMPUTED_VALUE"""),"Madhur Deora ")</f>
        <v>Madhur Deora </v>
      </c>
      <c r="C1875" s="17" t="str">
        <f>IFERROR(__xludf.DUMMYFUNCTION("""COMPUTED_VALUE"""),"CFO")</f>
        <v>CFO</v>
      </c>
      <c r="D1875" s="27" t="str">
        <f>IFERROR(__xludf.DUMMYFUNCTION("""COMPUTED_VALUE"""),"https://www.linkedin.com/in/madhurdeora/?originalSubdomain=in")</f>
        <v>https://www.linkedin.com/in/madhurdeora/?originalSubdomain=in</v>
      </c>
      <c r="E1875" s="17" t="str">
        <f>IFERROR(__xludf.DUMMYFUNCTION("""COMPUTED_VALUE"""),"madhur.deora@paytm.com")</f>
        <v>madhur.deora@paytm.com</v>
      </c>
      <c r="F1875" s="17"/>
      <c r="G1875" s="17"/>
      <c r="H1875" s="17"/>
    </row>
    <row r="1876">
      <c r="A1876" s="17" t="str">
        <f>IFERROR(__xludf.DUMMYFUNCTION("""COMPUTED_VALUE"""),"OYO")</f>
        <v>OYO</v>
      </c>
      <c r="B1876" s="17" t="str">
        <f>IFERROR(__xludf.DUMMYFUNCTION("""COMPUTED_VALUE"""),"Rakesh Kumar")</f>
        <v>Rakesh Kumar</v>
      </c>
      <c r="C1876" s="17" t="str">
        <f>IFERROR(__xludf.DUMMYFUNCTION("""COMPUTED_VALUE"""),"CFO")</f>
        <v>CFO</v>
      </c>
      <c r="D1876" s="27" t="str">
        <f>IFERROR(__xludf.DUMMYFUNCTION("""COMPUTED_VALUE"""),"https://www.linkedin.com/in/rakesh-kumar-a672316/?originalSubdomain=in")</f>
        <v>https://www.linkedin.com/in/rakesh-kumar-a672316/?originalSubdomain=in</v>
      </c>
      <c r="E1876" s="17" t="str">
        <f>IFERROR(__xludf.DUMMYFUNCTION("""COMPUTED_VALUE"""),"rakesh@prismlife.com")</f>
        <v>rakesh@prismlife.com</v>
      </c>
      <c r="F1876" s="17"/>
      <c r="G1876" s="17"/>
      <c r="H1876" s="17"/>
    </row>
    <row r="1877">
      <c r="A1877" s="17" t="str">
        <f>IFERROR(__xludf.DUMMYFUNCTION("""COMPUTED_VALUE"""),"Freshworks")</f>
        <v>Freshworks</v>
      </c>
      <c r="B1877" s="17" t="str">
        <f>IFERROR(__xludf.DUMMYFUNCTION("""COMPUTED_VALUE"""),"Tyler Sloat ")</f>
        <v>Tyler Sloat </v>
      </c>
      <c r="C1877" s="17" t="str">
        <f>IFERROR(__xludf.DUMMYFUNCTION("""COMPUTED_VALUE"""),"CFO")</f>
        <v>CFO</v>
      </c>
      <c r="D1877" s="27" t="str">
        <f>IFERROR(__xludf.DUMMYFUNCTION("""COMPUTED_VALUE"""),"https://www.linkedin.com/in/tylersloat/")</f>
        <v>https://www.linkedin.com/in/tylersloat/</v>
      </c>
      <c r="E1877" s="17" t="str">
        <f>IFERROR(__xludf.DUMMYFUNCTION("""COMPUTED_VALUE"""),"tyler.sloat@freshworks.com")</f>
        <v>tyler.sloat@freshworks.com</v>
      </c>
      <c r="F1877" s="17"/>
      <c r="G1877" s="17"/>
      <c r="H1877" s="17"/>
    </row>
    <row r="1878">
      <c r="A1878" s="17" t="str">
        <f>IFERROR(__xludf.DUMMYFUNCTION("""COMPUTED_VALUE"""),"Swiggy")</f>
        <v>Swiggy</v>
      </c>
      <c r="B1878" s="17" t="str">
        <f>IFERROR(__xludf.DUMMYFUNCTION("""COMPUTED_VALUE"""),"Rahul Bothra ")</f>
        <v>Rahul Bothra </v>
      </c>
      <c r="C1878" s="17" t="str">
        <f>IFERROR(__xludf.DUMMYFUNCTION("""COMPUTED_VALUE"""),"CFO")</f>
        <v>CFO</v>
      </c>
      <c r="D1878" s="27" t="str">
        <f>IFERROR(__xludf.DUMMYFUNCTION("""COMPUTED_VALUE"""),"https://www.linkedin.com/in/rahul-bothra-0231608/")</f>
        <v>https://www.linkedin.com/in/rahul-bothra-0231608/</v>
      </c>
      <c r="E1878" s="17" t="str">
        <f>IFERROR(__xludf.DUMMYFUNCTION("""COMPUTED_VALUE"""),"rahul.bothra@swiggy.in")</f>
        <v>rahul.bothra@swiggy.in</v>
      </c>
      <c r="F1878" s="17"/>
      <c r="G1878" s="17"/>
      <c r="H1878" s="17"/>
    </row>
    <row r="1879">
      <c r="A1879" s="17" t="str">
        <f>IFERROR(__xludf.DUMMYFUNCTION("""COMPUTED_VALUE"""),"PolicyBazaar")</f>
        <v>PolicyBazaar</v>
      </c>
      <c r="B1879" s="17" t="str">
        <f>IFERROR(__xludf.DUMMYFUNCTION("""COMPUTED_VALUE"""),"Mandeep Mehta")</f>
        <v>Mandeep Mehta</v>
      </c>
      <c r="C1879" s="17" t="str">
        <f>IFERROR(__xludf.DUMMYFUNCTION("""COMPUTED_VALUE"""),"CFO")</f>
        <v>CFO</v>
      </c>
      <c r="D1879" s="27" t="str">
        <f>IFERROR(__xludf.DUMMYFUNCTION("""COMPUTED_VALUE"""),"https://www.linkedin.com/in/mandeep-mehta/?originalSubdomain=in")</f>
        <v>https://www.linkedin.com/in/mandeep-mehta/?originalSubdomain=in</v>
      </c>
      <c r="E1879" s="17" t="str">
        <f>IFERROR(__xludf.DUMMYFUNCTION("""COMPUTED_VALUE"""),"mehtamandeep@gmail.com")</f>
        <v>mehtamandeep@gmail.com</v>
      </c>
      <c r="F1879" s="17"/>
      <c r="G1879" s="17"/>
      <c r="H1879" s="17"/>
    </row>
    <row r="1880">
      <c r="A1880" s="17" t="str">
        <f>IFERROR(__xludf.DUMMYFUNCTION("""COMPUTED_VALUE"""),"Rivigo")</f>
        <v>Rivigo</v>
      </c>
      <c r="B1880" s="17"/>
      <c r="C1880" s="17"/>
      <c r="D1880" s="17"/>
      <c r="E1880" s="17"/>
      <c r="F1880" s="17"/>
      <c r="G1880" s="17"/>
      <c r="H1880" s="17"/>
    </row>
    <row r="1881">
      <c r="A1881" s="17" t="str">
        <f>IFERROR(__xludf.DUMMYFUNCTION("""COMPUTED_VALUE"""),"Udaan")</f>
        <v>Udaan</v>
      </c>
      <c r="B1881" s="17" t="str">
        <f>IFERROR(__xludf.DUMMYFUNCTION("""COMPUTED_VALUE"""),"Aditya Pande")</f>
        <v>Aditya Pande</v>
      </c>
      <c r="C1881" s="17" t="str">
        <f>IFERROR(__xludf.DUMMYFUNCTION("""COMPUTED_VALUE"""),"CFO")</f>
        <v>CFO</v>
      </c>
      <c r="D1881" s="27" t="str">
        <f>IFERROR(__xludf.DUMMYFUNCTION("""COMPUTED_VALUE"""),"https://www.linkedin.com/in/aditya-pande-0a175980/?originalSubdomain=in")</f>
        <v>https://www.linkedin.com/in/aditya-pande-0a175980/?originalSubdomain=in</v>
      </c>
      <c r="E1881" s="17" t="str">
        <f>IFERROR(__xludf.DUMMYFUNCTION("""COMPUTED_VALUE"""),"aditya.pande@interglobe.com")</f>
        <v>aditya.pande@interglobe.com</v>
      </c>
      <c r="F1881" s="17"/>
      <c r="G1881" s="17" t="str">
        <f>IFERROR(__xludf.DUMMYFUNCTION("""COMPUTED_VALUE"""),", adityapande006@gmail.com")</f>
        <v>, adityapande006@gmail.com</v>
      </c>
      <c r="H1881" s="17"/>
    </row>
    <row r="1882">
      <c r="A1882" s="17" t="str">
        <f>IFERROR(__xludf.DUMMYFUNCTION("""COMPUTED_VALUE"""),"PhonePe")</f>
        <v>PhonePe</v>
      </c>
      <c r="B1882" s="17" t="str">
        <f>IFERROR(__xludf.DUMMYFUNCTION("""COMPUTED_VALUE"""),"Adarsh Nahata")</f>
        <v>Adarsh Nahata</v>
      </c>
      <c r="C1882" s="17" t="str">
        <f>IFERROR(__xludf.DUMMYFUNCTION("""COMPUTED_VALUE"""),"CFO")</f>
        <v>CFO</v>
      </c>
      <c r="D1882" s="27" t="str">
        <f>IFERROR(__xludf.DUMMYFUNCTION("""COMPUTED_VALUE"""),"https://www.linkedin.com/in/adarsh-nahata-4a349413/?originalSubdomain=in")</f>
        <v>https://www.linkedin.com/in/adarsh-nahata-4a349413/?originalSubdomain=in</v>
      </c>
      <c r="E1882" s="17" t="str">
        <f>IFERROR(__xludf.DUMMYFUNCTION("""COMPUTED_VALUE"""),"adarsh.nahata@phonepe.com, adarsh@phonepe.com")</f>
        <v>adarsh.nahata@phonepe.com, adarsh@phonepe.com</v>
      </c>
      <c r="F1882" s="17" t="str">
        <f>IFERROR(__xludf.DUMMYFUNCTION("""COMPUTED_VALUE"""),"98331 51394, 99000 93050")</f>
        <v>98331 51394, 99000 93050</v>
      </c>
      <c r="G1882" s="17"/>
      <c r="H1882" s="17"/>
    </row>
    <row r="1883">
      <c r="A1883" s="17" t="str">
        <f>IFERROR(__xludf.DUMMYFUNCTION("""COMPUTED_VALUE"""),"ReNew Power")</f>
        <v>ReNew Power</v>
      </c>
      <c r="B1883" s="17" t="str">
        <f>IFERROR(__xludf.DUMMYFUNCTION("""COMPUTED_VALUE"""),"Kailash Vaswani")</f>
        <v>Kailash Vaswani</v>
      </c>
      <c r="C1883" s="17" t="str">
        <f>IFERROR(__xludf.DUMMYFUNCTION("""COMPUTED_VALUE"""),"CFO")</f>
        <v>CFO</v>
      </c>
      <c r="D1883" s="27" t="str">
        <f>IFERROR(__xludf.DUMMYFUNCTION("""COMPUTED_VALUE"""),"https://www.linkedin.com/in/kailashvaswani/?originalSubdomain=in")</f>
        <v>https://www.linkedin.com/in/kailashvaswani/?originalSubdomain=in</v>
      </c>
      <c r="E1883" s="17" t="str">
        <f>IFERROR(__xludf.DUMMYFUNCTION("""COMPUTED_VALUE"""),"kailash@renewpower.in, kailash.vaswani@renewpower.in")</f>
        <v>kailash@renewpower.in, kailash.vaswani@renewpower.in</v>
      </c>
      <c r="F1883" s="17"/>
      <c r="G1883" s="17"/>
      <c r="H1883" s="17"/>
    </row>
    <row r="1884">
      <c r="A1884" s="17" t="str">
        <f>IFERROR(__xludf.DUMMYFUNCTION("""COMPUTED_VALUE"""),"ShopClues")</f>
        <v>ShopClues</v>
      </c>
      <c r="B1884" s="17" t="str">
        <f>IFERROR(__xludf.DUMMYFUNCTION("""COMPUTED_VALUE"""),"Deepak Sharma")</f>
        <v>Deepak Sharma</v>
      </c>
      <c r="C1884" s="17" t="str">
        <f>IFERROR(__xludf.DUMMYFUNCTION("""COMPUTED_VALUE"""),"CFO")</f>
        <v>CFO</v>
      </c>
      <c r="D1884" s="27" t="str">
        <f>IFERROR(__xludf.DUMMYFUNCTION("""COMPUTED_VALUE"""),"https://www.linkedin.com/in/deepak-sharma-6b67818/?originalSubdomain=in")</f>
        <v>https://www.linkedin.com/in/deepak-sharma-6b67818/?originalSubdomain=in</v>
      </c>
      <c r="E1884" s="17" t="str">
        <f>IFERROR(__xludf.DUMMYFUNCTION("""COMPUTED_VALUE"""),"deepak1102a7@gmail.com")</f>
        <v>deepak1102a7@gmail.com</v>
      </c>
      <c r="F1884" s="17"/>
      <c r="G1884" s="17"/>
      <c r="H1884" s="17"/>
    </row>
    <row r="1885">
      <c r="A1885" s="17" t="str">
        <f>IFERROR(__xludf.DUMMYFUNCTION("""COMPUTED_VALUE"""),"Hike")</f>
        <v>Hike</v>
      </c>
      <c r="B1885" s="17" t="str">
        <f>IFERROR(__xludf.DUMMYFUNCTION("""COMPUTED_VALUE"""),"Manish Kumar")</f>
        <v>Manish Kumar</v>
      </c>
      <c r="C1885" s="17" t="str">
        <f>IFERROR(__xludf.DUMMYFUNCTION("""COMPUTED_VALUE"""),"CFO")</f>
        <v>CFO</v>
      </c>
      <c r="D1885" s="27" t="str">
        <f>IFERROR(__xludf.DUMMYFUNCTION("""COMPUTED_VALUE"""),"https://www.linkedin.com/in/manish-kumar-9bb75856/?originalSubdomain=ae")</f>
        <v>https://www.linkedin.com/in/manish-kumar-9bb75856/?originalSubdomain=ae</v>
      </c>
      <c r="E1885" s="17" t="str">
        <f>IFERROR(__xludf.DUMMYFUNCTION("""COMPUTED_VALUE"""),"manish@hike.in, mk@hike.in, ")</f>
        <v>manish@hike.in, mk@hike.in, </v>
      </c>
      <c r="F1885" s="17" t="str">
        <f>IFERROR(__xludf.DUMMYFUNCTION("""COMPUTED_VALUE"""),"99711 18696")</f>
        <v>99711 18696</v>
      </c>
      <c r="G1885" s="17"/>
      <c r="H1885" s="17"/>
    </row>
    <row r="1886">
      <c r="A1886" s="17" t="str">
        <f>IFERROR(__xludf.DUMMYFUNCTION("""COMPUTED_VALUE"""),"MakeMyTrip")</f>
        <v>MakeMyTrip</v>
      </c>
      <c r="B1886" s="17" t="str">
        <f>IFERROR(__xludf.DUMMYFUNCTION("""COMPUTED_VALUE"""),"Mohit Kabra ")</f>
        <v>Mohit Kabra </v>
      </c>
      <c r="C1886" s="17" t="str">
        <f>IFERROR(__xludf.DUMMYFUNCTION("""COMPUTED_VALUE"""),"CFO")</f>
        <v>CFO</v>
      </c>
      <c r="D1886" s="27" t="str">
        <f>IFERROR(__xludf.DUMMYFUNCTION("""COMPUTED_VALUE"""),"https://www.linkedin.com/in/mohit-kabra-5b64615/?originalSubdomain=in")</f>
        <v>https://www.linkedin.com/in/mohit-kabra-5b64615/?originalSubdomain=in</v>
      </c>
      <c r="E1886" s="17" t="str">
        <f>IFERROR(__xludf.DUMMYFUNCTION("""COMPUTED_VALUE"""),"mohit.kabra@makemytrip.com")</f>
        <v>mohit.kabra@makemytrip.com</v>
      </c>
      <c r="F1886" s="17" t="str">
        <f>IFERROR(__xludf.DUMMYFUNCTION("""COMPUTED_VALUE"""),"9999313634")</f>
        <v>9999313634</v>
      </c>
      <c r="G1886" s="17"/>
      <c r="H1886" s="17"/>
    </row>
    <row r="1887">
      <c r="A1887" s="17" t="str">
        <f>IFERROR(__xludf.DUMMYFUNCTION("""COMPUTED_VALUE"""),"Zomato")</f>
        <v>Zomato</v>
      </c>
      <c r="B1887" s="17" t="str">
        <f>IFERROR(__xludf.DUMMYFUNCTION("""COMPUTED_VALUE"""),"Akriti Chopra")</f>
        <v>Akriti Chopra</v>
      </c>
      <c r="C1887" s="17" t="str">
        <f>IFERROR(__xludf.DUMMYFUNCTION("""COMPUTED_VALUE"""),"CFO")</f>
        <v>CFO</v>
      </c>
      <c r="D1887" s="27" t="str">
        <f>IFERROR(__xludf.DUMMYFUNCTION("""COMPUTED_VALUE"""),"https://www.linkedin.com/in/akriti-chopra-2a21aa56/?originalSubdomain=in")</f>
        <v>https://www.linkedin.com/in/akriti-chopra-2a21aa56/?originalSubdomain=in</v>
      </c>
      <c r="E1887" s="17"/>
      <c r="F1887" s="17"/>
      <c r="G1887" s="17"/>
      <c r="H1887" s="17"/>
    </row>
    <row r="1888">
      <c r="A1888" s="17" t="str">
        <f>IFERROR(__xludf.DUMMYFUNCTION("""COMPUTED_VALUE"""),"Quikr")</f>
        <v>Quikr</v>
      </c>
      <c r="B1888" s="17"/>
      <c r="C1888" s="17" t="str">
        <f>IFERROR(__xludf.DUMMYFUNCTION("""COMPUTED_VALUE"""),"CFO")</f>
        <v>CFO</v>
      </c>
      <c r="D1888" s="17"/>
      <c r="E1888" s="17"/>
      <c r="F1888" s="17"/>
      <c r="G1888" s="17"/>
      <c r="H1888" s="17"/>
    </row>
    <row r="1889">
      <c r="A1889" s="17" t="str">
        <f>IFERROR(__xludf.DUMMYFUNCTION("""COMPUTED_VALUE"""),"Ola")</f>
        <v>Ola</v>
      </c>
      <c r="B1889" s="17" t="str">
        <f>IFERROR(__xludf.DUMMYFUNCTION("""COMPUTED_VALUE"""),"Kartik Gupta")</f>
        <v>Kartik Gupta</v>
      </c>
      <c r="C1889" s="17" t="str">
        <f>IFERROR(__xludf.DUMMYFUNCTION("""COMPUTED_VALUE"""),"CFO")</f>
        <v>CFO</v>
      </c>
      <c r="D1889" s="27" t="str">
        <f>IFERROR(__xludf.DUMMYFUNCTION("""COMPUTED_VALUE"""),"https://www.linkedin.com/in/kartikgupta1/?originalSubdomain=ae")</f>
        <v>https://www.linkedin.com/in/kartikgupta1/?originalSubdomain=ae</v>
      </c>
      <c r="E1889" s="17"/>
      <c r="F1889" s="17"/>
      <c r="G1889" s="17"/>
      <c r="H1889" s="17"/>
    </row>
    <row r="1890">
      <c r="A1890" s="17" t="str">
        <f>IFERROR(__xludf.DUMMYFUNCTION("""COMPUTED_VALUE"""),"InfoEdge")</f>
        <v>InfoEdge</v>
      </c>
      <c r="B1890" s="17" t="str">
        <f>IFERROR(__xludf.DUMMYFUNCTION("""COMPUTED_VALUE"""),"Chintan Thakkar")</f>
        <v>Chintan Thakkar</v>
      </c>
      <c r="C1890" s="17" t="str">
        <f>IFERROR(__xludf.DUMMYFUNCTION("""COMPUTED_VALUE"""),"CFO")</f>
        <v>CFO</v>
      </c>
      <c r="D1890" s="27" t="str">
        <f>IFERROR(__xludf.DUMMYFUNCTION("""COMPUTED_VALUE"""),"https://www.linkedin.com/in/chintan-thakkar/?originalSubdomain=in")</f>
        <v>https://www.linkedin.com/in/chintan-thakkar/?originalSubdomain=in</v>
      </c>
      <c r="E1890" s="17" t="str">
        <f>IFERROR(__xludf.DUMMYFUNCTION("""COMPUTED_VALUE"""),"chintan@infoedge.in")</f>
        <v>chintan@infoedge.in</v>
      </c>
      <c r="F1890" s="17"/>
      <c r="G1890" s="17"/>
      <c r="H1890" s="17"/>
    </row>
    <row r="1891">
      <c r="A1891" s="17" t="str">
        <f>IFERROR(__xludf.DUMMYFUNCTION("""COMPUTED_VALUE"""),"Mu Sigma")</f>
        <v>Mu Sigma</v>
      </c>
      <c r="B1891" s="17" t="str">
        <f>IFERROR(__xludf.DUMMYFUNCTION("""COMPUTED_VALUE"""),"L Sivagnana Selvam")</f>
        <v>L Sivagnana Selvam</v>
      </c>
      <c r="C1891" s="17" t="str">
        <f>IFERROR(__xludf.DUMMYFUNCTION("""COMPUTED_VALUE"""),"CFO")</f>
        <v>CFO</v>
      </c>
      <c r="D1891" s="27" t="str">
        <f>IFERROR(__xludf.DUMMYFUNCTION("""COMPUTED_VALUE"""),"https://www.linkedin.com/in/l-sivagnana-selvam-16b6375/?originalSubdomain=in")</f>
        <v>https://www.linkedin.com/in/l-sivagnana-selvam-16b6375/?originalSubdomain=in</v>
      </c>
      <c r="E1891" s="17"/>
      <c r="F1891" s="17"/>
      <c r="G1891" s="17"/>
      <c r="H1891" s="17"/>
    </row>
    <row r="1892">
      <c r="A1892" s="17" t="str">
        <f>IFERROR(__xludf.DUMMYFUNCTION("""COMPUTED_VALUE"""),"Snapdeal")</f>
        <v>Snapdeal</v>
      </c>
      <c r="B1892" s="17" t="str">
        <f>IFERROR(__xludf.DUMMYFUNCTION("""COMPUTED_VALUE"""),"Vikas Bhasin")</f>
        <v>Vikas Bhasin</v>
      </c>
      <c r="C1892" s="17" t="str">
        <f>IFERROR(__xludf.DUMMYFUNCTION("""COMPUTED_VALUE"""),"CFO")</f>
        <v>CFO</v>
      </c>
      <c r="D1892" s="27" t="str">
        <f>IFERROR(__xludf.DUMMYFUNCTION("""COMPUTED_VALUE"""),"https://www.linkedin.com/in/vikas-bhasin-5b673710/?originalSubdomain=in")</f>
        <v>https://www.linkedin.com/in/vikas-bhasin-5b673710/?originalSubdomain=in</v>
      </c>
      <c r="E1892" s="17" t="str">
        <f>IFERROR(__xludf.DUMMYFUNCTION("""COMPUTED_VALUE"""),"vikasbhasin04@gmail.com")</f>
        <v>vikasbhasin04@gmail.com</v>
      </c>
      <c r="F1892" s="17"/>
      <c r="G1892" s="17"/>
      <c r="H1892" s="17"/>
    </row>
    <row r="1893">
      <c r="A1893" s="17" t="str">
        <f>IFERROR(__xludf.DUMMYFUNCTION("""COMPUTED_VALUE"""),"InMobi")</f>
        <v>InMobi</v>
      </c>
      <c r="B1893" s="17" t="str">
        <f>IFERROR(__xludf.DUMMYFUNCTION("""COMPUTED_VALUE"""),"Marc Steifman")</f>
        <v>Marc Steifman</v>
      </c>
      <c r="C1893" s="17" t="str">
        <f>IFERROR(__xludf.DUMMYFUNCTION("""COMPUTED_VALUE"""),"CFO")</f>
        <v>CFO</v>
      </c>
      <c r="D1893" s="27" t="str">
        <f>IFERROR(__xludf.DUMMYFUNCTION("""COMPUTED_VALUE"""),"https://www.linkedin.com/in/marc-steifman-1237a/")</f>
        <v>https://www.linkedin.com/in/marc-steifman-1237a/</v>
      </c>
      <c r="E1893" s="17" t="str">
        <f>IFERROR(__xludf.DUMMYFUNCTION("""COMPUTED_VALUE"""),"marc.steifman@inmobi.com")</f>
        <v>marc.steifman@inmobi.com</v>
      </c>
      <c r="F1893" s="17"/>
      <c r="G1893" s="17"/>
      <c r="H1893" s="17"/>
    </row>
    <row r="1894">
      <c r="A1894" s="17" t="str">
        <f>IFERROR(__xludf.DUMMYFUNCTION("""COMPUTED_VALUE"""),"Flipkart")</f>
        <v>Flipkart</v>
      </c>
      <c r="B1894" s="17" t="str">
        <f>IFERROR(__xludf.DUMMYFUNCTION("""COMPUTED_VALUE"""),"Ravi Iyer")</f>
        <v>Ravi Iyer</v>
      </c>
      <c r="C1894" s="17" t="str">
        <f>IFERROR(__xludf.DUMMYFUNCTION("""COMPUTED_VALUE"""),"CFO")</f>
        <v>CFO</v>
      </c>
      <c r="D1894" s="27" t="str">
        <f>IFERROR(__xludf.DUMMYFUNCTION("""COMPUTED_VALUE"""),"https://www.linkedin.com/in/ravi-iyer-24180a12/?originalSubdomain=in")</f>
        <v>https://www.linkedin.com/in/ravi-iyer-24180a12/?originalSubdomain=in</v>
      </c>
      <c r="E1894" s="17" t="str">
        <f>IFERROR(__xludf.DUMMYFUNCTION("""COMPUTED_VALUE"""),"ravi.iyer@flipkart.com")</f>
        <v>ravi.iyer@flipkart.com</v>
      </c>
      <c r="F1894" s="17"/>
      <c r="G1894" s="17"/>
      <c r="H1894" s="17"/>
    </row>
    <row r="1895">
      <c r="A1895" s="17" t="str">
        <f>IFERROR(__xludf.DUMMYFUNCTION("""COMPUTED_VALUE"""),"Soonicorns")</f>
        <v>Soonicorns</v>
      </c>
      <c r="B1895" s="17"/>
      <c r="C1895" s="17"/>
      <c r="D1895" s="17"/>
      <c r="E1895" s="17"/>
      <c r="F1895" s="17"/>
      <c r="G1895" s="17"/>
      <c r="H1895" s="17"/>
    </row>
    <row r="1896">
      <c r="A1896" s="17" t="str">
        <f>IFERROR(__xludf.DUMMYFUNCTION("""COMPUTED_VALUE"""),"absolute")</f>
        <v>absolute</v>
      </c>
      <c r="B1896" s="17" t="str">
        <f>IFERROR(__xludf.DUMMYFUNCTION("""COMPUTED_VALUE"""),"Neeraj Choudhary")</f>
        <v>Neeraj Choudhary</v>
      </c>
      <c r="C1896" s="17" t="str">
        <f>IFERROR(__xludf.DUMMYFUNCTION("""COMPUTED_VALUE"""),"CFO")</f>
        <v>CFO</v>
      </c>
      <c r="D1896" s="27" t="str">
        <f>IFERROR(__xludf.DUMMYFUNCTION("""COMPUTED_VALUE"""),"https://www.linkedin.com/in/caneeraj-choudhary/")</f>
        <v>https://www.linkedin.com/in/caneeraj-choudhary/</v>
      </c>
      <c r="E1896" s="17"/>
      <c r="F1896" s="17" t="str">
        <f>IFERROR(__xludf.DUMMYFUNCTION("""COMPUTED_VALUE"""),"99996 17999")</f>
        <v>99996 17999</v>
      </c>
      <c r="G1896" s="17"/>
      <c r="H1896" s="17"/>
    </row>
    <row r="1897">
      <c r="A1897" s="17" t="str">
        <f>IFERROR(__xludf.DUMMYFUNCTION("""COMPUTED_VALUE"""),"AEQUS")</f>
        <v>AEQUS</v>
      </c>
      <c r="B1897" s="17" t="str">
        <f>IFERROR(__xludf.DUMMYFUNCTION("""COMPUTED_VALUE"""),"Dinesh Iyer ")</f>
        <v>Dinesh Iyer </v>
      </c>
      <c r="C1897" s="17" t="str">
        <f>IFERROR(__xludf.DUMMYFUNCTION("""COMPUTED_VALUE"""),"CFO")</f>
        <v>CFO</v>
      </c>
      <c r="D1897" s="27" t="str">
        <f>IFERROR(__xludf.DUMMYFUNCTION("""COMPUTED_VALUE"""),"https://www.linkedin.com/in/dinesh-iyer-a5871520/?originalSubdomain=in")</f>
        <v>https://www.linkedin.com/in/dinesh-iyer-a5871520/?originalSubdomain=in</v>
      </c>
      <c r="E1897" s="17" t="str">
        <f>IFERROR(__xludf.DUMMYFUNCTION("""COMPUTED_VALUE"""),"dinesh.iyer@aequs.com")</f>
        <v>dinesh.iyer@aequs.com</v>
      </c>
      <c r="F1897" s="17"/>
      <c r="G1897" s="17"/>
      <c r="H1897" s="17"/>
    </row>
    <row r="1898">
      <c r="A1898" s="17" t="str">
        <f>IFERROR(__xludf.DUMMYFUNCTION("""COMPUTED_VALUE"""),"AstroTalk")</f>
        <v>AstroTalk</v>
      </c>
      <c r="B1898" s="17" t="str">
        <f>IFERROR(__xludf.DUMMYFUNCTION("""COMPUTED_VALUE"""),"Deepak Khetan")</f>
        <v>Deepak Khetan</v>
      </c>
      <c r="C1898" s="17" t="str">
        <f>IFERROR(__xludf.DUMMYFUNCTION("""COMPUTED_VALUE"""),"CFO")</f>
        <v>CFO</v>
      </c>
      <c r="D1898" s="27" t="str">
        <f>IFERROR(__xludf.DUMMYFUNCTION("""COMPUTED_VALUE"""),"https://www.linkedin.com/in/deepak-khetan-6223571/?originalSubdomain=in")</f>
        <v>https://www.linkedin.com/in/deepak-khetan-6223571/?originalSubdomain=in</v>
      </c>
      <c r="E1898" s="17" t="str">
        <f>IFERROR(__xludf.DUMMYFUNCTION("""COMPUTED_VALUE"""),"deepak.khetan@astrotalk.com")</f>
        <v>deepak.khetan@astrotalk.com</v>
      </c>
      <c r="F1898" s="17"/>
      <c r="G1898" s="17"/>
      <c r="H1898" s="17"/>
    </row>
    <row r="1899">
      <c r="A1899" s="17" t="str">
        <f>IFERROR(__xludf.DUMMYFUNCTION("""COMPUTED_VALUE"""),"atlan")</f>
        <v>atlan</v>
      </c>
      <c r="B1899" s="17" t="str">
        <f>IFERROR(__xludf.DUMMYFUNCTION("""COMPUTED_VALUE"""),"Deepak Rohida")</f>
        <v>Deepak Rohida</v>
      </c>
      <c r="C1899" s="17" t="str">
        <f>IFERROR(__xludf.DUMMYFUNCTION("""COMPUTED_VALUE"""),"CFO")</f>
        <v>CFO</v>
      </c>
      <c r="D1899" s="27" t="str">
        <f>IFERROR(__xludf.DUMMYFUNCTION("""COMPUTED_VALUE"""),"https://www.linkedin.com/in/deepakrohida/")</f>
        <v>https://www.linkedin.com/in/deepakrohida/</v>
      </c>
      <c r="E1899" s="17"/>
      <c r="F1899" s="17"/>
      <c r="G1899" s="17"/>
      <c r="H1899" s="17"/>
    </row>
    <row r="1900">
      <c r="A1900" s="17" t="str">
        <f>IFERROR(__xludf.DUMMYFUNCTION("""COMPUTED_VALUE"""),"awfis")</f>
        <v>awfis</v>
      </c>
      <c r="B1900" s="17" t="str">
        <f>IFERROR(__xludf.DUMMYFUNCTION("""COMPUTED_VALUE"""),"Ravi Dugar")</f>
        <v>Ravi Dugar</v>
      </c>
      <c r="C1900" s="17" t="str">
        <f>IFERROR(__xludf.DUMMYFUNCTION("""COMPUTED_VALUE"""),"CFO")</f>
        <v>CFO</v>
      </c>
      <c r="D1900" s="27" t="str">
        <f>IFERROR(__xludf.DUMMYFUNCTION("""COMPUTED_VALUE"""),"https://www.linkedin.com/in/ravi-dugar/?originalSubdomain=in")</f>
        <v>https://www.linkedin.com/in/ravi-dugar/?originalSubdomain=in</v>
      </c>
      <c r="E1900" s="17" t="str">
        <f>IFERROR(__xludf.DUMMYFUNCTION("""COMPUTED_VALUE"""),"ravi.dugar@awfis.com")</f>
        <v>ravi.dugar@awfis.com</v>
      </c>
      <c r="F1900" s="17"/>
      <c r="G1900" s="17"/>
      <c r="H1900" s="17"/>
    </row>
    <row r="1901">
      <c r="A1901" s="17" t="str">
        <f>IFERROR(__xludf.DUMMYFUNCTION("""COMPUTED_VALUE"""),"Inc42")</f>
        <v>Inc42</v>
      </c>
      <c r="B1901" s="17"/>
      <c r="C1901" s="17" t="str">
        <f>IFERROR(__xludf.DUMMYFUNCTION("""COMPUTED_VALUE"""),"CFO")</f>
        <v>CFO</v>
      </c>
      <c r="D1901" s="17"/>
      <c r="E1901" s="17"/>
      <c r="F1901" s="17"/>
      <c r="G1901" s="17"/>
      <c r="H1901" s="17"/>
    </row>
    <row r="1902">
      <c r="A1902" s="17" t="str">
        <f>IFERROR(__xludf.DUMMYFUNCTION("""COMPUTED_VALUE"""),"AYE")</f>
        <v>AYE</v>
      </c>
      <c r="B1902" s="17" t="str">
        <f>IFERROR(__xludf.DUMMYFUNCTION("""COMPUTED_VALUE"""),"Krishan Gopal")</f>
        <v>Krishan Gopal</v>
      </c>
      <c r="C1902" s="17" t="str">
        <f>IFERROR(__xludf.DUMMYFUNCTION("""COMPUTED_VALUE"""),"CFO")</f>
        <v>CFO</v>
      </c>
      <c r="D1902" s="27" t="str">
        <f>IFERROR(__xludf.DUMMYFUNCTION("""COMPUTED_VALUE"""),"https://www.linkedin.com/in/krishan-gopal-66916916/?originalSubdomain=in")</f>
        <v>https://www.linkedin.com/in/krishan-gopal-66916916/?originalSubdomain=in</v>
      </c>
      <c r="E1902" s="17" t="str">
        <f>IFERROR(__xludf.DUMMYFUNCTION("""COMPUTED_VALUE"""),"krishan.gopal@ayefin.com")</f>
        <v>krishan.gopal@ayefin.com</v>
      </c>
      <c r="F1902" s="17"/>
      <c r="G1902" s="17"/>
      <c r="H1902" s="17"/>
    </row>
    <row r="1903">
      <c r="A1903" s="17" t="str">
        <f>IFERROR(__xludf.DUMMYFUNCTION("""COMPUTED_VALUE"""),"BankBazaar")</f>
        <v>BankBazaar</v>
      </c>
      <c r="B1903" s="17" t="str">
        <f>IFERROR(__xludf.DUMMYFUNCTION("""COMPUTED_VALUE"""),"Sreeram Ramachandran")</f>
        <v>Sreeram Ramachandran</v>
      </c>
      <c r="C1903" s="17" t="str">
        <f>IFERROR(__xludf.DUMMYFUNCTION("""COMPUTED_VALUE"""),"CFO")</f>
        <v>CFO</v>
      </c>
      <c r="D1903" s="27" t="str">
        <f>IFERROR(__xludf.DUMMYFUNCTION("""COMPUTED_VALUE"""),"https://www.linkedin.com/in/sreeram-ramachandran-9b70b029/?originalSubdomain=in")</f>
        <v>https://www.linkedin.com/in/sreeram-ramachandran-9b70b029/?originalSubdomain=in</v>
      </c>
      <c r="E1903" s="17" t="str">
        <f>IFERROR(__xludf.DUMMYFUNCTION("""COMPUTED_VALUE"""),"sreeram@bankbazaar.com")</f>
        <v>sreeram@bankbazaar.com</v>
      </c>
      <c r="F1903" s="17"/>
      <c r="G1903" s="17"/>
      <c r="H1903" s="17"/>
    </row>
    <row r="1904">
      <c r="A1904" s="17" t="str">
        <f>IFERROR(__xludf.DUMMYFUNCTION("""COMPUTED_VALUE"""),"BatterySmart")</f>
        <v>BatterySmart</v>
      </c>
      <c r="B1904" s="17" t="str">
        <f>IFERROR(__xludf.DUMMYFUNCTION("""COMPUTED_VALUE"""),"Amit Bhardwaj ")</f>
        <v>Amit Bhardwaj </v>
      </c>
      <c r="C1904" s="17" t="str">
        <f>IFERROR(__xludf.DUMMYFUNCTION("""COMPUTED_VALUE"""),"CFO")</f>
        <v>CFO</v>
      </c>
      <c r="D1904" s="27" t="str">
        <f>IFERROR(__xludf.DUMMYFUNCTION("""COMPUTED_VALUE"""),"https://www.linkedin.com/in/amit-bhardwaj-89365244/?originalSubdomain=in")</f>
        <v>https://www.linkedin.com/in/amit-bhardwaj-89365244/?originalSubdomain=in</v>
      </c>
      <c r="E1904" s="17" t="str">
        <f>IFERROR(__xludf.DUMMYFUNCTION("""COMPUTED_VALUE"""),"amit.bhardwaj@batterysmart.in")</f>
        <v>amit.bhardwaj@batterysmart.in</v>
      </c>
      <c r="F1904" s="17"/>
      <c r="G1904" s="17"/>
      <c r="H1904" s="17"/>
    </row>
    <row r="1905">
      <c r="A1905" s="17" t="str">
        <f>IFERROR(__xludf.DUMMYFUNCTION("""COMPUTED_VALUE"""),"BLUESTONE")</f>
        <v>BLUESTONE</v>
      </c>
      <c r="B1905" s="17" t="str">
        <f>IFERROR(__xludf.DUMMYFUNCTION("""COMPUTED_VALUE"""),"Rumit Dugar")</f>
        <v>Rumit Dugar</v>
      </c>
      <c r="C1905" s="17" t="str">
        <f>IFERROR(__xludf.DUMMYFUNCTION("""COMPUTED_VALUE"""),"CFO")</f>
        <v>CFO</v>
      </c>
      <c r="D1905" s="27" t="str">
        <f>IFERROR(__xludf.DUMMYFUNCTION("""COMPUTED_VALUE"""),"https://www.linkedin.com/in/rumitd/?originalSubdomain=in")</f>
        <v>https://www.linkedin.com/in/rumitd/?originalSubdomain=in</v>
      </c>
      <c r="E1905" s="17" t="str">
        <f>IFERROR(__xludf.DUMMYFUNCTION("""COMPUTED_VALUE"""),"rumit.dugar@bluestone.com")</f>
        <v>rumit.dugar@bluestone.com</v>
      </c>
      <c r="F1905" s="17"/>
      <c r="G1905" s="17"/>
      <c r="H1905" s="17"/>
    </row>
    <row r="1906">
      <c r="A1906" s="17" t="str">
        <f>IFERROR(__xludf.DUMMYFUNCTION("""COMPUTED_VALUE"""),"bookmyshow")</f>
        <v>bookmyshow</v>
      </c>
      <c r="B1906" s="17" t="str">
        <f>IFERROR(__xludf.DUMMYFUNCTION("""COMPUTED_VALUE"""),"Mitesh Shah")</f>
        <v>Mitesh Shah</v>
      </c>
      <c r="C1906" s="17" t="str">
        <f>IFERROR(__xludf.DUMMYFUNCTION("""COMPUTED_VALUE"""),"CFO")</f>
        <v>CFO</v>
      </c>
      <c r="D1906" s="27" t="str">
        <f>IFERROR(__xludf.DUMMYFUNCTION("""COMPUTED_VALUE"""),"https://www.linkedin.com/in/mitesh-shah-0627873/?originalSubdomain=in")</f>
        <v>https://www.linkedin.com/in/mitesh-shah-0627873/?originalSubdomain=in</v>
      </c>
      <c r="E1906" s="17" t="str">
        <f>IFERROR(__xludf.DUMMYFUNCTION("""COMPUTED_VALUE"""),"mitesh@ipventures.in")</f>
        <v>mitesh@ipventures.in</v>
      </c>
      <c r="F1906" s="17"/>
      <c r="G1906" s="17"/>
      <c r="H1906" s="17"/>
    </row>
    <row r="1907">
      <c r="A1907" s="17" t="str">
        <f>IFERROR(__xludf.DUMMYFUNCTION("""COMPUTED_VALUE"""),"brightCHAMPS")</f>
        <v>brightCHAMPS</v>
      </c>
      <c r="B1907" s="17" t="str">
        <f>IFERROR(__xludf.DUMMYFUNCTION("""COMPUTED_VALUE"""),"Amit Kumar ")</f>
        <v>Amit Kumar </v>
      </c>
      <c r="C1907" s="17" t="str">
        <f>IFERROR(__xludf.DUMMYFUNCTION("""COMPUTED_VALUE"""),"CFO")</f>
        <v>CFO</v>
      </c>
      <c r="D1907" s="27" t="str">
        <f>IFERROR(__xludf.DUMMYFUNCTION("""COMPUTED_VALUE"""),"https://www.linkedin.com/in/amit-kumar-45459a15/?originalSubdomain=in")</f>
        <v>https://www.linkedin.com/in/amit-kumar-45459a15/?originalSubdomain=in</v>
      </c>
      <c r="E1907" s="17" t="str">
        <f>IFERROR(__xludf.DUMMYFUNCTION("""COMPUTED_VALUE"""),"amit.kumar@hdworks.in")</f>
        <v>amit.kumar@hdworks.in</v>
      </c>
      <c r="F1907" s="17"/>
      <c r="G1907" s="17"/>
      <c r="H1907" s="17"/>
    </row>
    <row r="1908">
      <c r="A1908" s="17" t="str">
        <f>IFERROR(__xludf.DUMMYFUNCTION("""COMPUTED_VALUE"""),"Capillary")</f>
        <v>Capillary</v>
      </c>
      <c r="B1908" s="17" t="str">
        <f>IFERROR(__xludf.DUMMYFUNCTION("""COMPUTED_VALUE"""),"Sunil Jain")</f>
        <v>Sunil Jain</v>
      </c>
      <c r="C1908" s="17" t="str">
        <f>IFERROR(__xludf.DUMMYFUNCTION("""COMPUTED_VALUE"""),"CFO")</f>
        <v>CFO</v>
      </c>
      <c r="D1908" s="27" t="str">
        <f>IFERROR(__xludf.DUMMYFUNCTION("""COMPUTED_VALUE"""),"https://www.linkedin.com/in/sunil-jain-bordia/?originalSubdomain=in")</f>
        <v>https://www.linkedin.com/in/sunil-jain-bordia/?originalSubdomain=in</v>
      </c>
      <c r="E1908" s="17" t="str">
        <f>IFERROR(__xludf.DUMMYFUNCTION("""COMPUTED_VALUE"""),"sunil.jain@capillarytech.com")</f>
        <v>sunil.jain@capillarytech.com</v>
      </c>
      <c r="F1908" s="17"/>
      <c r="G1908" s="17"/>
      <c r="H1908" s="17"/>
    </row>
    <row r="1909">
      <c r="A1909" s="17" t="str">
        <f>IFERROR(__xludf.DUMMYFUNCTION("""COMPUTED_VALUE"""),"Captain Fresh")</f>
        <v>Captain Fresh</v>
      </c>
      <c r="B1909" s="17" t="str">
        <f>IFERROR(__xludf.DUMMYFUNCTION("""COMPUTED_VALUE"""),"Mathew George")</f>
        <v>Mathew George</v>
      </c>
      <c r="C1909" s="17" t="str">
        <f>IFERROR(__xludf.DUMMYFUNCTION("""COMPUTED_VALUE"""),"CFO")</f>
        <v>CFO</v>
      </c>
      <c r="D1909" s="27" t="str">
        <f>IFERROR(__xludf.DUMMYFUNCTION("""COMPUTED_VALUE"""),"https://www.linkedin.com/in/mathew-george-2b23569/?originalSubdomain=in")</f>
        <v>https://www.linkedin.com/in/mathew-george-2b23569/?originalSubdomain=in</v>
      </c>
      <c r="E1909" s="17" t="str">
        <f>IFERROR(__xludf.DUMMYFUNCTION("""COMPUTED_VALUE"""),"mathew.george@captainfresh.in")</f>
        <v>mathew.george@captainfresh.in</v>
      </c>
      <c r="F1909" s="17"/>
      <c r="G1909" s="17"/>
      <c r="H1909" s="17"/>
    </row>
    <row r="1910">
      <c r="A1910" s="17" t="str">
        <f>IFERROR(__xludf.DUMMYFUNCTION("""COMPUTED_VALUE"""),"Cashfree Payments")</f>
        <v>Cashfree Payments</v>
      </c>
      <c r="B1910" s="17" t="str">
        <f>IFERROR(__xludf.DUMMYFUNCTION("""COMPUTED_VALUE"""),"Vikas Guru")</f>
        <v>Vikas Guru</v>
      </c>
      <c r="C1910" s="17" t="str">
        <f>IFERROR(__xludf.DUMMYFUNCTION("""COMPUTED_VALUE"""),"CFO")</f>
        <v>CFO</v>
      </c>
      <c r="D1910" s="27" t="str">
        <f>IFERROR(__xludf.DUMMYFUNCTION("""COMPUTED_VALUE"""),"https://www.linkedin.com/in/vikas-guru-42745b13/?originalSubdomain=in")</f>
        <v>https://www.linkedin.com/in/vikas-guru-42745b13/?originalSubdomain=in</v>
      </c>
      <c r="E1910" s="17" t="str">
        <f>IFERROR(__xludf.DUMMYFUNCTION("""COMPUTED_VALUE"""),"vikas.guru@cashfree.com")</f>
        <v>vikas.guru@cashfree.com</v>
      </c>
      <c r="F1910" s="17"/>
      <c r="G1910" s="17"/>
      <c r="H1910" s="17"/>
    </row>
    <row r="1911">
      <c r="A1911" s="17" t="str">
        <f>IFERROR(__xludf.DUMMYFUNCTION("""COMPUTED_VALUE"""),"CASHIFY .IN")</f>
        <v>CASHIFY .IN</v>
      </c>
      <c r="B1911" s="17" t="str">
        <f>IFERROR(__xludf.DUMMYFUNCTION("""COMPUTED_VALUE"""),"Subodh Garg")</f>
        <v>Subodh Garg</v>
      </c>
      <c r="C1911" s="17" t="str">
        <f>IFERROR(__xludf.DUMMYFUNCTION("""COMPUTED_VALUE"""),"CFO")</f>
        <v>CFO</v>
      </c>
      <c r="D1911" s="27" t="str">
        <f>IFERROR(__xludf.DUMMYFUNCTION("""COMPUTED_VALUE"""),"https://www.linkedin.com/in/subodh-garg-4364487/?originalSubdomain=inn")</f>
        <v>https://www.linkedin.com/in/subodh-garg-4364487/?originalSubdomain=inn</v>
      </c>
      <c r="E1911" s="17" t="str">
        <f>IFERROR(__xludf.DUMMYFUNCTION("""COMPUTED_VALUE"""),"subodh.g@cashify.in")</f>
        <v>subodh.g@cashify.in</v>
      </c>
      <c r="F1911" s="17"/>
      <c r="G1911" s="17"/>
      <c r="H1911" s="17"/>
    </row>
    <row r="1912">
      <c r="A1912" s="17" t="str">
        <f>IFERROR(__xludf.DUMMYFUNCTION("""COMPUTED_VALUE"""),"CASHKARO")</f>
        <v>CASHKARO</v>
      </c>
      <c r="B1912" s="17" t="str">
        <f>IFERROR(__xludf.DUMMYFUNCTION("""COMPUTED_VALUE"""),"Akash Gupta ")</f>
        <v>Akash Gupta </v>
      </c>
      <c r="C1912" s="17" t="str">
        <f>IFERROR(__xludf.DUMMYFUNCTION("""COMPUTED_VALUE"""),"CFO")</f>
        <v>CFO</v>
      </c>
      <c r="D1912" s="27" t="str">
        <f>IFERROR(__xludf.DUMMYFUNCTION("""COMPUTED_VALUE"""),"https://www.linkedin.com/in/akash-gupta-1b773816/?originalSubdomain=in")</f>
        <v>https://www.linkedin.com/in/akash-gupta-1b773816/?originalSubdomain=in</v>
      </c>
      <c r="E1912" s="17" t="str">
        <f>IFERROR(__xludf.DUMMYFUNCTION("""COMPUTED_VALUE"""),"akash.gupta@cashkaro.com")</f>
        <v>akash.gupta@cashkaro.com</v>
      </c>
      <c r="F1912" s="17"/>
      <c r="G1912" s="17"/>
      <c r="H1912" s="17"/>
    </row>
    <row r="1913">
      <c r="A1913" s="17" t="str">
        <f>IFERROR(__xludf.DUMMYFUNCTION("""COMPUTED_VALUE"""),"chaayos")</f>
        <v>chaayos</v>
      </c>
      <c r="B1913" s="17" t="str">
        <f>IFERROR(__xludf.DUMMYFUNCTION("""COMPUTED_VALUE"""),"Pranav Dahiya ")</f>
        <v>Pranav Dahiya </v>
      </c>
      <c r="C1913" s="17" t="str">
        <f>IFERROR(__xludf.DUMMYFUNCTION("""COMPUTED_VALUE"""),"CFO")</f>
        <v>CFO</v>
      </c>
      <c r="D1913" s="27" t="str">
        <f>IFERROR(__xludf.DUMMYFUNCTION("""COMPUTED_VALUE"""),"https://www.linkedin.com/in/pranav-dahiya-4a06725/?originalSubdomain=in")</f>
        <v>https://www.linkedin.com/in/pranav-dahiya-4a06725/?originalSubdomain=in</v>
      </c>
      <c r="E1913" s="17" t="str">
        <f>IFERROR(__xludf.DUMMYFUNCTION("""COMPUTED_VALUE"""),"pranav.dahiya@yum.com")</f>
        <v>pranav.dahiya@yum.com</v>
      </c>
      <c r="F1913" s="17"/>
      <c r="G1913" s="17"/>
      <c r="H1913" s="17"/>
    </row>
    <row r="1914">
      <c r="A1914" s="17" t="str">
        <f>IFERROR(__xludf.DUMMYFUNCTION("""COMPUTED_VALUE"""),"CHALO")</f>
        <v>CHALO</v>
      </c>
      <c r="B1914" s="17" t="str">
        <f>IFERROR(__xludf.DUMMYFUNCTION("""COMPUTED_VALUE"""),"Suman Jaisinghani")</f>
        <v>Suman Jaisinghani</v>
      </c>
      <c r="C1914" s="17" t="str">
        <f>IFERROR(__xludf.DUMMYFUNCTION("""COMPUTED_VALUE"""),"CFO")</f>
        <v>CFO</v>
      </c>
      <c r="D1914" s="27" t="str">
        <f>IFERROR(__xludf.DUMMYFUNCTION("""COMPUTED_VALUE"""),"https://www.linkedin.com/in/suman-jaisinghani-67557856/?originalSubdomain=in")</f>
        <v>https://www.linkedin.com/in/suman-jaisinghani-67557856/?originalSubdomain=in</v>
      </c>
      <c r="E1914" s="17" t="str">
        <f>IFERROR(__xludf.DUMMYFUNCTION("""COMPUTED_VALUE"""),"suman.j@chalo.com")</f>
        <v>suman.j@chalo.com</v>
      </c>
      <c r="F1914" s="17"/>
      <c r="G1914" s="17"/>
      <c r="H1914" s="17"/>
    </row>
    <row r="1915">
      <c r="A1915" s="17" t="str">
        <f>IFERROR(__xludf.DUMMYFUNCTION("""COMPUTED_VALUE"""),"CITYMALL")</f>
        <v>CITYMALL</v>
      </c>
      <c r="B1915" s="17" t="str">
        <f>IFERROR(__xludf.DUMMYFUNCTION("""COMPUTED_VALUE"""),"Angad K.")</f>
        <v>Angad K.</v>
      </c>
      <c r="C1915" s="17" t="str">
        <f>IFERROR(__xludf.DUMMYFUNCTION("""COMPUTED_VALUE"""),"CFO")</f>
        <v>CFO</v>
      </c>
      <c r="D1915" s="27" t="str">
        <f>IFERROR(__xludf.DUMMYFUNCTION("""COMPUTED_VALUE"""),"https://www.linkedin.com/in/angad-k-68478312/?originalSubdomain=in")</f>
        <v>https://www.linkedin.com/in/angad-k-68478312/?originalSubdomain=in</v>
      </c>
      <c r="E1915" s="17" t="str">
        <f>IFERROR(__xludf.DUMMYFUNCTION("""COMPUTED_VALUE"""),"angad@citymall.live")</f>
        <v>angad@citymall.live</v>
      </c>
      <c r="F1915" s="17"/>
      <c r="G1915" s="17"/>
      <c r="H1915" s="17"/>
    </row>
    <row r="1916">
      <c r="A1916" s="17" t="str">
        <f>IFERROR(__xludf.DUMMYFUNCTION("""COMPUTED_VALUE"""),"Classplus")</f>
        <v>Classplus</v>
      </c>
      <c r="B1916" s="17" t="str">
        <f>IFERROR(__xludf.DUMMYFUNCTION("""COMPUTED_VALUE"""),"Sankalp Aggarwal")</f>
        <v>Sankalp Aggarwal</v>
      </c>
      <c r="C1916" s="17" t="str">
        <f>IFERROR(__xludf.DUMMYFUNCTION("""COMPUTED_VALUE"""),"CFO")</f>
        <v>CFO</v>
      </c>
      <c r="D1916" s="27" t="str">
        <f>IFERROR(__xludf.DUMMYFUNCTION("""COMPUTED_VALUE"""),"https://www.linkedin.com/in/sankalp-aggarwal-26866748/?originalSubdomain=in")</f>
        <v>https://www.linkedin.com/in/sankalp-aggarwal-26866748/?originalSubdomain=in</v>
      </c>
      <c r="E1916" s="17"/>
      <c r="F1916" s="17"/>
      <c r="G1916" s="17"/>
      <c r="H1916" s="17"/>
    </row>
    <row r="1917">
      <c r="A1917" s="17" t="str">
        <f>IFERROR(__xludf.DUMMYFUNCTION("""COMPUTED_VALUE"""),"CLEAR")</f>
        <v>CLEAR</v>
      </c>
      <c r="B1917" s="17" t="str">
        <f>IFERROR(__xludf.DUMMYFUNCTION("""COMPUTED_VALUE"""),"Jen Hsu")</f>
        <v>Jen Hsu</v>
      </c>
      <c r="C1917" s="17" t="str">
        <f>IFERROR(__xludf.DUMMYFUNCTION("""COMPUTED_VALUE"""),"CFO")</f>
        <v>CFO</v>
      </c>
      <c r="D1917" s="27" t="str">
        <f>IFERROR(__xludf.DUMMYFUNCTION("""COMPUTED_VALUE"""),"https://www.linkedin.com/in/jen-hsu-b2459716/")</f>
        <v>https://www.linkedin.com/in/jen-hsu-b2459716/</v>
      </c>
      <c r="E1917" s="17" t="str">
        <f>IFERROR(__xludf.DUMMYFUNCTION("""COMPUTED_VALUE"""),"jen.hsu@clearme.com")</f>
        <v>jen.hsu@clearme.com</v>
      </c>
      <c r="F1917" s="17"/>
      <c r="G1917" s="17"/>
      <c r="H1917" s="17"/>
    </row>
    <row r="1918">
      <c r="A1918" s="17" t="str">
        <f>IFERROR(__xludf.DUMMYFUNCTION("""COMPUTED_VALUE"""),"EAT. CLUB")</f>
        <v>EAT. CLUB</v>
      </c>
      <c r="B1918" s="17" t="str">
        <f>IFERROR(__xludf.DUMMYFUNCTION("""COMPUTED_VALUE"""),"Alla Arkhipova")</f>
        <v>Alla Arkhipova</v>
      </c>
      <c r="C1918" s="17" t="str">
        <f>IFERROR(__xludf.DUMMYFUNCTION("""COMPUTED_VALUE"""),"CFO")</f>
        <v>CFO</v>
      </c>
      <c r="D1918" s="27" t="str">
        <f>IFERROR(__xludf.DUMMYFUNCTION("""COMPUTED_VALUE"""),"https://www.linkedin.com/in/alla-arkhipova/")</f>
        <v>https://www.linkedin.com/in/alla-arkhipova/</v>
      </c>
      <c r="E1918" s="17" t="str">
        <f>IFERROR(__xludf.DUMMYFUNCTION("""COMPUTED_VALUE"""),"alla@eatclub.com.au")</f>
        <v>alla@eatclub.com.au</v>
      </c>
      <c r="F1918" s="17"/>
      <c r="G1918" s="17"/>
      <c r="H1918" s="17"/>
    </row>
    <row r="1919">
      <c r="A1919" s="17" t="str">
        <f>IFERROR(__xludf.DUMMYFUNCTION("""COMPUTED_VALUE"""),"Credgenics")</f>
        <v>Credgenics</v>
      </c>
      <c r="B1919" s="17" t="str">
        <f>IFERROR(__xludf.DUMMYFUNCTION("""COMPUTED_VALUE"""),"Nishi Agrawal ")</f>
        <v>Nishi Agrawal </v>
      </c>
      <c r="C1919" s="17" t="str">
        <f>IFERROR(__xludf.DUMMYFUNCTION("""COMPUTED_VALUE"""),"CFO")</f>
        <v>CFO</v>
      </c>
      <c r="D1919" s="27" t="str">
        <f>IFERROR(__xludf.DUMMYFUNCTION("""COMPUTED_VALUE"""),"https://www.linkedin.com/in/nishiagrawal01/?originalSubdomain=in")</f>
        <v>https://www.linkedin.com/in/nishiagrawal01/?originalSubdomain=in</v>
      </c>
      <c r="E1919" s="17" t="str">
        <f>IFERROR(__xludf.DUMMYFUNCTION("""COMPUTED_VALUE"""),"nishi.agrawal@credgenics.com")</f>
        <v>nishi.agrawal@credgenics.com</v>
      </c>
      <c r="F1919" s="17"/>
      <c r="G1919" s="17"/>
      <c r="H1919" s="17"/>
    </row>
    <row r="1920">
      <c r="A1920" s="17" t="str">
        <f>IFERROR(__xludf.DUMMYFUNCTION("""COMPUTED_VALUE"""),"cue math")</f>
        <v>cue math</v>
      </c>
      <c r="B1920" s="17" t="str">
        <f>IFERROR(__xludf.DUMMYFUNCTION("""COMPUTED_VALUE"""),"Samir Kulshrestha")</f>
        <v>Samir Kulshrestha</v>
      </c>
      <c r="C1920" s="17" t="str">
        <f>IFERROR(__xludf.DUMMYFUNCTION("""COMPUTED_VALUE"""),"CFO")</f>
        <v>CFO</v>
      </c>
      <c r="D1920" s="27" t="str">
        <f>IFERROR(__xludf.DUMMYFUNCTION("""COMPUTED_VALUE"""),"https://www.linkedin.com/in/samir-kulshrestha-b83a2814/?originalSubdomain=in")</f>
        <v>https://www.linkedin.com/in/samir-kulshrestha-b83a2814/?originalSubdomain=in</v>
      </c>
      <c r="E1920" s="17" t="str">
        <f>IFERROR(__xludf.DUMMYFUNCTION("""COMPUTED_VALUE"""),"samir.k@qnulabs.com")</f>
        <v>samir.k@qnulabs.com</v>
      </c>
      <c r="F1920" s="17"/>
      <c r="G1920" s="17"/>
      <c r="H1920" s="17"/>
    </row>
    <row r="1921">
      <c r="A1921" s="17" t="str">
        <f>IFERROR(__xludf.DUMMYFUNCTION("""COMPUTED_VALUE"""),"DeHaat")</f>
        <v>DeHaat</v>
      </c>
      <c r="B1921" s="17" t="str">
        <f>IFERROR(__xludf.DUMMYFUNCTION("""COMPUTED_VALUE"""),"Aashish Agarwal")</f>
        <v>Aashish Agarwal</v>
      </c>
      <c r="C1921" s="17" t="str">
        <f>IFERROR(__xludf.DUMMYFUNCTION("""COMPUTED_VALUE"""),"CFO")</f>
        <v>CFO</v>
      </c>
      <c r="D1921" s="27" t="str">
        <f>IFERROR(__xludf.DUMMYFUNCTION("""COMPUTED_VALUE"""),"https://www.linkedin.com/in/caagarwalaashish/?originalSubdomain=in")</f>
        <v>https://www.linkedin.com/in/caagarwalaashish/?originalSubdomain=in</v>
      </c>
      <c r="E1921" s="17" t="str">
        <f>IFERROR(__xludf.DUMMYFUNCTION("""COMPUTED_VALUE"""),"aashish.agarwal@agrevolution.in")</f>
        <v>aashish.agarwal@agrevolution.in</v>
      </c>
      <c r="F1921" s="17"/>
      <c r="G1921" s="17"/>
      <c r="H1921" s="17"/>
    </row>
    <row r="1922">
      <c r="A1922" s="17" t="str">
        <f>IFERROR(__xludf.DUMMYFUNCTION("""COMPUTED_VALUE"""),"dhan")</f>
        <v>dhan</v>
      </c>
      <c r="B1922" s="17" t="str">
        <f>IFERROR(__xludf.DUMMYFUNCTION("""COMPUTED_VALUE"""),"AMIT GUPTA")</f>
        <v>AMIT GUPTA</v>
      </c>
      <c r="C1922" s="17" t="str">
        <f>IFERROR(__xludf.DUMMYFUNCTION("""COMPUTED_VALUE"""),"CFO")</f>
        <v>CFO</v>
      </c>
      <c r="D1922" s="27" t="str">
        <f>IFERROR(__xludf.DUMMYFUNCTION("""COMPUTED_VALUE"""),"https://www.linkedin.com/in/amit-gupta-10876115/")</f>
        <v>https://www.linkedin.com/in/amit-gupta-10876115/</v>
      </c>
      <c r="E1922" s="17" t="str">
        <f>IFERROR(__xludf.DUMMYFUNCTION("""COMPUTED_VALUE"""),"amit.gupta@raiseholding.co")</f>
        <v>amit.gupta@raiseholding.co</v>
      </c>
      <c r="F1922" s="17"/>
      <c r="G1922" s="17"/>
      <c r="H1922" s="17"/>
    </row>
    <row r="1923">
      <c r="A1923" s="17" t="str">
        <f>IFERROR(__xludf.DUMMYFUNCTION("""COMPUTED_VALUE"""),"DRIP")</f>
        <v>DRIP</v>
      </c>
      <c r="B1923" s="17"/>
      <c r="C1923" s="17" t="str">
        <f>IFERROR(__xludf.DUMMYFUNCTION("""COMPUTED_VALUE"""),"CFO")</f>
        <v>CFO</v>
      </c>
      <c r="D1923" s="17"/>
      <c r="E1923" s="17"/>
      <c r="F1923" s="17"/>
      <c r="G1923" s="17"/>
      <c r="H1923" s="17"/>
    </row>
    <row r="1924">
      <c r="A1924" s="17" t="str">
        <f>IFERROR(__xludf.DUMMYFUNCTION("""COMPUTED_VALUE"""),"EXOTEL")</f>
        <v>EXOTEL</v>
      </c>
      <c r="B1924" s="17" t="str">
        <f>IFERROR(__xludf.DUMMYFUNCTION("""COMPUTED_VALUE"""),"Adarsh Dikshith")</f>
        <v>Adarsh Dikshith</v>
      </c>
      <c r="C1924" s="17" t="str">
        <f>IFERROR(__xludf.DUMMYFUNCTION("""COMPUTED_VALUE"""),"CFO")</f>
        <v>CFO</v>
      </c>
      <c r="D1924" s="27" t="str">
        <f>IFERROR(__xludf.DUMMYFUNCTION("""COMPUTED_VALUE"""),"https://www.linkedin.com/in/ksadarsh/?originalSubdomain=in")</f>
        <v>https://www.linkedin.com/in/ksadarsh/?originalSubdomain=in</v>
      </c>
      <c r="E1924" s="17" t="str">
        <f>IFERROR(__xludf.DUMMYFUNCTION("""COMPUTED_VALUE"""),"ksadarsh@yahoo.com")</f>
        <v>ksadarsh@yahoo.com</v>
      </c>
      <c r="F1924" s="17"/>
      <c r="G1924" s="17"/>
      <c r="H1924" s="17"/>
    </row>
    <row r="1925">
      <c r="A1925" s="17" t="str">
        <f>IFERROR(__xludf.DUMMYFUNCTION("""COMPUTED_VALUE"""),"FortEye")</f>
        <v>FortEye</v>
      </c>
      <c r="B1925" s="17"/>
      <c r="C1925" s="17" t="str">
        <f>IFERROR(__xludf.DUMMYFUNCTION("""COMPUTED_VALUE"""),"CFO")</f>
        <v>CFO</v>
      </c>
      <c r="D1925" s="17"/>
      <c r="E1925" s="17"/>
      <c r="F1925" s="17"/>
      <c r="G1925" s="17"/>
      <c r="H1925" s="17"/>
    </row>
    <row r="1926">
      <c r="A1926" s="17" t="str">
        <f>IFERROR(__xludf.DUMMYFUNCTION("""COMPUTED_VALUE"""),"fibe")</f>
        <v>fibe</v>
      </c>
      <c r="B1926" s="17" t="str">
        <f>IFERROR(__xludf.DUMMYFUNCTION("""COMPUTED_VALUE"""),"Ashish Goyal ")</f>
        <v>Ashish Goyal </v>
      </c>
      <c r="C1926" s="17" t="str">
        <f>IFERROR(__xludf.DUMMYFUNCTION("""COMPUTED_VALUE"""),"CFO")</f>
        <v>CFO</v>
      </c>
      <c r="D1926" s="27" t="str">
        <f>IFERROR(__xludf.DUMMYFUNCTION("""COMPUTED_VALUE"""),"https://www.linkedin.com/in/ashishgoyalearlysalary/?originalSubdomain=in")</f>
        <v>https://www.linkedin.com/in/ashishgoyalearlysalary/?originalSubdomain=in</v>
      </c>
      <c r="E1926" s="17" t="str">
        <f>IFERROR(__xludf.DUMMYFUNCTION("""COMPUTED_VALUE"""),"ashish@fibe.in")</f>
        <v>ashish@fibe.in</v>
      </c>
      <c r="F1926" s="17"/>
      <c r="G1926" s="17"/>
      <c r="H1926" s="17"/>
    </row>
    <row r="1927">
      <c r="A1927" s="17" t="str">
        <f>IFERROR(__xludf.DUMMYFUNCTION("""COMPUTED_VALUE"""),"Fino")</f>
        <v>Fino</v>
      </c>
      <c r="B1927" s="17" t="str">
        <f>IFERROR(__xludf.DUMMYFUNCTION("""COMPUTED_VALUE"""),"Ketan Merchant")</f>
        <v>Ketan Merchant</v>
      </c>
      <c r="C1927" s="17" t="str">
        <f>IFERROR(__xludf.DUMMYFUNCTION("""COMPUTED_VALUE"""),"CFO")</f>
        <v>CFO</v>
      </c>
      <c r="D1927" s="27" t="str">
        <f>IFERROR(__xludf.DUMMYFUNCTION("""COMPUTED_VALUE"""),"https://www.linkedin.com/in/ketan-merchant-6a955824/?originalSubdomain=in")</f>
        <v>https://www.linkedin.com/in/ketan-merchant-6a955824/?originalSubdomain=in</v>
      </c>
      <c r="E1927" s="17" t="str">
        <f>IFERROR(__xludf.DUMMYFUNCTION("""COMPUTED_VALUE"""),"ketan.merchant@fino.bank.in")</f>
        <v>ketan.merchant@fino.bank.in</v>
      </c>
      <c r="F1927" s="17"/>
      <c r="G1927" s="17"/>
      <c r="H1927" s="17"/>
    </row>
    <row r="1928">
      <c r="A1928" s="17" t="str">
        <f>IFERROR(__xludf.DUMMYFUNCTION("""COMPUTED_VALUE"""),"INOVA CAPITAL")</f>
        <v>INOVA CAPITAL</v>
      </c>
      <c r="B1928" s="17" t="str">
        <f>IFERROR(__xludf.DUMMYFUNCTION("""COMPUTED_VALUE"""),"Magdalena Pasecka")</f>
        <v>Magdalena Pasecka</v>
      </c>
      <c r="C1928" s="17" t="str">
        <f>IFERROR(__xludf.DUMMYFUNCTION("""COMPUTED_VALUE"""),"CFO")</f>
        <v>CFO</v>
      </c>
      <c r="D1928" s="27" t="str">
        <f>IFERROR(__xludf.DUMMYFUNCTION("""COMPUTED_VALUE"""),"https://www.linkedin.com/in/magdalena-pasecka-749104196/?originalSubdomain=pl")</f>
        <v>https://www.linkedin.com/in/magdalena-pasecka-749104196/?originalSubdomain=pl</v>
      </c>
      <c r="E1928" s="17" t="str">
        <f>IFERROR(__xludf.DUMMYFUNCTION("""COMPUTED_VALUE"""),"mpasecka@innovacap.com")</f>
        <v>mpasecka@innovacap.com</v>
      </c>
      <c r="F1928" s="17"/>
      <c r="G1928" s="17"/>
      <c r="H1928" s="17"/>
    </row>
    <row r="1929">
      <c r="A1929" s="17" t="str">
        <f>IFERROR(__xludf.DUMMYFUNCTION("""COMPUTED_VALUE"""),"Fresh home")</f>
        <v>Fresh home</v>
      </c>
      <c r="B1929" s="17"/>
      <c r="C1929" s="17" t="str">
        <f>IFERROR(__xludf.DUMMYFUNCTION("""COMPUTED_VALUE"""),"CFO")</f>
        <v>CFO</v>
      </c>
      <c r="D1929" s="17"/>
      <c r="E1929" s="17"/>
      <c r="F1929" s="17"/>
      <c r="G1929" s="17"/>
      <c r="H1929" s="17"/>
    </row>
    <row r="1930">
      <c r="A1930" s="17" t="str">
        <f>IFERROR(__xludf.DUMMYFUNCTION("""COMPUTED_VALUE"""),"GIVA.")</f>
        <v>GIVA.</v>
      </c>
      <c r="B1930" s="17" t="str">
        <f>IFERROR(__xludf.DUMMYFUNCTION("""COMPUTED_VALUE"""),"Aditya Todi ")</f>
        <v>Aditya Todi </v>
      </c>
      <c r="C1930" s="17" t="str">
        <f>IFERROR(__xludf.DUMMYFUNCTION("""COMPUTED_VALUE"""),"CFO")</f>
        <v>CFO</v>
      </c>
      <c r="D1930" s="27" t="str">
        <f>IFERROR(__xludf.DUMMYFUNCTION("""COMPUTED_VALUE"""),"https://www.linkedin.com/in/aditya-todi-4b01887/?originalSubdomain=in")</f>
        <v>https://www.linkedin.com/in/aditya-todi-4b01887/?originalSubdomain=in</v>
      </c>
      <c r="E1930" s="17" t="str">
        <f>IFERROR(__xludf.DUMMYFUNCTION("""COMPUTED_VALUE"""),"aditya@giva.co")</f>
        <v>aditya@giva.co</v>
      </c>
      <c r="F1930" s="17"/>
      <c r="G1930" s="17"/>
      <c r="H1930" s="17"/>
    </row>
    <row r="1931">
      <c r="A1931" s="17" t="str">
        <f>IFERROR(__xludf.DUMMYFUNCTION("""COMPUTED_VALUE"""),"GreyOrange")</f>
        <v>GreyOrange</v>
      </c>
      <c r="B1931" s="17" t="str">
        <f>IFERROR(__xludf.DUMMYFUNCTION("""COMPUTED_VALUE"""),"Guido Frantzen ")</f>
        <v>Guido Frantzen </v>
      </c>
      <c r="C1931" s="17" t="str">
        <f>IFERROR(__xludf.DUMMYFUNCTION("""COMPUTED_VALUE"""),"CFO")</f>
        <v>CFO</v>
      </c>
      <c r="D1931" s="27" t="str">
        <f>IFERROR(__xludf.DUMMYFUNCTION("""COMPUTED_VALUE"""),"https://www.linkedin.com/in/gfrantzen/")</f>
        <v>https://www.linkedin.com/in/gfrantzen/</v>
      </c>
      <c r="E1931" s="17" t="str">
        <f>IFERROR(__xludf.DUMMYFUNCTION("""COMPUTED_VALUE"""),"guido.f@greyorange.com")</f>
        <v>guido.f@greyorange.com</v>
      </c>
      <c r="F1931" s="17"/>
      <c r="G1931" s="17"/>
      <c r="H1931" s="17"/>
    </row>
    <row r="1932">
      <c r="A1932" s="17" t="str">
        <f>IFERROR(__xludf.DUMMYFUNCTION("""COMPUTED_VALUE"""),"HACKER RANK")</f>
        <v>HACKER RANK</v>
      </c>
      <c r="B1932" s="17" t="str">
        <f>IFERROR(__xludf.DUMMYFUNCTION("""COMPUTED_VALUE"""),"Ramesh S. ")</f>
        <v>Ramesh S. </v>
      </c>
      <c r="C1932" s="17" t="str">
        <f>IFERROR(__xludf.DUMMYFUNCTION("""COMPUTED_VALUE"""),"CFO")</f>
        <v>CFO</v>
      </c>
      <c r="D1932" s="27" t="str">
        <f>IFERROR(__xludf.DUMMYFUNCTION("""COMPUTED_VALUE"""),"https://www.linkedin.com/in/rameshsethuraman/")</f>
        <v>https://www.linkedin.com/in/rameshsethuraman/</v>
      </c>
      <c r="E1932" s="17" t="str">
        <f>IFERROR(__xludf.DUMMYFUNCTION("""COMPUTED_VALUE"""),"ramesh@hackerrank.com")</f>
        <v>ramesh@hackerrank.com</v>
      </c>
      <c r="F1932" s="17"/>
      <c r="G1932" s="17"/>
      <c r="H1932" s="17"/>
    </row>
    <row r="1933">
      <c r="A1933" s="17" t="str">
        <f>IFERROR(__xludf.DUMMYFUNCTION("""COMPUTED_VALUE"""),"Healthify")</f>
        <v>Healthify</v>
      </c>
      <c r="B1933" s="17" t="str">
        <f>IFERROR(__xludf.DUMMYFUNCTION("""COMPUTED_VALUE"""),"Pawan Agrawal ")</f>
        <v>Pawan Agrawal </v>
      </c>
      <c r="C1933" s="17" t="str">
        <f>IFERROR(__xludf.DUMMYFUNCTION("""COMPUTED_VALUE"""),"CFO")</f>
        <v>CFO</v>
      </c>
      <c r="D1933" s="27" t="str">
        <f>IFERROR(__xludf.DUMMYFUNCTION("""COMPUTED_VALUE"""),"https://www.linkedin.com/in/pawan-aggrawal-pa/?originalSubdomain=in ")</f>
        <v>https://www.linkedin.com/in/pawan-aggrawal-pa/?originalSubdomain=in </v>
      </c>
      <c r="E1933" s="17" t="str">
        <f>IFERROR(__xludf.DUMMYFUNCTION("""COMPUTED_VALUE"""),"pawan@healthifyme.com")</f>
        <v>pawan@healthifyme.com</v>
      </c>
      <c r="F1933" s="17"/>
      <c r="G1933" s="17"/>
      <c r="H1933" s="17"/>
    </row>
    <row r="1934">
      <c r="A1934" s="17" t="str">
        <f>IFERROR(__xludf.DUMMYFUNCTION("""COMPUTED_VALUE"""),"HEALTHKART")</f>
        <v>HEALTHKART</v>
      </c>
      <c r="B1934" s="17" t="str">
        <f>IFERROR(__xludf.DUMMYFUNCTION("""COMPUTED_VALUE"""),"Kamal Deep Singh
")</f>
        <v>Kamal Deep Singh
</v>
      </c>
      <c r="C1934" s="17" t="str">
        <f>IFERROR(__xludf.DUMMYFUNCTION("""COMPUTED_VALUE"""),"CFO")</f>
        <v>CFO</v>
      </c>
      <c r="D1934" s="27" t="str">
        <f>IFERROR(__xludf.DUMMYFUNCTION("""COMPUTED_VALUE"""),"https://www.linkedin.com/in/kamal-deep-singh-429239104/?originalSubdomain=in")</f>
        <v>https://www.linkedin.com/in/kamal-deep-singh-429239104/?originalSubdomain=in</v>
      </c>
      <c r="E1934" s="17"/>
      <c r="F1934" s="17"/>
      <c r="G1934" s="17"/>
      <c r="H1934" s="17"/>
    </row>
    <row r="1935">
      <c r="A1935" s="17" t="str">
        <f>IFERROR(__xludf.DUMMYFUNCTION("""COMPUTED_VALUE"""),"HomeLane")</f>
        <v>HomeLane</v>
      </c>
      <c r="B1935" s="17" t="str">
        <f>IFERROR(__xludf.DUMMYFUNCTION("""COMPUTED_VALUE"""),"Kaliyuga Easwarasamy V.")</f>
        <v>Kaliyuga Easwarasamy V.</v>
      </c>
      <c r="C1935" s="17" t="str">
        <f>IFERROR(__xludf.DUMMYFUNCTION("""COMPUTED_VALUE"""),"CFO")</f>
        <v>CFO</v>
      </c>
      <c r="D1935" s="27" t="str">
        <f>IFERROR(__xludf.DUMMYFUNCTION("""COMPUTED_VALUE"""),"https://www.linkedin.com/in/kaliyuga/?originalSubdomain=in")</f>
        <v>https://www.linkedin.com/in/kaliyuga/?originalSubdomain=in</v>
      </c>
      <c r="E1935" s="17"/>
      <c r="F1935" s="17"/>
      <c r="G1935" s="17"/>
      <c r="H1935" s="17"/>
    </row>
    <row r="1936">
      <c r="A1936" s="17" t="str">
        <f>IFERROR(__xludf.DUMMYFUNCTION("""COMPUTED_VALUE"""),"hopscotch")</f>
        <v>hopscotch</v>
      </c>
      <c r="B1936" s="17" t="str">
        <f>IFERROR(__xludf.DUMMYFUNCTION("""COMPUTED_VALUE"""),"Nilesh Gupta")</f>
        <v>Nilesh Gupta</v>
      </c>
      <c r="C1936" s="17" t="str">
        <f>IFERROR(__xludf.DUMMYFUNCTION("""COMPUTED_VALUE"""),"CFO")</f>
        <v>CFO</v>
      </c>
      <c r="D1936" s="27" t="str">
        <f>IFERROR(__xludf.DUMMYFUNCTION("""COMPUTED_VALUE"""),"https://www.linkedin.com/in/nilesh-gupta-8a310147/?originalSubdomain=in")</f>
        <v>https://www.linkedin.com/in/nilesh-gupta-8a310147/?originalSubdomain=in</v>
      </c>
      <c r="E1936" s="17" t="str">
        <f>IFERROR(__xludf.DUMMYFUNCTION("""COMPUTED_VALUE"""),"nilesh@hopscotch.in")</f>
        <v>nilesh@hopscotch.in</v>
      </c>
      <c r="F1936" s="17"/>
      <c r="G1936" s="17"/>
      <c r="H1936" s="17"/>
    </row>
    <row r="1937">
      <c r="A1937" s="17" t="str">
        <f>IFERROR(__xludf.DUMMYFUNCTION("""COMPUTED_VALUE"""),"ideaForge")</f>
        <v>ideaForge</v>
      </c>
      <c r="B1937" s="17" t="str">
        <f>IFERROR(__xludf.DUMMYFUNCTION("""COMPUTED_VALUE"""),"Vipul Joshi ")</f>
        <v>Vipul Joshi </v>
      </c>
      <c r="C1937" s="17" t="str">
        <f>IFERROR(__xludf.DUMMYFUNCTION("""COMPUTED_VALUE"""),"CFO")</f>
        <v>CFO</v>
      </c>
      <c r="D1937" s="27" t="str">
        <f>IFERROR(__xludf.DUMMYFUNCTION("""COMPUTED_VALUE"""),"https://www.linkedin.com/in/vipul-joshi-924b261/?originalSubdomain=in")</f>
        <v>https://www.linkedin.com/in/vipul-joshi-924b261/?originalSubdomain=in</v>
      </c>
      <c r="E1937" s="17"/>
      <c r="F1937" s="17"/>
      <c r="G1937" s="17"/>
      <c r="H1937" s="17"/>
    </row>
    <row r="1938">
      <c r="A1938" s="17" t="str">
        <f>IFERROR(__xludf.DUMMYFUNCTION("""COMPUTED_VALUE"""),"INDIGOUE")</f>
        <v>INDIGOUE</v>
      </c>
      <c r="B1938" s="17"/>
      <c r="C1938" s="17" t="str">
        <f>IFERROR(__xludf.DUMMYFUNCTION("""COMPUTED_VALUE"""),"CFO")</f>
        <v>CFO</v>
      </c>
      <c r="D1938" s="17"/>
      <c r="E1938" s="17"/>
      <c r="F1938" s="17"/>
      <c r="G1938" s="17"/>
      <c r="H1938" s="17"/>
    </row>
    <row r="1939">
      <c r="A1939" s="17" t="str">
        <f>IFERROR(__xludf.DUMMYFUNCTION("""COMPUTED_VALUE"""),"IND money")</f>
        <v>IND money</v>
      </c>
      <c r="B1939" s="17" t="str">
        <f>IFERROR(__xludf.DUMMYFUNCTION("""COMPUTED_VALUE"""),"Vinay Saraf ")</f>
        <v>Vinay Saraf </v>
      </c>
      <c r="C1939" s="17" t="str">
        <f>IFERROR(__xludf.DUMMYFUNCTION("""COMPUTED_VALUE"""),"CFO")</f>
        <v>CFO</v>
      </c>
      <c r="D1939" s="27" t="str">
        <f>IFERROR(__xludf.DUMMYFUNCTION("""COMPUTED_VALUE"""),"https://www.linkedin.com/in/cavinaysaraf/?originalSubdomain=in")</f>
        <v>https://www.linkedin.com/in/cavinaysaraf/?originalSubdomain=in</v>
      </c>
      <c r="E1939" s="17" t="str">
        <f>IFERROR(__xludf.DUMMYFUNCTION("""COMPUTED_VALUE"""),"vinay.saraf@indmoney.com")</f>
        <v>vinay.saraf@indmoney.com</v>
      </c>
      <c r="F1939" s="17"/>
      <c r="G1939" s="17"/>
      <c r="H1939" s="17"/>
    </row>
    <row r="1940">
      <c r="A1940" s="17" t="str">
        <f>IFERROR(__xludf.DUMMYFUNCTION("""COMPUTED_VALUE"""),"InfoEdge")</f>
        <v>InfoEdge</v>
      </c>
      <c r="B1940" s="17" t="str">
        <f>IFERROR(__xludf.DUMMYFUNCTION("""COMPUTED_VALUE"""),"Chintan Thakkar ")</f>
        <v>Chintan Thakkar </v>
      </c>
      <c r="C1940" s="17" t="str">
        <f>IFERROR(__xludf.DUMMYFUNCTION("""COMPUTED_VALUE"""),"CFO")</f>
        <v>CFO</v>
      </c>
      <c r="D1940" s="27" t="str">
        <f>IFERROR(__xludf.DUMMYFUNCTION("""COMPUTED_VALUE"""),"https://www.linkedin.com/in/chintan-thakkar/?originalSubdomain=in")</f>
        <v>https://www.linkedin.com/in/chintan-thakkar/?originalSubdomain=in</v>
      </c>
      <c r="E1940" s="17" t="str">
        <f>IFERROR(__xludf.DUMMYFUNCTION("""COMPUTED_VALUE"""),"chintan.thakkar@infoedge.in")</f>
        <v>chintan.thakkar@infoedge.in</v>
      </c>
      <c r="F1940" s="17"/>
      <c r="G1940" s="17"/>
      <c r="H1940" s="17"/>
    </row>
    <row r="1941">
      <c r="A1941" s="17" t="str">
        <f>IFERROR(__xludf.DUMMYFUNCTION("""COMPUTED_VALUE"""),"Infibeam Avenues")</f>
        <v>Infibeam Avenues</v>
      </c>
      <c r="B1941" s="17" t="str">
        <f>IFERROR(__xludf.DUMMYFUNCTION("""COMPUTED_VALUE"""),"Sunil Bhagat")</f>
        <v>Sunil Bhagat</v>
      </c>
      <c r="C1941" s="17" t="str">
        <f>IFERROR(__xludf.DUMMYFUNCTION("""COMPUTED_VALUE"""),"CFO")</f>
        <v>CFO</v>
      </c>
      <c r="D1941" s="27" t="str">
        <f>IFERROR(__xludf.DUMMYFUNCTION("""COMPUTED_VALUE"""),"https://www.linkedin.com/in/sunil-bhagat-405a4097/?originalSubdomain=in")</f>
        <v>https://www.linkedin.com/in/sunil-bhagat-405a4097/?originalSubdomain=in</v>
      </c>
      <c r="E1941" s="17" t="str">
        <f>IFERROR(__xludf.DUMMYFUNCTION("""COMPUTED_VALUE"""),"sunil.bhagat@ia.ooo")</f>
        <v>sunil.bhagat@ia.ooo</v>
      </c>
      <c r="F1941" s="17"/>
      <c r="G1941" s="17"/>
      <c r="H1941" s="17"/>
    </row>
    <row r="1942">
      <c r="A1942" s="17" t="str">
        <f>IFERROR(__xludf.DUMMYFUNCTION("""COMPUTED_VALUE"""),"innoviti")</f>
        <v>innoviti</v>
      </c>
      <c r="B1942" s="17" t="str">
        <f>IFERROR(__xludf.DUMMYFUNCTION("""COMPUTED_VALUE"""),"Adithya U G")</f>
        <v>Adithya U G</v>
      </c>
      <c r="C1942" s="17" t="str">
        <f>IFERROR(__xludf.DUMMYFUNCTION("""COMPUTED_VALUE"""),"CFO")</f>
        <v>CFO</v>
      </c>
      <c r="D1942" s="27" t="str">
        <f>IFERROR(__xludf.DUMMYFUNCTION("""COMPUTED_VALUE"""),"https://www.linkedin.com/in/adithya-u-g-8b848414/?originalSubdomain=in")</f>
        <v>https://www.linkedin.com/in/adithya-u-g-8b848414/?originalSubdomain=in</v>
      </c>
      <c r="E1942" s="17" t="str">
        <f>IFERROR(__xludf.DUMMYFUNCTION("""COMPUTED_VALUE"""),"adithyaug@liminalcustody.com")</f>
        <v>adithyaug@liminalcustody.com</v>
      </c>
      <c r="F1942" s="17"/>
      <c r="G1942" s="17"/>
      <c r="H1942" s="17"/>
    </row>
    <row r="1943">
      <c r="A1943" s="17" t="str">
        <f>IFERROR(__xludf.DUMMYFUNCTION("""COMPUTED_VALUE"""),"inshorts")</f>
        <v>inshorts</v>
      </c>
      <c r="B1943" s="17" t="str">
        <f>IFERROR(__xludf.DUMMYFUNCTION("""COMPUTED_VALUE"""),"Rajan Joshi
 ")</f>
        <v>Rajan Joshi
 </v>
      </c>
      <c r="C1943" s="17" t="str">
        <f>IFERROR(__xludf.DUMMYFUNCTION("""COMPUTED_VALUE"""),"CFO")</f>
        <v>CFO</v>
      </c>
      <c r="D1943" s="27" t="str">
        <f>IFERROR(__xludf.DUMMYFUNCTION("""COMPUTED_VALUE"""),"https://www.linkedin.com/in/rajan-joshi-17a70476/?originalSubdomain=in")</f>
        <v>https://www.linkedin.com/in/rajan-joshi-17a70476/?originalSubdomain=in</v>
      </c>
      <c r="E1943" s="17"/>
      <c r="F1943" s="17"/>
      <c r="G1943" s="17"/>
      <c r="H1943" s="17"/>
    </row>
    <row r="1944">
      <c r="A1944" s="17" t="str">
        <f>IFERROR(__xludf.DUMMYFUNCTION("""COMPUTED_VALUE"""),"InsuranceDekho")</f>
        <v>InsuranceDekho</v>
      </c>
      <c r="B1944" s="17" t="str">
        <f>IFERROR(__xludf.DUMMYFUNCTION("""COMPUTED_VALUE"""),"Prabhat Agarwal")</f>
        <v>Prabhat Agarwal</v>
      </c>
      <c r="C1944" s="17" t="str">
        <f>IFERROR(__xludf.DUMMYFUNCTION("""COMPUTED_VALUE"""),"CFO")</f>
        <v>CFO</v>
      </c>
      <c r="D1944" s="27" t="str">
        <f>IFERROR(__xludf.DUMMYFUNCTION("""COMPUTED_VALUE"""),"https://www.linkedin.com/in/prabhat-agarwal/?originalSubdomain=in")</f>
        <v>https://www.linkedin.com/in/prabhat-agarwal/?originalSubdomain=in</v>
      </c>
      <c r="E1944" s="17" t="str">
        <f>IFERROR(__xludf.DUMMYFUNCTION("""COMPUTED_VALUE"""),"prabhat.agarwal@insurancedekho.com")</f>
        <v>prabhat.agarwal@insurancedekho.com</v>
      </c>
      <c r="F1944" s="17"/>
      <c r="G1944" s="17"/>
      <c r="H1944" s="17"/>
    </row>
    <row r="1945">
      <c r="A1945" s="17" t="str">
        <f>IFERROR(__xludf.DUMMYFUNCTION("""COMPUTED_VALUE"""),"jupiter")</f>
        <v>jupiter</v>
      </c>
      <c r="B1945" s="17" t="str">
        <f>IFERROR(__xludf.DUMMYFUNCTION("""COMPUTED_VALUE"""),"Abhay Maheshwari")</f>
        <v>Abhay Maheshwari</v>
      </c>
      <c r="C1945" s="17" t="str">
        <f>IFERROR(__xludf.DUMMYFUNCTION("""COMPUTED_VALUE"""),"CFO")</f>
        <v>CFO</v>
      </c>
      <c r="D1945" s="27" t="str">
        <f>IFERROR(__xludf.DUMMYFUNCTION("""COMPUTED_VALUE"""),"https://www.linkedin.com/in/abhaymaheshwari07/?originalSubdomain=in")</f>
        <v>https://www.linkedin.com/in/abhaymaheshwari07/?originalSubdomain=in</v>
      </c>
      <c r="E1945" s="17" t="str">
        <f>IFERROR(__xludf.DUMMYFUNCTION("""COMPUTED_VALUE"""),"a.maheshwari@jupitercapital.in")</f>
        <v>a.maheshwari@jupitercapital.in</v>
      </c>
      <c r="F1945" s="17"/>
      <c r="G1945" s="17"/>
      <c r="H1945" s="17"/>
    </row>
    <row r="1946">
      <c r="A1946" s="17" t="str">
        <f>IFERROR(__xludf.DUMMYFUNCTION("""COMPUTED_VALUE"""),"JUSPAY")</f>
        <v>JUSPAY</v>
      </c>
      <c r="B1946" s="17" t="str">
        <f>IFERROR(__xludf.DUMMYFUNCTION("""COMPUTED_VALUE"""),"Raghavendra G S ")</f>
        <v>Raghavendra G S </v>
      </c>
      <c r="C1946" s="17" t="str">
        <f>IFERROR(__xludf.DUMMYFUNCTION("""COMPUTED_VALUE"""),"CFO")</f>
        <v>CFO</v>
      </c>
      <c r="D1946" s="27" t="str">
        <f>IFERROR(__xludf.DUMMYFUNCTION("""COMPUTED_VALUE"""),"https://www.linkedin.com/in/raghavendra-g-s-6092012/?originalSubdomain=in")</f>
        <v>https://www.linkedin.com/in/raghavendra-g-s-6092012/?originalSubdomain=in</v>
      </c>
      <c r="E1946" s="17" t="str">
        <f>IFERROR(__xludf.DUMMYFUNCTION("""COMPUTED_VALUE"""),"raghavendra.gs@juspay.io")</f>
        <v>raghavendra.gs@juspay.io</v>
      </c>
      <c r="F1946" s="17"/>
      <c r="G1946" s="17"/>
      <c r="H1946" s="17"/>
    </row>
    <row r="1947">
      <c r="A1947" s="17" t="str">
        <f>IFERROR(__xludf.DUMMYFUNCTION("""COMPUTED_VALUE"""),"KISSHT")</f>
        <v>KISSHT</v>
      </c>
      <c r="B1947" s="17" t="str">
        <f>IFERROR(__xludf.DUMMYFUNCTION("""COMPUTED_VALUE"""),"Ranvir Singh")</f>
        <v>Ranvir Singh</v>
      </c>
      <c r="C1947" s="17" t="str">
        <f>IFERROR(__xludf.DUMMYFUNCTION("""COMPUTED_VALUE"""),"CEO")</f>
        <v>CEO</v>
      </c>
      <c r="D1947" s="27" t="str">
        <f>IFERROR(__xludf.DUMMYFUNCTION("""COMPUTED_VALUE"""),"https://www.linkedin.com/in/ranvir-singh-23701719/?originalSubdomain=in")</f>
        <v>https://www.linkedin.com/in/ranvir-singh-23701719/?originalSubdomain=in</v>
      </c>
      <c r="E1947" s="17" t="str">
        <f>IFERROR(__xludf.DUMMYFUNCTION("""COMPUTED_VALUE"""),"ranvir.singh@kissht.com")</f>
        <v>ranvir.singh@kissht.com</v>
      </c>
      <c r="F1947" s="17"/>
      <c r="G1947" s="17"/>
      <c r="H1947" s="17"/>
    </row>
    <row r="1948">
      <c r="A1948" s="17" t="str">
        <f>IFERROR(__xludf.DUMMYFUNCTION("""COMPUTED_VALUE"""),"KreditBee")</f>
        <v>KreditBee</v>
      </c>
      <c r="B1948" s="17" t="str">
        <f>IFERROR(__xludf.DUMMYFUNCTION("""COMPUTED_VALUE"""),"Vivek Veda")</f>
        <v>Vivek Veda</v>
      </c>
      <c r="C1948" s="17" t="str">
        <f>IFERROR(__xludf.DUMMYFUNCTION("""COMPUTED_VALUE"""),"CFO")</f>
        <v>CFO</v>
      </c>
      <c r="D1948" s="27" t="str">
        <f>IFERROR(__xludf.DUMMYFUNCTION("""COMPUTED_VALUE"""),"https://www.linkedin.com/in/vivek-veda-0aa162a/?original_referer=https%3A%2F%2Fwww%2Egoogle%2Ecom%2F&amp;originalSubdomain=in")</f>
        <v>https://www.linkedin.com/in/vivek-veda-0aa162a/?original_referer=https%3A%2F%2Fwww%2Egoogle%2Ecom%2F&amp;originalSubdomain=in</v>
      </c>
      <c r="E1948" s="17" t="str">
        <f>IFERROR(__xludf.DUMMYFUNCTION("""COMPUTED_VALUE"""),"vivek@kreditbee.in")</f>
        <v>vivek@kreditbee.in</v>
      </c>
      <c r="F1948" s="17"/>
      <c r="G1948" s="17"/>
      <c r="H1948" s="17"/>
    </row>
    <row r="1949">
      <c r="A1949" s="17" t="str">
        <f>IFERROR(__xludf.DUMMYFUNCTION("""COMPUTED_VALUE"""),"LambdaTest")</f>
        <v>LambdaTest</v>
      </c>
      <c r="B1949" s="17" t="str">
        <f>IFERROR(__xludf.DUMMYFUNCTION("""COMPUTED_VALUE"""),"Naveen Gupta ")</f>
        <v>Naveen Gupta </v>
      </c>
      <c r="C1949" s="17" t="str">
        <f>IFERROR(__xludf.DUMMYFUNCTION("""COMPUTED_VALUE"""),"CFO")</f>
        <v>CFO</v>
      </c>
      <c r="D1949" s="27" t="str">
        <f>IFERROR(__xludf.DUMMYFUNCTION("""COMPUTED_VALUE"""),"https://www.linkedin.com/in/naveen-gupta-a61910/?originalSubdomain=in")</f>
        <v>https://www.linkedin.com/in/naveen-gupta-a61910/?originalSubdomain=in</v>
      </c>
      <c r="E1949" s="17" t="str">
        <f>IFERROR(__xludf.DUMMYFUNCTION("""COMPUTED_VALUE"""),"naveeng@lambdatest.com")</f>
        <v>naveeng@lambdatest.com</v>
      </c>
      <c r="F1949" s="17"/>
      <c r="G1949" s="17"/>
      <c r="H1949" s="17"/>
    </row>
    <row r="1950">
      <c r="A1950" s="17" t="str">
        <f>IFERROR(__xludf.DUMMYFUNCTION("""COMPUTED_VALUE"""),"LEAP")</f>
        <v>LEAP</v>
      </c>
      <c r="B1950" s="17" t="str">
        <f>IFERROR(__xludf.DUMMYFUNCTION("""COMPUTED_VALUE"""),"Gianni Pesce")</f>
        <v>Gianni Pesce</v>
      </c>
      <c r="C1950" s="17" t="str">
        <f>IFERROR(__xludf.DUMMYFUNCTION("""COMPUTED_VALUE"""),"CFO")</f>
        <v>CFO</v>
      </c>
      <c r="D1950" s="27" t="str">
        <f>IFERROR(__xludf.DUMMYFUNCTION("""COMPUTED_VALUE"""),"https://www.linkedin.com/in/gianni-pesce-89827940/")</f>
        <v>https://www.linkedin.com/in/gianni-pesce-89827940/</v>
      </c>
      <c r="E1950" s="17" t="str">
        <f>IFERROR(__xludf.DUMMYFUNCTION("""COMPUTED_VALUE"""),"gpesce@leaptodigital.com")</f>
        <v>gpesce@leaptodigital.com</v>
      </c>
      <c r="F1950" s="17"/>
      <c r="G1950" s="17"/>
      <c r="H1950" s="17"/>
    </row>
    <row r="1951">
      <c r="A1951" s="17" t="str">
        <f>IFERROR(__xludf.DUMMYFUNCTION("""COMPUTED_VALUE"""),"LOGINEXT")</f>
        <v>LOGINEXT</v>
      </c>
      <c r="B1951" s="17" t="str">
        <f>IFERROR(__xludf.DUMMYFUNCTION("""COMPUTED_VALUE"""),"Dhruvil Sanghvi")</f>
        <v>Dhruvil Sanghvi</v>
      </c>
      <c r="C1951" s="17" t="str">
        <f>IFERROR(__xludf.DUMMYFUNCTION("""COMPUTED_VALUE"""),"CEO")</f>
        <v>CEO</v>
      </c>
      <c r="D1951" s="27" t="str">
        <f>IFERROR(__xludf.DUMMYFUNCTION("""COMPUTED_VALUE"""),"https://www.linkedin.com/in/dhruvilsanghvi/")</f>
        <v>https://www.linkedin.com/in/dhruvilsanghvi/</v>
      </c>
      <c r="E1951" s="17"/>
      <c r="F1951" s="17"/>
      <c r="G1951" s="17"/>
      <c r="H1951" s="17"/>
    </row>
    <row r="1952">
      <c r="A1952" s="17" t="str">
        <f>IFERROR(__xludf.DUMMYFUNCTION("""COMPUTED_VALUE"""),"mygate")</f>
        <v>mygate</v>
      </c>
      <c r="B1952" s="17" t="str">
        <f>IFERROR(__xludf.DUMMYFUNCTION("""COMPUTED_VALUE"""),"Praveen Boda")</f>
        <v>Praveen Boda</v>
      </c>
      <c r="C1952" s="17" t="str">
        <f>IFERROR(__xludf.DUMMYFUNCTION("""COMPUTED_VALUE"""),"CFO")</f>
        <v>CFO</v>
      </c>
      <c r="D1952" s="27" t="str">
        <f>IFERROR(__xludf.DUMMYFUNCTION("""COMPUTED_VALUE"""),"https://www.linkedin.com/in/praveenboda/?originalSubdomain=in")</f>
        <v>https://www.linkedin.com/in/praveenboda/?originalSubdomain=in</v>
      </c>
      <c r="E1952" s="17" t="str">
        <f>IFERROR(__xludf.DUMMYFUNCTION("""COMPUTED_VALUE"""),"praveen.boda@mygate.com")</f>
        <v>praveen.boda@mygate.com</v>
      </c>
      <c r="F1952" s="17"/>
      <c r="G1952" s="17"/>
      <c r="H1952" s="17"/>
    </row>
    <row r="1953">
      <c r="A1953" s="17" t="str">
        <f>IFERROR(__xludf.DUMMYFUNCTION("""COMPUTED_VALUE"""),"ninjacart")</f>
        <v>ninjacart</v>
      </c>
      <c r="B1953" s="17" t="str">
        <f>IFERROR(__xludf.DUMMYFUNCTION("""COMPUTED_VALUE"""),"Vivek Venkatesan")</f>
        <v>Vivek Venkatesan</v>
      </c>
      <c r="C1953" s="17" t="str">
        <f>IFERROR(__xludf.DUMMYFUNCTION("""COMPUTED_VALUE"""),"CFO")</f>
        <v>CFO</v>
      </c>
      <c r="D1953" s="27" t="str">
        <f>IFERROR(__xludf.DUMMYFUNCTION("""COMPUTED_VALUE"""),"https://www.linkedin.com/in/vivek-venkatesan-1562758/?originalSubdomain=in")</f>
        <v>https://www.linkedin.com/in/vivek-venkatesan-1562758/?originalSubdomain=in</v>
      </c>
      <c r="E1953" s="17" t="str">
        <f>IFERROR(__xludf.DUMMYFUNCTION("""COMPUTED_VALUE"""),"venkatesan@ninjacart.com")</f>
        <v>venkatesan@ninjacart.com</v>
      </c>
      <c r="F1953" s="17"/>
      <c r="G1953" s="17"/>
      <c r="H1953" s="17"/>
    </row>
    <row r="1954">
      <c r="A1954" s="17" t="str">
        <f>IFERROR(__xludf.DUMMYFUNCTION("""COMPUTED_VALUE"""),"NIYO")</f>
        <v>NIYO</v>
      </c>
      <c r="B1954" s="17" t="str">
        <f>IFERROR(__xludf.DUMMYFUNCTION("""COMPUTED_VALUE"""),"Gourav Kumar")</f>
        <v>Gourav Kumar</v>
      </c>
      <c r="C1954" s="17" t="str">
        <f>IFERROR(__xludf.DUMMYFUNCTION("""COMPUTED_VALUE"""),"CFO")</f>
        <v>CFO</v>
      </c>
      <c r="D1954" s="27" t="str">
        <f>IFERROR(__xludf.DUMMYFUNCTION("""COMPUTED_VALUE"""),"https://www.linkedin.com/in/gourav-kumar-58091a7/?originalSubdomain=in")</f>
        <v>https://www.linkedin.com/in/gourav-kumar-58091a7/?originalSubdomain=in</v>
      </c>
      <c r="E1954" s="17" t="str">
        <f>IFERROR(__xludf.DUMMYFUNCTION("""COMPUTED_VALUE"""),"gourav.kumar@goniyo.com")</f>
        <v>gourav.kumar@goniyo.com</v>
      </c>
      <c r="F1954" s="17"/>
      <c r="G1954" s="17"/>
      <c r="H1954" s="17"/>
    </row>
    <row r="1955">
      <c r="A1955" s="17" t="str">
        <f>IFERROR(__xludf.DUMMYFUNCTION("""COMPUTED_VALUE"""),"pepperfry")</f>
        <v>pepperfry</v>
      </c>
      <c r="B1955" s="17" t="str">
        <f>IFERROR(__xludf.DUMMYFUNCTION("""COMPUTED_VALUE"""),"Madhusudan Bihani")</f>
        <v>Madhusudan Bihani</v>
      </c>
      <c r="C1955" s="17" t="str">
        <f>IFERROR(__xludf.DUMMYFUNCTION("""COMPUTED_VALUE"""),"CFO")</f>
        <v>CFO</v>
      </c>
      <c r="D1955" s="27" t="str">
        <f>IFERROR(__xludf.DUMMYFUNCTION("""COMPUTED_VALUE"""),"https://www.linkedin.com/in/madhusudan-bihani-535a1814/?originalSubdomain=in")</f>
        <v>https://www.linkedin.com/in/madhusudan-bihani-535a1814/?originalSubdomain=in</v>
      </c>
      <c r="E1955" s="17" t="str">
        <f>IFERROR(__xludf.DUMMYFUNCTION("""COMPUTED_VALUE"""),"madhusudan.b@pepperfry.com")</f>
        <v>madhusudan.b@pepperfry.com</v>
      </c>
      <c r="F1955" s="17"/>
      <c r="G1955" s="17"/>
      <c r="H1955" s="17"/>
    </row>
    <row r="1956">
      <c r="A1956" s="17" t="str">
        <f>IFERROR(__xludf.DUMMYFUNCTION("""COMPUTED_VALUE"""),"PIXIS")</f>
        <v>PIXIS</v>
      </c>
      <c r="B1956" s="17" t="str">
        <f>IFERROR(__xludf.DUMMYFUNCTION("""COMPUTED_VALUE"""),"                  Ritesh Agarwal")</f>
        <v>                  Ritesh Agarwal</v>
      </c>
      <c r="C1956" s="17" t="str">
        <f>IFERROR(__xludf.DUMMYFUNCTION("""COMPUTED_VALUE"""),"CFO")</f>
        <v>CFO</v>
      </c>
      <c r="D1956" s="27" t="str">
        <f>IFERROR(__xludf.DUMMYFUNCTION("""COMPUTED_VALUE"""),"https://www.linkedin.com/in/ritesh-agarwal-59972195/?originalSubdomain=ae")</f>
        <v>https://www.linkedin.com/in/ritesh-agarwal-59972195/?originalSubdomain=ae</v>
      </c>
      <c r="E1956" s="17" t="str">
        <f>IFERROR(__xludf.DUMMYFUNCTION("""COMPUTED_VALUE"""),"ritesh@pixis.ai")</f>
        <v>ritesh@pixis.ai</v>
      </c>
      <c r="F1956" s="17"/>
      <c r="G1956" s="17"/>
      <c r="H1956" s="17"/>
    </row>
    <row r="1957">
      <c r="A1957" s="17" t="str">
        <f>IFERROR(__xludf.DUMMYFUNCTION("""COMPUTED_VALUE"""),"pixxel")</f>
        <v>pixxel</v>
      </c>
      <c r="B1957" s="17" t="str">
        <f>IFERROR(__xludf.DUMMYFUNCTION("""COMPUTED_VALUE"""),"Srishti Bajpai")</f>
        <v>Srishti Bajpai</v>
      </c>
      <c r="C1957" s="17"/>
      <c r="D1957" s="27" t="str">
        <f>IFERROR(__xludf.DUMMYFUNCTION("""COMPUTED_VALUE"""),"https://www.linkedin.com/in/srishti-bajpai-02578039/?originalSubdomain=in")</f>
        <v>https://www.linkedin.com/in/srishti-bajpai-02578039/?originalSubdomain=in</v>
      </c>
      <c r="E1957" s="17"/>
      <c r="F1957" s="17"/>
      <c r="G1957" s="17"/>
      <c r="H1957" s="17"/>
    </row>
    <row r="1958">
      <c r="A1958" s="17" t="str">
        <f>IFERROR(__xludf.DUMMYFUNCTION("""COMPUTED_VALUE"""),"piom")</f>
        <v>piom</v>
      </c>
      <c r="B1958" s="17" t="str">
        <f>IFERROR(__xludf.DUMMYFUNCTION("""COMPUTED_VALUE"""),"Will Briggs")</f>
        <v>Will Briggs</v>
      </c>
      <c r="C1958" s="17" t="str">
        <f>IFERROR(__xludf.DUMMYFUNCTION("""COMPUTED_VALUE"""),"CFO")</f>
        <v>CFO</v>
      </c>
      <c r="D1958" s="27" t="str">
        <f>IFERROR(__xludf.DUMMYFUNCTION("""COMPUTED_VALUE"""),"https://www.linkedin.com/in/will-briggs-51994021/?originalSubdomain=uk")</f>
        <v>https://www.linkedin.com/in/will-briggs-51994021/?originalSubdomain=uk</v>
      </c>
      <c r="E1958" s="17" t="str">
        <f>IFERROR(__xludf.DUMMYFUNCTION("""COMPUTED_VALUE"""),"will.briggs@wearepion.com")</f>
        <v>will.briggs@wearepion.com</v>
      </c>
      <c r="F1958" s="17"/>
      <c r="G1958" s="17"/>
      <c r="H1958" s="17"/>
    </row>
    <row r="1959">
      <c r="A1959" s="17" t="str">
        <f>IFERROR(__xludf.DUMMYFUNCTION("""COMPUTED_VALUE"""),"Pocket FM")</f>
        <v>Pocket FM</v>
      </c>
      <c r="B1959" s="17" t="str">
        <f>IFERROR(__xludf.DUMMYFUNCTION("""COMPUTED_VALUE"""),"Anurag Sharma")</f>
        <v>Anurag Sharma</v>
      </c>
      <c r="C1959" s="17" t="str">
        <f>IFERROR(__xludf.DUMMYFUNCTION("""COMPUTED_VALUE"""),"CFO")</f>
        <v>CFO</v>
      </c>
      <c r="D1959" s="27" t="str">
        <f>IFERROR(__xludf.DUMMYFUNCTION("""COMPUTED_VALUE"""),"https://www.linkedin.com/in/anurag-sharma-2aa57854/?originalSubdomain=in")</f>
        <v>https://www.linkedin.com/in/anurag-sharma-2aa57854/?originalSubdomain=in</v>
      </c>
      <c r="E1959" s="17" t="str">
        <f>IFERROR(__xludf.DUMMYFUNCTION("""COMPUTED_VALUE"""),"anurag.sharma@pocketfm.com")</f>
        <v>anurag.sharma@pocketfm.com</v>
      </c>
      <c r="F1959" s="17"/>
      <c r="G1959" s="17"/>
      <c r="H1959" s="17"/>
    </row>
    <row r="1960">
      <c r="A1960" s="17" t="str">
        <f>IFERROR(__xludf.DUMMYFUNCTION("""COMPUTED_VALUE"""),"PROGCAP")</f>
        <v>PROGCAP</v>
      </c>
      <c r="B1960" s="17" t="str">
        <f>IFERROR(__xludf.DUMMYFUNCTION("""COMPUTED_VALUE"""),"Sushil Thaker")</f>
        <v>Sushil Thaker</v>
      </c>
      <c r="C1960" s="17" t="str">
        <f>IFERROR(__xludf.DUMMYFUNCTION("""COMPUTED_VALUE"""),"CFO")</f>
        <v>CFO</v>
      </c>
      <c r="D1960" s="27" t="str">
        <f>IFERROR(__xludf.DUMMYFUNCTION("""COMPUTED_VALUE"""),"https://www.linkedin.com/in/sushilthaker/?originalSubdomain=in")</f>
        <v>https://www.linkedin.com/in/sushilthaker/?originalSubdomain=in</v>
      </c>
      <c r="E1960" s="17" t="str">
        <f>IFERROR(__xludf.DUMMYFUNCTION("""COMPUTED_VALUE"""),"sushil@avantifinance.in")</f>
        <v>sushil@avantifinance.in</v>
      </c>
      <c r="F1960" s="17"/>
      <c r="G1960" s="17"/>
      <c r="H1960" s="17"/>
    </row>
    <row r="1961">
      <c r="A1961" s="17" t="str">
        <f>IFERROR(__xludf.DUMMYFUNCTION("""COMPUTED_VALUE"""),"Refyne")</f>
        <v>Refyne</v>
      </c>
      <c r="B1961" s="17" t="str">
        <f>IFERROR(__xludf.DUMMYFUNCTION("""COMPUTED_VALUE"""),"Krishan Agarwal")</f>
        <v>Krishan Agarwal</v>
      </c>
      <c r="C1961" s="17" t="str">
        <f>IFERROR(__xludf.DUMMYFUNCTION("""COMPUTED_VALUE"""),"CFO")</f>
        <v>CFO</v>
      </c>
      <c r="D1961" s="27" t="str">
        <f>IFERROR(__xludf.DUMMYFUNCTION("""COMPUTED_VALUE"""),"https://www.linkedin.com/in/krishan-agarwal-2a167a18/?originalSubdomain=in")</f>
        <v>https://www.linkedin.com/in/krishan-agarwal-2a167a18/?originalSubdomain=in</v>
      </c>
      <c r="E1961" s="17" t="str">
        <f>IFERROR(__xludf.DUMMYFUNCTION("""COMPUTED_VALUE"""),"krishan.agarwal@ondc.org")</f>
        <v>krishan.agarwal@ondc.org</v>
      </c>
      <c r="F1961" s="17"/>
      <c r="G1961" s="17"/>
      <c r="H1961" s="17"/>
    </row>
    <row r="1962">
      <c r="A1962" s="17" t="str">
        <f>IFERROR(__xludf.DUMMYFUNCTION("""COMPUTED_VALUE"""),"RenewBuy")</f>
        <v>RenewBuy</v>
      </c>
      <c r="B1962" s="17" t="str">
        <f>IFERROR(__xludf.DUMMYFUNCTION("""COMPUTED_VALUE"""),"Rahul Verman")</f>
        <v>Rahul Verman</v>
      </c>
      <c r="C1962" s="17" t="str">
        <f>IFERROR(__xludf.DUMMYFUNCTION("""COMPUTED_VALUE"""),"CFO")</f>
        <v>CFO</v>
      </c>
      <c r="D1962" s="27" t="str">
        <f>IFERROR(__xludf.DUMMYFUNCTION("""COMPUTED_VALUE"""),"https://www.linkedin.com/in/rahul-vermani-6b5162102/?originalSubdomain=in")</f>
        <v>https://www.linkedin.com/in/rahul-vermani-6b5162102/?originalSubdomain=in</v>
      </c>
      <c r="E1962" s="17" t="str">
        <f>IFERROR(__xludf.DUMMYFUNCTION("""COMPUTED_VALUE"""),"rahul.vermani@renewbuy.com")</f>
        <v>rahul.vermani@renewbuy.com</v>
      </c>
      <c r="F1962" s="17"/>
      <c r="G1962" s="17"/>
      <c r="H1962" s="17"/>
    </row>
    <row r="1963">
      <c r="A1963" s="17" t="str">
        <f>IFERROR(__xludf.DUMMYFUNCTION("""COMPUTED_VALUE"""),"Ripple")</f>
        <v>Ripple</v>
      </c>
      <c r="B1963" s="17" t="str">
        <f>IFERROR(__xludf.DUMMYFUNCTION("""COMPUTED_VALUE"""),"Jon Bilich")</f>
        <v>Jon Bilich</v>
      </c>
      <c r="C1963" s="17" t="str">
        <f>IFERROR(__xludf.DUMMYFUNCTION("""COMPUTED_VALUE"""),"CFO")</f>
        <v>CFO</v>
      </c>
      <c r="D1963" s="27" t="str">
        <f>IFERROR(__xludf.DUMMYFUNCTION("""COMPUTED_VALUE"""),"https://www.linkedin.com/in/jbilich/")</f>
        <v>https://www.linkedin.com/in/jbilich/</v>
      </c>
      <c r="E1963" s="17" t="str">
        <f>IFERROR(__xludf.DUMMYFUNCTION("""COMPUTED_VALUE"""),"jon@ripple.com")</f>
        <v>jon@ripple.com</v>
      </c>
      <c r="F1963" s="17"/>
      <c r="G1963" s="17"/>
      <c r="H1963" s="17"/>
    </row>
    <row r="1964">
      <c r="A1964" s="17" t="str">
        <f>IFERROR(__xludf.DUMMYFUNCTION("""COMPUTED_VALUE"""),"SCALER ")</f>
        <v>SCALER </v>
      </c>
      <c r="B1964" s="17" t="str">
        <f>IFERROR(__xludf.DUMMYFUNCTION("""COMPUTED_VALUE"""),"               Abhinav Vijayvargiya")</f>
        <v>               Abhinav Vijayvargiya</v>
      </c>
      <c r="C1964" s="17" t="str">
        <f>IFERROR(__xludf.DUMMYFUNCTION("""COMPUTED_VALUE"""),"CFO")</f>
        <v>CFO</v>
      </c>
      <c r="D1964" s="27" t="str">
        <f>IFERROR(__xludf.DUMMYFUNCTION("""COMPUTED_VALUE"""),"https://www.linkedin.com/in/abhinav-vijayvargiya-2812672b/?originalSubdomain=in")</f>
        <v>https://www.linkedin.com/in/abhinav-vijayvargiya-2812672b/?originalSubdomain=in</v>
      </c>
      <c r="E1964" s="17" t="str">
        <f>IFERROR(__xludf.DUMMYFUNCTION("""COMPUTED_VALUE"""),"abhinav.vijayvargiya@scaler.com")</f>
        <v>abhinav.vijayvargiya@scaler.com</v>
      </c>
      <c r="F1964" s="17"/>
      <c r="G1964" s="17"/>
      <c r="H1964" s="17"/>
    </row>
    <row r="1965">
      <c r="A1965" s="17" t="str">
        <f>IFERROR(__xludf.DUMMYFUNCTION("""COMPUTED_VALUE"""),"scriptbox")</f>
        <v>scriptbox</v>
      </c>
      <c r="B1965" s="17" t="str">
        <f>IFERROR(__xludf.DUMMYFUNCTION("""COMPUTED_VALUE"""),"Sanjiv Singhal ")</f>
        <v>Sanjiv Singhal </v>
      </c>
      <c r="C1965" s="17" t="str">
        <f>IFERROR(__xludf.DUMMYFUNCTION("""COMPUTED_VALUE"""),"COO")</f>
        <v>COO</v>
      </c>
      <c r="D1965" s="27" t="str">
        <f>IFERROR(__xludf.DUMMYFUNCTION("""COMPUTED_VALUE"""),"https://www.linkedin.com/in/sanjivsinghal/?originalSubdomain=in")</f>
        <v>https://www.linkedin.com/in/sanjivsinghal/?originalSubdomain=in</v>
      </c>
      <c r="E1965" s="17" t="str">
        <f>IFERROR(__xludf.DUMMYFUNCTION("""COMPUTED_VALUE"""),"sanjiv.singhal@scripbox.com")</f>
        <v>sanjiv.singhal@scripbox.com</v>
      </c>
      <c r="F1965" s="17"/>
      <c r="G1965" s="17"/>
      <c r="H1965" s="17"/>
    </row>
    <row r="1966">
      <c r="A1966" s="17" t="str">
        <f>IFERROR(__xludf.DUMMYFUNCTION("""COMPUTED_VALUE"""),"SERVIFY")</f>
        <v>SERVIFY</v>
      </c>
      <c r="B1966" s="17" t="str">
        <f>IFERROR(__xludf.DUMMYFUNCTION("""COMPUTED_VALUE"""),"Alok Vaish")</f>
        <v>Alok Vaish</v>
      </c>
      <c r="C1966" s="17" t="str">
        <f>IFERROR(__xludf.DUMMYFUNCTION("""COMPUTED_VALUE"""),"CFO")</f>
        <v>CFO</v>
      </c>
      <c r="D1966" s="27" t="str">
        <f>IFERROR(__xludf.DUMMYFUNCTION("""COMPUTED_VALUE"""),"https://www.linkedin.com/in/alok-vaish-14a69617/?originalSubdomain=in")</f>
        <v>https://www.linkedin.com/in/alok-vaish-14a69617/?originalSubdomain=in</v>
      </c>
      <c r="E1966" s="17" t="str">
        <f>IFERROR(__xludf.DUMMYFUNCTION("""COMPUTED_VALUE"""),"alok.v@servify.in")</f>
        <v>alok.v@servify.in</v>
      </c>
      <c r="F1966" s="17"/>
      <c r="G1966" s="17"/>
      <c r="H1966" s="17"/>
    </row>
    <row r="1967">
      <c r="A1967" s="17" t="str">
        <f>IFERROR(__xludf.DUMMYFUNCTION("""COMPUTED_VALUE"""),"SHADOWFAx")</f>
        <v>SHADOWFAx</v>
      </c>
      <c r="B1967" s="17" t="str">
        <f>IFERROR(__xludf.DUMMYFUNCTION("""COMPUTED_VALUE"""),"Praveen Kumar KJ
")</f>
        <v>Praveen Kumar KJ
</v>
      </c>
      <c r="C1967" s="17" t="str">
        <f>IFERROR(__xludf.DUMMYFUNCTION("""COMPUTED_VALUE"""),"CFO")</f>
        <v>CFO</v>
      </c>
      <c r="D1967" s="27" t="str">
        <f>IFERROR(__xludf.DUMMYFUNCTION("""COMPUTED_VALUE"""),"https://www.linkedin.com/in/praveen-kumar-kj-78476b1/?originalSubdomain=in")</f>
        <v>https://www.linkedin.com/in/praveen-kumar-kj-78476b1/?originalSubdomain=in</v>
      </c>
      <c r="E1967" s="17" t="str">
        <f>IFERROR(__xludf.DUMMYFUNCTION("""COMPUTED_VALUE"""),"praveen.kumar@shadowfax.in")</f>
        <v>praveen.kumar@shadowfax.in</v>
      </c>
      <c r="F1967" s="17"/>
      <c r="G1967" s="17"/>
      <c r="H1967" s="17"/>
    </row>
    <row r="1968">
      <c r="A1968" s="17" t="str">
        <f>IFERROR(__xludf.DUMMYFUNCTION("""COMPUTED_VALUE"""),"smallcase")</f>
        <v>smallcase</v>
      </c>
      <c r="B1968" s="17" t="str">
        <f>IFERROR(__xludf.DUMMYFUNCTION("""COMPUTED_VALUE"""),"                     Pratik Lohiya")</f>
        <v>                     Pratik Lohiya</v>
      </c>
      <c r="C1968" s="17" t="str">
        <f>IFERROR(__xludf.DUMMYFUNCTION("""COMPUTED_VALUE"""),"CFO")</f>
        <v>CFO</v>
      </c>
      <c r="D1968" s="27" t="str">
        <f>IFERROR(__xludf.DUMMYFUNCTION("""COMPUTED_VALUE"""),"https://www.linkedin.com/in/pratik-lohiya-01619311a/?originalSubdomain=in")</f>
        <v>https://www.linkedin.com/in/pratik-lohiya-01619311a/?originalSubdomain=in</v>
      </c>
      <c r="E1968" s="17" t="str">
        <f>IFERROR(__xludf.DUMMYFUNCTION("""COMPUTED_VALUE"""),"pratik.lohiya@smallcase.com")</f>
        <v>pratik.lohiya@smallcase.com</v>
      </c>
      <c r="F1968" s="17" t="str">
        <f>IFERROR(__xludf.DUMMYFUNCTION("""COMPUTED_VALUE"""),"pratiklohiya01@gmail.com")</f>
        <v>pratiklohiya01@gmail.com</v>
      </c>
      <c r="G1968" s="17"/>
      <c r="H1968" s="17"/>
    </row>
    <row r="1969">
      <c r="A1969" s="17" t="str">
        <f>IFERROR(__xludf.DUMMYFUNCTION("""COMPUTED_VALUE"""),"SNITCH")</f>
        <v>SNITCH</v>
      </c>
      <c r="B1969" s="17" t="str">
        <f>IFERROR(__xludf.DUMMYFUNCTION("""COMPUTED_VALUE"""),"Aniket Singh")</f>
        <v>Aniket Singh</v>
      </c>
      <c r="C1969" s="17" t="str">
        <f>IFERROR(__xludf.DUMMYFUNCTION("""COMPUTED_VALUE"""),"CBO")</f>
        <v>CBO</v>
      </c>
      <c r="D1969" s="27" t="str">
        <f>IFERROR(__xludf.DUMMYFUNCTION("""COMPUTED_VALUE"""),"https://www.linkedin.com/in/singhaniketkr/?originalSubdomain=in")</f>
        <v>https://www.linkedin.com/in/singhaniketkr/?originalSubdomain=in</v>
      </c>
      <c r="E1969" s="17" t="str">
        <f>IFERROR(__xludf.DUMMYFUNCTION("""COMPUTED_VALUE"""),"aniket@snitch.com")</f>
        <v>aniket@snitch.com</v>
      </c>
      <c r="F1969" s="17"/>
      <c r="G1969" s="17"/>
      <c r="H1969" s="17"/>
    </row>
    <row r="1970">
      <c r="A1970" s="17" t="str">
        <f>IFERROR(__xludf.DUMMYFUNCTION("""COMPUTED_VALUE"""),"square yards")</f>
        <v>square yards</v>
      </c>
      <c r="B1970" s="17" t="str">
        <f>IFERROR(__xludf.DUMMYFUNCTION("""COMPUTED_VALUE"""),"Piyush Bothra")</f>
        <v>Piyush Bothra</v>
      </c>
      <c r="C1970" s="17" t="str">
        <f>IFERROR(__xludf.DUMMYFUNCTION("""COMPUTED_VALUE"""),"CFO")</f>
        <v>CFO</v>
      </c>
      <c r="D1970" s="27" t="str">
        <f>IFERROR(__xludf.DUMMYFUNCTION("""COMPUTED_VALUE"""),"https://www.linkedin.com/in/piyushbothtra/?originalSubdomain=in")</f>
        <v>https://www.linkedin.com/in/piyushbothtra/?originalSubdomain=in</v>
      </c>
      <c r="E1970" s="17" t="str">
        <f>IFERROR(__xludf.DUMMYFUNCTION("""COMPUTED_VALUE"""),"piyush.bothra@squareyards.com")</f>
        <v>piyush.bothra@squareyards.com</v>
      </c>
      <c r="F1970" s="17"/>
      <c r="G1970" s="17"/>
      <c r="H1970" s="17"/>
    </row>
    <row r="1971">
      <c r="A1971" s="17" t="str">
        <f>IFERROR(__xludf.DUMMYFUNCTION("""COMPUTED_VALUE"""),"stanza living")</f>
        <v>stanza living</v>
      </c>
      <c r="B1971" s="17" t="str">
        <f>IFERROR(__xludf.DUMMYFUNCTION("""COMPUTED_VALUE"""),"CA ASHISH KUMAR")</f>
        <v>CA ASHISH KUMAR</v>
      </c>
      <c r="C1971" s="17" t="str">
        <f>IFERROR(__xludf.DUMMYFUNCTION("""COMPUTED_VALUE"""),"CFO")</f>
        <v>CFO</v>
      </c>
      <c r="D1971" s="27" t="str">
        <f>IFERROR(__xludf.DUMMYFUNCTION("""COMPUTED_VALUE"""),"https://www.linkedin.com/in/caashishkr/?originalSubdomain=in")</f>
        <v>https://www.linkedin.com/in/caashishkr/?originalSubdomain=in</v>
      </c>
      <c r="E1971" s="17" t="str">
        <f>IFERROR(__xludf.DUMMYFUNCTION("""COMPUTED_VALUE"""),"ashishk_209@yahoo.co.in")</f>
        <v>ashishk_209@yahoo.co.in</v>
      </c>
      <c r="F1971" s="17"/>
      <c r="G1971" s="17"/>
      <c r="H1971" s="17"/>
    </row>
    <row r="1972">
      <c r="A1972" s="17" t="str">
        <f>IFERROR(__xludf.DUMMYFUNCTION("""COMPUTED_VALUE"""),"stashfin")</f>
        <v>stashfin</v>
      </c>
      <c r="B1972" s="17" t="str">
        <f>IFERROR(__xludf.DUMMYFUNCTION("""COMPUTED_VALUE"""),"Srinivas Pramodh Emany")</f>
        <v>Srinivas Pramodh Emany</v>
      </c>
      <c r="C1972" s="17" t="str">
        <f>IFERROR(__xludf.DUMMYFUNCTION("""COMPUTED_VALUE"""),"CFO")</f>
        <v>CFO</v>
      </c>
      <c r="D1972" s="27" t="str">
        <f>IFERROR(__xludf.DUMMYFUNCTION("""COMPUTED_VALUE"""),"https://www.linkedin.com/in/srinivas-pramodh-emany-606216b/?originalSubdomain=in")</f>
        <v>https://www.linkedin.com/in/srinivas-pramodh-emany-606216b/?originalSubdomain=in</v>
      </c>
      <c r="E1972" s="17" t="str">
        <f>IFERROR(__xludf.DUMMYFUNCTION("""COMPUTED_VALUE"""),"emany_p@yahoo.com")</f>
        <v>emany_p@yahoo.com</v>
      </c>
      <c r="F1972" s="17"/>
      <c r="G1972" s="17"/>
      <c r="H1972" s="17"/>
    </row>
    <row r="1973">
      <c r="A1973" s="17" t="str">
        <f>IFERROR(__xludf.DUMMYFUNCTION("""COMPUTED_VALUE"""),"SUGAR")</f>
        <v>SUGAR</v>
      </c>
      <c r="B1973" s="17" t="str">
        <f>IFERROR(__xludf.DUMMYFUNCTION("""COMPUTED_VALUE"""),"Naveen Bhadada ")</f>
        <v>Naveen Bhadada </v>
      </c>
      <c r="C1973" s="17" t="str">
        <f>IFERROR(__xludf.DUMMYFUNCTION("""COMPUTED_VALUE"""),"CFO")</f>
        <v>CFO</v>
      </c>
      <c r="D1973" s="27" t="str">
        <f>IFERROR(__xludf.DUMMYFUNCTION("""COMPUTED_VALUE"""),"https://www.linkedin.com/in/naveen-bhadada/?originalSubdomain=in")</f>
        <v>https://www.linkedin.com/in/naveen-bhadada/?originalSubdomain=in</v>
      </c>
      <c r="E1973" s="17" t="str">
        <f>IFERROR(__xludf.DUMMYFUNCTION("""COMPUTED_VALUE"""),"naveen_bhadada@colpal.com")</f>
        <v>naveen_bhadada@colpal.com</v>
      </c>
      <c r="F1973" s="17"/>
      <c r="G1973" s="17"/>
      <c r="H1973" s="17"/>
    </row>
    <row r="1974">
      <c r="A1974" s="17" t="str">
        <f>IFERROR(__xludf.DUMMYFUNCTION("""COMPUTED_VALUE"""),"true balance")</f>
        <v>true balance</v>
      </c>
      <c r="B1974" s="17" t="str">
        <f>IFERROR(__xludf.DUMMYFUNCTION("""COMPUTED_VALUE"""),"Anupam Vasdani")</f>
        <v>Anupam Vasdani</v>
      </c>
      <c r="C1974" s="17" t="str">
        <f>IFERROR(__xludf.DUMMYFUNCTION("""COMPUTED_VALUE"""),"CFO")</f>
        <v>CFO</v>
      </c>
      <c r="D1974" s="27" t="str">
        <f>IFERROR(__xludf.DUMMYFUNCTION("""COMPUTED_VALUE"""),"https://www.linkedin.com/in/anupam-vasdani-14594a6/?originalSubdomain=in")</f>
        <v>https://www.linkedin.com/in/anupam-vasdani-14594a6/?originalSubdomain=in</v>
      </c>
      <c r="E1974" s="17" t="str">
        <f>IFERROR(__xludf.DUMMYFUNCTION("""COMPUTED_VALUE"""),"anupam.vasdani@tfsin.co.in")</f>
        <v>anupam.vasdani@tfsin.co.in</v>
      </c>
      <c r="F1974" s="17"/>
      <c r="G1974" s="17"/>
      <c r="H1974" s="17"/>
    </row>
    <row r="1975">
      <c r="A1975" s="17" t="str">
        <f>IFERROR(__xludf.DUMMYFUNCTION("""COMPUTED_VALUE"""),"turtle mint")</f>
        <v>turtle mint</v>
      </c>
      <c r="B1975" s="17" t="str">
        <f>IFERROR(__xludf.DUMMYFUNCTION("""COMPUTED_VALUE"""),"Badri Sanjeevi")</f>
        <v>Badri Sanjeevi</v>
      </c>
      <c r="C1975" s="17" t="str">
        <f>IFERROR(__xludf.DUMMYFUNCTION("""COMPUTED_VALUE"""),"CFO")</f>
        <v>CFO</v>
      </c>
      <c r="D1975" s="27" t="str">
        <f>IFERROR(__xludf.DUMMYFUNCTION("""COMPUTED_VALUE"""),"https://www.linkedin.com/in/badrisanjeevi/?originalSubdomain=in")</f>
        <v>https://www.linkedin.com/in/badrisanjeevi/?originalSubdomain=in</v>
      </c>
      <c r="E1975" s="17" t="str">
        <f>IFERROR(__xludf.DUMMYFUNCTION("""COMPUTED_VALUE"""),"badri.sanjeevi@turtlemint.com")</f>
        <v>badri.sanjeevi@turtlemint.com</v>
      </c>
      <c r="F1975" s="17"/>
      <c r="G1975" s="17"/>
      <c r="H1975" s="17"/>
    </row>
    <row r="1976">
      <c r="A1976" s="17" t="str">
        <f>IFERROR(__xludf.DUMMYFUNCTION("""COMPUTED_VALUE"""),"wakefit")</f>
        <v>wakefit</v>
      </c>
      <c r="B1976" s="17" t="str">
        <f>IFERROR(__xludf.DUMMYFUNCTION("""COMPUTED_VALUE"""),"                   Navesh Gupta")</f>
        <v>                   Navesh Gupta</v>
      </c>
      <c r="C1976" s="17" t="str">
        <f>IFERROR(__xludf.DUMMYFUNCTION("""COMPUTED_VALUE"""),"CFO")</f>
        <v>CFO</v>
      </c>
      <c r="D1976" s="27" t="str">
        <f>IFERROR(__xludf.DUMMYFUNCTION("""COMPUTED_VALUE"""),"https://www.linkedin.com/in/navesh-gupta/?originalSubdomain=in")</f>
        <v>https://www.linkedin.com/in/navesh-gupta/?originalSubdomain=in</v>
      </c>
      <c r="E1976" s="17" t="str">
        <f>IFERROR(__xludf.DUMMYFUNCTION("""COMPUTED_VALUE"""),"navesh.gupta@wakefit.co")</f>
        <v>navesh.gupta@wakefit.co</v>
      </c>
      <c r="F1976" s="17"/>
      <c r="G1976" s="17"/>
      <c r="H1976" s="17"/>
    </row>
    <row r="1977">
      <c r="A1977" s="17" t="str">
        <f>IFERROR(__xludf.DUMMYFUNCTION("""COMPUTED_VALUE"""),"way cool")</f>
        <v>way cool</v>
      </c>
      <c r="B1977" s="17" t="str">
        <f>IFERROR(__xludf.DUMMYFUNCTION("""COMPUTED_VALUE"""),"Sidhartha Patnaik ")</f>
        <v>Sidhartha Patnaik </v>
      </c>
      <c r="C1977" s="17" t="str">
        <f>IFERROR(__xludf.DUMMYFUNCTION("""COMPUTED_VALUE"""),"CFO")</f>
        <v>CFO</v>
      </c>
      <c r="D1977" s="27" t="str">
        <f>IFERROR(__xludf.DUMMYFUNCTION("""COMPUTED_VALUE"""),"https://www.linkedin.com/in/sidhartha-patnaik-273a9925/?originalSubdomain=in")</f>
        <v>https://www.linkedin.com/in/sidhartha-patnaik-273a9925/?originalSubdomain=in</v>
      </c>
      <c r="E1977" s="17" t="str">
        <f>IFERROR(__xludf.DUMMYFUNCTION("""COMPUTED_VALUE"""),"siddharth.patnaik@wrigley.com")</f>
        <v>siddharth.patnaik@wrigley.com</v>
      </c>
      <c r="F1977" s="17"/>
      <c r="G1977" s="17"/>
      <c r="H1977" s="17"/>
    </row>
    <row r="1978">
      <c r="A1978" s="17" t="str">
        <f>IFERROR(__xludf.DUMMYFUNCTION("""COMPUTED_VALUE"""),"wework")</f>
        <v>wework</v>
      </c>
      <c r="B1978" s="17" t="str">
        <f>IFERROR(__xludf.DUMMYFUNCTION("""COMPUTED_VALUE"""),"                    Clifford Lobo ")</f>
        <v>                    Clifford Lobo </v>
      </c>
      <c r="C1978" s="17" t="str">
        <f>IFERROR(__xludf.DUMMYFUNCTION("""COMPUTED_VALUE"""),"CFO")</f>
        <v>CFO</v>
      </c>
      <c r="D1978" s="27" t="str">
        <f>IFERROR(__xludf.DUMMYFUNCTION("""COMPUTED_VALUE"""),"https://www.linkedin.com/in/cliffordlobo/?originalSubdomain=in")</f>
        <v>https://www.linkedin.com/in/cliffordlobo/?originalSubdomain=in</v>
      </c>
      <c r="E1978" s="17" t="str">
        <f>IFERROR(__xludf.DUMMYFUNCTION("""COMPUTED_VALUE"""),"clifford.lobo@wework.co.in")</f>
        <v>clifford.lobo@wework.co.in</v>
      </c>
      <c r="F1978" s="17"/>
      <c r="G1978" s="17"/>
      <c r="H1978" s="17"/>
    </row>
    <row r="1979">
      <c r="A1979" s="17" t="str">
        <f>IFERROR(__xludf.DUMMYFUNCTION("""COMPUTED_VALUE"""),"whatfix")</f>
        <v>whatfix</v>
      </c>
      <c r="B1979" s="17" t="str">
        <f>IFERROR(__xludf.DUMMYFUNCTION("""COMPUTED_VALUE"""),"                    Nidhish Patni")</f>
        <v>                    Nidhish Patni</v>
      </c>
      <c r="C1979" s="17" t="str">
        <f>IFERROR(__xludf.DUMMYFUNCTION("""COMPUTED_VALUE"""),"CFO")</f>
        <v>CFO</v>
      </c>
      <c r="D1979" s="27" t="str">
        <f>IFERROR(__xludf.DUMMYFUNCTION("""COMPUTED_VALUE"""),"https://www.linkedin.com/in/nidhish-patni-881b0453/?originalSubdomain=in")</f>
        <v>https://www.linkedin.com/in/nidhish-patni-881b0453/?originalSubdomain=in</v>
      </c>
      <c r="E1979" s="17" t="str">
        <f>IFERROR(__xludf.DUMMYFUNCTION("""COMPUTED_VALUE"""),"nidhish.patni@gohighlevel.com")</f>
        <v>nidhish.patni@gohighlevel.com</v>
      </c>
      <c r="F1979" s="17"/>
      <c r="G1979" s="17"/>
      <c r="H1979" s="17"/>
    </row>
    <row r="1980">
      <c r="A1980" s="17" t="str">
        <f>IFERROR(__xludf.DUMMYFUNCTION("""COMPUTED_VALUE"""),"WINZO")</f>
        <v>WINZO</v>
      </c>
      <c r="B1980" s="17" t="str">
        <f>IFERROR(__xludf.DUMMYFUNCTION("""COMPUTED_VALUE"""),"Saumya Singh Rathore")</f>
        <v>Saumya Singh Rathore</v>
      </c>
      <c r="C1980" s="17" t="str">
        <f>IFERROR(__xludf.DUMMYFUNCTION("""COMPUTED_VALUE"""),"CFO")</f>
        <v>CFO</v>
      </c>
      <c r="D1980" s="27" t="str">
        <f>IFERROR(__xludf.DUMMYFUNCTION("""COMPUTED_VALUE"""),"https://www.linkedin.com/in/saumya-singh-rathore-winzo2212/?originalSubdomain=in")</f>
        <v>https://www.linkedin.com/in/saumya-singh-rathore-winzo2212/?originalSubdomain=in</v>
      </c>
      <c r="E1980" s="17" t="str">
        <f>IFERROR(__xludf.DUMMYFUNCTION("""COMPUTED_VALUE"""),"saumya@winzogames.com")</f>
        <v>saumya@winzogames.com</v>
      </c>
      <c r="F1980" s="17"/>
      <c r="G1980" s="17"/>
      <c r="H1980" s="17"/>
    </row>
    <row r="1981">
      <c r="A1981" s="17" t="str">
        <f>IFERROR(__xludf.DUMMYFUNCTION("""COMPUTED_VALUE"""),"WOW")</f>
        <v>WOW</v>
      </c>
      <c r="B1981" s="17" t="str">
        <f>IFERROR(__xludf.DUMMYFUNCTION("""COMPUTED_VALUE"""),"Vikas Lal")</f>
        <v>Vikas Lal</v>
      </c>
      <c r="C1981" s="17" t="str">
        <f>IFERROR(__xludf.DUMMYFUNCTION("""COMPUTED_VALUE"""),"CFO")</f>
        <v>CFO</v>
      </c>
      <c r="D1981" s="27" t="str">
        <f>IFERROR(__xludf.DUMMYFUNCTION("""COMPUTED_VALUE"""),"https://www.linkedin.com/in/vikas-lal-0240015/?originalSubdomain=in")</f>
        <v>https://www.linkedin.com/in/vikas-lal-0240015/?originalSubdomain=in</v>
      </c>
      <c r="E1981" s="17" t="str">
        <f>IFERROR(__xludf.DUMMYFUNCTION("""COMPUTED_VALUE"""),"vikas.lal@mensabrands.com")</f>
        <v>vikas.lal@mensabrands.com</v>
      </c>
      <c r="F1981" s="17" t="str">
        <f>IFERROR(__xludf.DUMMYFUNCTION("""COMPUTED_VALUE"""),"vikas_lal@whirlpool.com")</f>
        <v>vikas_lal@whirlpool.com</v>
      </c>
      <c r="G1981" s="17"/>
      <c r="H1981" s="17"/>
    </row>
    <row r="1982">
      <c r="A1982" s="17" t="str">
        <f>IFERROR(__xludf.DUMMYFUNCTION("""COMPUTED_VALUE"""),"yulu")</f>
        <v>yulu</v>
      </c>
      <c r="B1982" s="17" t="str">
        <f>IFERROR(__xludf.DUMMYFUNCTION("""COMPUTED_VALUE"""),"                       Anuj Tewari ")</f>
        <v>                       Anuj Tewari </v>
      </c>
      <c r="C1982" s="17" t="str">
        <f>IFERROR(__xludf.DUMMYFUNCTION("""COMPUTED_VALUE"""),"CFO")</f>
        <v>CFO</v>
      </c>
      <c r="D1982" s="27" t="str">
        <f>IFERROR(__xludf.DUMMYFUNCTION("""COMPUTED_VALUE"""),"https://www.linkedin.com/in/anuj-tewari-363140b/?originalSubdomain=in")</f>
        <v>https://www.linkedin.com/in/anuj-tewari-363140b/?originalSubdomain=in</v>
      </c>
      <c r="E1982" s="17" t="str">
        <f>IFERROR(__xludf.DUMMYFUNCTION("""COMPUTED_VALUE"""),"anuj@yulu.bike")</f>
        <v>anuj@yulu.bike</v>
      </c>
      <c r="F1982" s="17"/>
      <c r="G1982" s="17"/>
      <c r="H1982" s="17"/>
    </row>
    <row r="1983">
      <c r="A1983" s="17" t="str">
        <f>IFERROR(__xludf.DUMMYFUNCTION("""COMPUTED_VALUE"""),"Zaggle")</f>
        <v>Zaggle</v>
      </c>
      <c r="B1983" s="17" t="str">
        <f>IFERROR(__xludf.DUMMYFUNCTION("""COMPUTED_VALUE"""),"Aditya Kumar ")</f>
        <v>Aditya Kumar </v>
      </c>
      <c r="C1983" s="17" t="str">
        <f>IFERROR(__xludf.DUMMYFUNCTION("""COMPUTED_VALUE"""),"CFO")</f>
        <v>CFO</v>
      </c>
      <c r="D1983" s="27" t="str">
        <f>IFERROR(__xludf.DUMMYFUNCTION("""COMPUTED_VALUE"""),"https://www.linkedin.com/in/aditya-kumar-73980358/?originalSubdomain=in")</f>
        <v>https://www.linkedin.com/in/aditya-kumar-73980358/?originalSubdomain=in</v>
      </c>
      <c r="E1983" s="17" t="str">
        <f>IFERROR(__xludf.DUMMYFUNCTION("""COMPUTED_VALUE"""),"aditya.kumar@zaggle.in")</f>
        <v>aditya.kumar@zaggle.in</v>
      </c>
      <c r="F1983" s="17"/>
      <c r="G1983" s="17"/>
      <c r="H1983" s="17"/>
    </row>
    <row r="1984">
      <c r="A1984" s="17" t="str">
        <f>IFERROR(__xludf.DUMMYFUNCTION("""COMPUTED_VALUE"""),"ZENWORK")</f>
        <v>ZENWORK</v>
      </c>
      <c r="B1984" s="17" t="str">
        <f>IFERROR(__xludf.DUMMYFUNCTION("""COMPUTED_VALUE"""),"William McNamara")</f>
        <v>William McNamara</v>
      </c>
      <c r="C1984" s="17" t="str">
        <f>IFERROR(__xludf.DUMMYFUNCTION("""COMPUTED_VALUE"""),"CFO")</f>
        <v>CFO</v>
      </c>
      <c r="D1984" s="27" t="str">
        <f>IFERROR(__xludf.DUMMYFUNCTION("""COMPUTED_VALUE"""),"https://www.linkedin.com/in/wmcnamara/")</f>
        <v>https://www.linkedin.com/in/wmcnamara/</v>
      </c>
      <c r="E1984" s="17" t="str">
        <f>IFERROR(__xludf.DUMMYFUNCTION("""COMPUTED_VALUE"""),"william@zenwork.com")</f>
        <v>william@zenwork.com</v>
      </c>
      <c r="F1984" s="17"/>
      <c r="G1984" s="17"/>
      <c r="H1984" s="17"/>
    </row>
    <row r="1985">
      <c r="A1985" s="17" t="str">
        <f>IFERROR(__xludf.DUMMYFUNCTION("""COMPUTED_VALUE"""),"Zolve")</f>
        <v>Zolve</v>
      </c>
      <c r="B1985" s="17" t="str">
        <f>IFERROR(__xludf.DUMMYFUNCTION("""COMPUTED_VALUE"""),"Manish Sharma")</f>
        <v>Manish Sharma</v>
      </c>
      <c r="C1985" s="17" t="str">
        <f>IFERROR(__xludf.DUMMYFUNCTION("""COMPUTED_VALUE"""),"CFO")</f>
        <v>CFO</v>
      </c>
      <c r="D1985" s="27" t="str">
        <f>IFERROR(__xludf.DUMMYFUNCTION("""COMPUTED_VALUE"""),"https://www.linkedin.com/in/manish-sharma-63aaa814/?originalSubdomain=in")</f>
        <v>https://www.linkedin.com/in/manish-sharma-63aaa814/?originalSubdomain=in</v>
      </c>
      <c r="E1985" s="17" t="str">
        <f>IFERROR(__xludf.DUMMYFUNCTION("""COMPUTED_VALUE"""),"manish@zolve.com")</f>
        <v>manish@zolve.com</v>
      </c>
      <c r="F1985" s="17"/>
      <c r="G1985" s="17"/>
      <c r="H1985" s="17"/>
    </row>
    <row r="1986">
      <c r="A1986" s="17" t="str">
        <f>IFERROR(__xludf.DUMMYFUNCTION("""COMPUTED_VALUE"""),"ZUPEE")</f>
        <v>ZUPEE</v>
      </c>
      <c r="B1986" s="17" t="str">
        <f>IFERROR(__xludf.DUMMYFUNCTION("""COMPUTED_VALUE"""),"Ankit Maheshwari")</f>
        <v>Ankit Maheshwari</v>
      </c>
      <c r="C1986" s="17" t="str">
        <f>IFERROR(__xludf.DUMMYFUNCTION("""COMPUTED_VALUE"""),"CFO")</f>
        <v>CFO</v>
      </c>
      <c r="D1986" s="27" t="str">
        <f>IFERROR(__xludf.DUMMYFUNCTION("""COMPUTED_VALUE"""),"https://www.linkedin.com/in/ankit-maheshwari-7629a573/?originalSubdomain=in")</f>
        <v>https://www.linkedin.com/in/ankit-maheshwari-7629a573/?originalSubdomain=in</v>
      </c>
      <c r="E1986" s="17" t="str">
        <f>IFERROR(__xludf.DUMMYFUNCTION("""COMPUTED_VALUE"""),"ankit.maheshwari@zupee.com")</f>
        <v>ankit.maheshwari@zupee.com</v>
      </c>
      <c r="F1986" s="17"/>
      <c r="G1986" s="17"/>
      <c r="H1986" s="17"/>
    </row>
    <row r="1987">
      <c r="A1987" s="17" t="str">
        <f>IFERROR(__xludf.DUMMYFUNCTION("""COMPUTED_VALUE"""),"ZYPP")</f>
        <v>ZYPP</v>
      </c>
      <c r="B1987" s="17" t="str">
        <f>IFERROR(__xludf.DUMMYFUNCTION("""COMPUTED_VALUE"""),"Mukesh Singla")</f>
        <v>Mukesh Singla</v>
      </c>
      <c r="C1987" s="17" t="str">
        <f>IFERROR(__xludf.DUMMYFUNCTION("""COMPUTED_VALUE"""),"CFO")</f>
        <v>CFO</v>
      </c>
      <c r="D1987" s="27" t="str">
        <f>IFERROR(__xludf.DUMMYFUNCTION("""COMPUTED_VALUE"""),"https://www.linkedin.com/in/mukesh-singla-4855411a/?originalSubdomain=in")</f>
        <v>https://www.linkedin.com/in/mukesh-singla-4855411a/?originalSubdomain=in</v>
      </c>
      <c r="E1987" s="17" t="str">
        <f>IFERROR(__xludf.DUMMYFUNCTION("""COMPUTED_VALUE"""),"mukesh.singla@zypp.app")</f>
        <v>mukesh.singla@zypp.app</v>
      </c>
      <c r="F1987" s="17"/>
      <c r="G1987" s="17"/>
      <c r="H1987" s="17"/>
    </row>
    <row r="1988">
      <c r="A1988" s="17" t="str">
        <f>IFERROR(__xludf.DUMMYFUNCTION("""COMPUTED_VALUE"""),"Corporate")</f>
        <v>Corporate</v>
      </c>
      <c r="B1988" s="17"/>
      <c r="C1988" s="17" t="str">
        <f>IFERROR(__xludf.DUMMYFUNCTION("""COMPUTED_VALUE"""),"CFO")</f>
        <v>CFO</v>
      </c>
      <c r="D1988" s="17"/>
      <c r="E1988" s="17"/>
      <c r="F1988" s="17"/>
      <c r="G1988" s="17"/>
      <c r="H1988" s="17"/>
    </row>
    <row r="1989">
      <c r="A1989" s="17" t="str">
        <f>IFERROR(__xludf.DUMMYFUNCTION("""COMPUTED_VALUE"""),"Accenture")</f>
        <v>Accenture</v>
      </c>
      <c r="B1989" s="17" t="str">
        <f>IFERROR(__xludf.DUMMYFUNCTION("""COMPUTED_VALUE"""),"Emma Jindal")</f>
        <v>Emma Jindal</v>
      </c>
      <c r="C1989" s="17" t="str">
        <f>IFERROR(__xludf.DUMMYFUNCTION("""COMPUTED_VALUE"""),"CFO (India)")</f>
        <v>CFO (India)</v>
      </c>
      <c r="D1989" s="27" t="str">
        <f>IFERROR(__xludf.DUMMYFUNCTION("""COMPUTED_VALUE"""),"linkedin.com/m/in/emmajindal")</f>
        <v>linkedin.com/m/in/emmajindal</v>
      </c>
      <c r="E1989" s="17" t="str">
        <f>IFERROR(__xludf.DUMMYFUNCTION("""COMPUTED_VALUE"""),"emma.jindal@accenture.com")</f>
        <v>emma.jindal@accenture.com</v>
      </c>
      <c r="F1989" s="17"/>
      <c r="G1989" s="17"/>
      <c r="H1989" s="17"/>
    </row>
    <row r="1990">
      <c r="A1990" s="17" t="str">
        <f>IFERROR(__xludf.DUMMYFUNCTION("""COMPUTED_VALUE"""),"Adani Enterprises Ltd")</f>
        <v>Adani Enterprises Ltd</v>
      </c>
      <c r="B1990" s="17" t="str">
        <f>IFERROR(__xludf.DUMMYFUNCTION("""COMPUTED_VALUE"""),"Jugeshinder (Robbie) Singh")</f>
        <v>Jugeshinder (Robbie) Singh</v>
      </c>
      <c r="C1990" s="17" t="str">
        <f>IFERROR(__xludf.DUMMYFUNCTION("""COMPUTED_VALUE"""),"Group Chief Financial Officer")</f>
        <v>Group Chief Financial Officer</v>
      </c>
      <c r="D1990" s="27" t="str">
        <f>IFERROR(__xludf.DUMMYFUNCTION("""COMPUTED_VALUE"""),"https://www.linkedin.com/in/jugeshinder-robbie-singh-maicd-217473a")</f>
        <v>https://www.linkedin.com/in/jugeshinder-robbie-singh-maicd-217473a</v>
      </c>
      <c r="E1990" s="17" t="str">
        <f>IFERROR(__xludf.DUMMYFUNCTION("""COMPUTED_VALUE"""),"jugeshinder.singh@adani.com")</f>
        <v>jugeshinder.singh@adani.com</v>
      </c>
      <c r="F1990" s="17"/>
      <c r="G1990" s="17"/>
      <c r="H1990" s="17"/>
    </row>
    <row r="1991">
      <c r="A1991" s="17" t="str">
        <f>IFERROR(__xludf.DUMMYFUNCTION("""COMPUTED_VALUE"""),"Adani Green Energy Ltd")</f>
        <v>Adani Green Energy Ltd</v>
      </c>
      <c r="B1991" s="17" t="str">
        <f>IFERROR(__xludf.DUMMYFUNCTION("""COMPUTED_VALUE"""),"Saurabh Shah")</f>
        <v>Saurabh Shah</v>
      </c>
      <c r="C1991" s="17" t="str">
        <f>IFERROR(__xludf.DUMMYFUNCTION("""COMPUTED_VALUE"""),"Chief Financial Officer")</f>
        <v>Chief Financial Officer</v>
      </c>
      <c r="D1991" s="27" t="str">
        <f>IFERROR(__xludf.DUMMYFUNCTION("""COMPUTED_VALUE"""),"https://www.linkedin.com/in/saurabh-shah-9a19a92b4")</f>
        <v>https://www.linkedin.com/in/saurabh-shah-9a19a92b4</v>
      </c>
      <c r="E1991" s="17" t="str">
        <f>IFERROR(__xludf.DUMMYFUNCTION("""COMPUTED_VALUE"""),"saurabh.shah1@adani.com")</f>
        <v>saurabh.shah1@adani.com</v>
      </c>
      <c r="F1991" s="17"/>
      <c r="G1991" s="17"/>
      <c r="H1991" s="17"/>
    </row>
    <row r="1992">
      <c r="A1992" s="17" t="str">
        <f>IFERROR(__xludf.DUMMYFUNCTION("""COMPUTED_VALUE"""),"Adani Power Ltd")</f>
        <v>Adani Power Ltd</v>
      </c>
      <c r="B1992" s="17" t="str">
        <f>IFERROR(__xludf.DUMMYFUNCTION("""COMPUTED_VALUE"""),"Dilip Kumar Jha")</f>
        <v>Dilip Kumar Jha</v>
      </c>
      <c r="C1992" s="17" t="str">
        <f>IFERROR(__xludf.DUMMYFUNCTION("""COMPUTED_VALUE"""),"Chief Financial Officer")</f>
        <v>Chief Financial Officer</v>
      </c>
      <c r="D1992" s="27" t="str">
        <f>IFERROR(__xludf.DUMMYFUNCTION("""COMPUTED_VALUE"""),"https://www.linkedin.com/in/dilip-jha-11586b29/?originalSubdomain=in")</f>
        <v>https://www.linkedin.com/in/dilip-jha-11586b29/?originalSubdomain=in</v>
      </c>
      <c r="E1992" s="17" t="str">
        <f>IFERROR(__xludf.DUMMYFUNCTION("""COMPUTED_VALUE"""),"dilip.jha@adani.com")</f>
        <v>dilip.jha@adani.com</v>
      </c>
      <c r="F1992" s="17"/>
      <c r="G1992" s="17"/>
      <c r="H1992" s="17"/>
    </row>
    <row r="1993">
      <c r="A1993" s="17" t="str">
        <f>IFERROR(__xludf.DUMMYFUNCTION("""COMPUTED_VALUE"""),"Aditya Birla Group")</f>
        <v>Aditya Birla Group</v>
      </c>
      <c r="B1993" s="17" t="str">
        <f>IFERROR(__xludf.DUMMYFUNCTION("""COMPUTED_VALUE"""),"Sushil Agarwal")</f>
        <v>Sushil Agarwal</v>
      </c>
      <c r="C1993" s="17" t="str">
        <f>IFERROR(__xludf.DUMMYFUNCTION("""COMPUTED_VALUE"""),"Group Chief Financial Officer")</f>
        <v>Group Chief Financial Officer</v>
      </c>
      <c r="D1993" s="27" t="str">
        <f>IFERROR(__xludf.DUMMYFUNCTION("""COMPUTED_VALUE"""),"https://www.linkedin.com/in/sushil-agarwal/?originalSubdomain=in")</f>
        <v>https://www.linkedin.com/in/sushil-agarwal/?originalSubdomain=in</v>
      </c>
      <c r="E1993" s="17" t="str">
        <f>IFERROR(__xludf.DUMMYFUNCTION("""COMPUTED_VALUE"""),"sushil.agarwal@adityabirla.com")</f>
        <v>sushil.agarwal@adityabirla.com</v>
      </c>
      <c r="F1993" s="17"/>
      <c r="G1993" s="17"/>
      <c r="H1993" s="17"/>
    </row>
    <row r="1994">
      <c r="A1994" s="17" t="str">
        <f>IFERROR(__xludf.DUMMYFUNCTION("""COMPUTED_VALUE"""),"Apple")</f>
        <v>Apple</v>
      </c>
      <c r="B1994" s="17" t="str">
        <f>IFERROR(__xludf.DUMMYFUNCTION("""COMPUTED_VALUE"""),"Kevan Parekh")</f>
        <v>Kevan Parekh</v>
      </c>
      <c r="C1994" s="17" t="str">
        <f>IFERROR(__xludf.DUMMYFUNCTION("""COMPUTED_VALUE"""),"Chief Financial Officer")</f>
        <v>Chief Financial Officer</v>
      </c>
      <c r="D1994" s="27" t="str">
        <f>IFERROR(__xludf.DUMMYFUNCTION("""COMPUTED_VALUE"""),"https://www.linkedin.com/in/kevan-parekh-231377/")</f>
        <v>https://www.linkedin.com/in/kevan-parekh-231377/</v>
      </c>
      <c r="E1994" s="17" t="str">
        <f>IFERROR(__xludf.DUMMYFUNCTION("""COMPUTED_VALUE"""),"kparekh@apple.com")</f>
        <v>kparekh@apple.com</v>
      </c>
      <c r="F1994" s="17"/>
      <c r="G1994" s="17"/>
      <c r="H1994" s="17"/>
    </row>
    <row r="1995">
      <c r="A1995" s="17" t="str">
        <f>IFERROR(__xludf.DUMMYFUNCTION("""COMPUTED_VALUE"""),"Bajaj Auto Ltd")</f>
        <v>Bajaj Auto Ltd</v>
      </c>
      <c r="B1995" s="17" t="str">
        <f>IFERROR(__xludf.DUMMYFUNCTION("""COMPUTED_VALUE"""),"Dinesh Thapar")</f>
        <v>Dinesh Thapar</v>
      </c>
      <c r="C1995" s="17" t="str">
        <f>IFERROR(__xludf.DUMMYFUNCTION("""COMPUTED_VALUE"""),"Chief Financial Officer")</f>
        <v>Chief Financial Officer</v>
      </c>
      <c r="D1995" s="27" t="str">
        <f>IFERROR(__xludf.DUMMYFUNCTION("""COMPUTED_VALUE"""),"https://www.linkedin.com/in/dinesh-thapar-3265a31")</f>
        <v>https://www.linkedin.com/in/dinesh-thapar-3265a31</v>
      </c>
      <c r="E1995" s="17" t="str">
        <f>IFERROR(__xludf.DUMMYFUNCTION("""COMPUTED_VALUE"""),"dthapar@bajajauto.co.in")</f>
        <v>dthapar@bajajauto.co.in</v>
      </c>
      <c r="F1995" s="17"/>
      <c r="G1995" s="17"/>
      <c r="H1995" s="17"/>
    </row>
    <row r="1996">
      <c r="A1996" s="17" t="str">
        <f>IFERROR(__xludf.DUMMYFUNCTION("""COMPUTED_VALUE"""),"Bajaj Electricals Ltd")</f>
        <v>Bajaj Electricals Ltd</v>
      </c>
      <c r="B1996" s="17" t="str">
        <f>IFERROR(__xludf.DUMMYFUNCTION("""COMPUTED_VALUE"""),"E.C. Prasad")</f>
        <v>E.C. Prasad</v>
      </c>
      <c r="C1996" s="17" t="str">
        <f>IFERROR(__xludf.DUMMYFUNCTION("""COMPUTED_VALUE"""),"Chief Financial Officer")</f>
        <v>Chief Financial Officer</v>
      </c>
      <c r="D1996" s="27" t="str">
        <f>IFERROR(__xludf.DUMMYFUNCTION("""COMPUTED_VALUE"""),"https://www.linkedin.com/in/ec-prasad-847393b/?originalSubdomain=in")</f>
        <v>https://www.linkedin.com/in/ec-prasad-847393b/?originalSubdomain=in</v>
      </c>
      <c r="E1996" s="17" t="str">
        <f>IFERROR(__xludf.DUMMYFUNCTION("""COMPUTED_VALUE"""),"ec.prasad@bajajelectricals.com")</f>
        <v>ec.prasad@bajajelectricals.com</v>
      </c>
      <c r="F1996" s="17"/>
      <c r="G1996" s="17"/>
      <c r="H1996" s="17"/>
    </row>
    <row r="1997">
      <c r="A1997" s="17" t="str">
        <f>IFERROR(__xludf.DUMMYFUNCTION("""COMPUTED_VALUE"""),"Bajaj Finserv Ltd")</f>
        <v>Bajaj Finserv Ltd</v>
      </c>
      <c r="B1997" s="17" t="str">
        <f>IFERROR(__xludf.DUMMYFUNCTION("""COMPUTED_VALUE"""),"S. Sreenivasan")</f>
        <v>S. Sreenivasan</v>
      </c>
      <c r="C1997" s="17" t="str">
        <f>IFERROR(__xludf.DUMMYFUNCTION("""COMPUTED_VALUE"""),"Chief Financial Officer")</f>
        <v>Chief Financial Officer</v>
      </c>
      <c r="D1997" s="27" t="str">
        <f>IFERROR(__xludf.DUMMYFUNCTION("""COMPUTED_VALUE"""),"https://www.linkedin.com/in/s-sreenivasan-548460118/")</f>
        <v>https://www.linkedin.com/in/s-sreenivasan-548460118/</v>
      </c>
      <c r="E1997" s="17" t="str">
        <f>IFERROR(__xludf.DUMMYFUNCTION("""COMPUTED_VALUE"""),"s.sreenivasan@bajajfinserv.in")</f>
        <v>s.sreenivasan@bajajfinserv.in</v>
      </c>
      <c r="F1997" s="17"/>
      <c r="G1997" s="17"/>
      <c r="H1997" s="17"/>
    </row>
    <row r="1998">
      <c r="A1998" s="17" t="str">
        <f>IFERROR(__xludf.DUMMYFUNCTION("""COMPUTED_VALUE"""),"BCG (Boston Consulting Group)")</f>
        <v>BCG (Boston Consulting Group)</v>
      </c>
      <c r="B1998" s="17" t="str">
        <f>IFERROR(__xludf.DUMMYFUNCTION("""COMPUTED_VALUE"""),"Paul Tranter")</f>
        <v>Paul Tranter</v>
      </c>
      <c r="C1998" s="17" t="str">
        <f>IFERROR(__xludf.DUMMYFUNCTION("""COMPUTED_VALUE"""),"Global Chief Financial Officer")</f>
        <v>Global Chief Financial Officer</v>
      </c>
      <c r="D1998" s="27" t="str">
        <f>IFERROR(__xludf.DUMMYFUNCTION("""COMPUTED_VALUE"""),"https://www.linkedin.com/in/paul-tranter-324738/")</f>
        <v>https://www.linkedin.com/in/paul-tranter-324738/</v>
      </c>
      <c r="E1998" s="17" t="str">
        <f>IFERROR(__xludf.DUMMYFUNCTION("""COMPUTED_VALUE"""),"tranter.paul@bcg.com")</f>
        <v>tranter.paul@bcg.com</v>
      </c>
      <c r="F1998" s="17"/>
      <c r="G1998" s="17"/>
      <c r="H1998" s="17"/>
    </row>
    <row r="1999">
      <c r="A1999" s="17" t="str">
        <f>IFERROR(__xludf.DUMMYFUNCTION("""COMPUTED_VALUE"""),"Bharti Airtel Ltd")</f>
        <v>Bharti Airtel Ltd</v>
      </c>
      <c r="B1999" s="17" t="str">
        <f>IFERROR(__xludf.DUMMYFUNCTION("""COMPUTED_VALUE"""),"Soumen Ray")</f>
        <v>Soumen Ray</v>
      </c>
      <c r="C1999" s="17" t="str">
        <f>IFERROR(__xludf.DUMMYFUNCTION("""COMPUTED_VALUE"""),"Chief Financial Officer")</f>
        <v>Chief Financial Officer</v>
      </c>
      <c r="D1999" s="27" t="str">
        <f>IFERROR(__xludf.DUMMYFUNCTION("""COMPUTED_VALUE"""),"https://www.linkedin.com/in/soumen-ray-61142499")</f>
        <v>https://www.linkedin.com/in/soumen-ray-61142499</v>
      </c>
      <c r="E1999" s="17" t="str">
        <f>IFERROR(__xludf.DUMMYFUNCTION("""COMPUTED_VALUE"""),"soumen.ray@airtel.com")</f>
        <v>soumen.ray@airtel.com</v>
      </c>
      <c r="F1999" s="17"/>
      <c r="G1999" s="17"/>
      <c r="H1999" s="17"/>
    </row>
    <row r="2000">
      <c r="A2000" s="17" t="str">
        <f>IFERROR(__xludf.DUMMYFUNCTION("""COMPUTED_VALUE"""),"Bharti Enterprises Ltd")</f>
        <v>Bharti Enterprises Ltd</v>
      </c>
      <c r="B2000" s="17" t="str">
        <f>IFERROR(__xludf.DUMMYFUNCTION("""COMPUTED_VALUE"""),"Pankaj Pawar")</f>
        <v>Pankaj Pawar</v>
      </c>
      <c r="C2000" s="17" t="str">
        <f>IFERROR(__xludf.DUMMYFUNCTION("""COMPUTED_VALUE"""),"Group Chief Financial Officer")</f>
        <v>Group Chief Financial Officer</v>
      </c>
      <c r="D2000" s="17"/>
      <c r="E2000" s="17"/>
      <c r="F2000" s="17"/>
      <c r="G2000" s="17"/>
      <c r="H2000" s="17"/>
    </row>
    <row r="2001">
      <c r="A2001" s="17" t="str">
        <f>IFERROR(__xludf.DUMMYFUNCTION("""COMPUTED_VALUE"""),"Biocon Ltd")</f>
        <v>Biocon Ltd</v>
      </c>
      <c r="B2001" s="17" t="str">
        <f>IFERROR(__xludf.DUMMYFUNCTION("""COMPUTED_VALUE"""),"Indranil Sen")</f>
        <v>Indranil Sen</v>
      </c>
      <c r="C2001" s="17" t="str">
        <f>IFERROR(__xludf.DUMMYFUNCTION("""COMPUTED_VALUE"""),"Chief Financial Officer")</f>
        <v>Chief Financial Officer</v>
      </c>
      <c r="D2001" s="27" t="str">
        <f>IFERROR(__xludf.DUMMYFUNCTION("""COMPUTED_VALUE"""),"https://www.linkedin.com/in/indranil-sen-b3a0bba/?originalSubdomain=in")</f>
        <v>https://www.linkedin.com/in/indranil-sen-b3a0bba/?originalSubdomain=in</v>
      </c>
      <c r="E2001" s="17" t="str">
        <f>IFERROR(__xludf.DUMMYFUNCTION("""COMPUTED_VALUE"""),"indranil.sen@elgi.com")</f>
        <v>indranil.sen@elgi.com</v>
      </c>
      <c r="F2001" s="17"/>
      <c r="G2001" s="17"/>
      <c r="H2001" s="17"/>
    </row>
    <row r="2002">
      <c r="A2002" s="17" t="str">
        <f>IFERROR(__xludf.DUMMYFUNCTION("""COMPUTED_VALUE"""),"BlackRock")</f>
        <v>BlackRock</v>
      </c>
      <c r="B2002" s="17" t="str">
        <f>IFERROR(__xludf.DUMMYFUNCTION("""COMPUTED_VALUE"""),"Martin Small")</f>
        <v>Martin Small</v>
      </c>
      <c r="C2002" s="17" t="str">
        <f>IFERROR(__xludf.DUMMYFUNCTION("""COMPUTED_VALUE"""),"Chief Financial Officer")</f>
        <v>Chief Financial Officer</v>
      </c>
      <c r="D2002" s="27" t="str">
        <f>IFERROR(__xludf.DUMMYFUNCTION("""COMPUTED_VALUE"""),"https://www.linkedin.com/in/martin-small-69438213/")</f>
        <v>https://www.linkedin.com/in/martin-small-69438213/</v>
      </c>
      <c r="E2002" s="17" t="str">
        <f>IFERROR(__xludf.DUMMYFUNCTION("""COMPUTED_VALUE"""),"martin.small@blackrock.com")</f>
        <v>martin.small@blackrock.com</v>
      </c>
      <c r="F2002" s="17"/>
      <c r="G2002" s="17"/>
      <c r="H2002" s="17"/>
    </row>
    <row r="2003">
      <c r="A2003" s="17" t="str">
        <f>IFERROR(__xludf.DUMMYFUNCTION("""COMPUTED_VALUE"""),"Cipla Ltd")</f>
        <v>Cipla Ltd</v>
      </c>
      <c r="B2003" s="17" t="str">
        <f>IFERROR(__xludf.DUMMYFUNCTION("""COMPUTED_VALUE"""),"Ashish Adukia")</f>
        <v>Ashish Adukia</v>
      </c>
      <c r="C2003" s="17" t="str">
        <f>IFERROR(__xludf.DUMMYFUNCTION("""COMPUTED_VALUE"""),"Global Chief Financial Officer")</f>
        <v>Global Chief Financial Officer</v>
      </c>
      <c r="D2003" s="27" t="str">
        <f>IFERROR(__xludf.DUMMYFUNCTION("""COMPUTED_VALUE"""),"https://www.linkedin.com/in/ashish-adukia")</f>
        <v>https://www.linkedin.com/in/ashish-adukia</v>
      </c>
      <c r="E2003" s="17" t="str">
        <f>IFERROR(__xludf.DUMMYFUNCTION("""COMPUTED_VALUE"""),"ashish.adukia@cipla.com")</f>
        <v>ashish.adukia@cipla.com</v>
      </c>
      <c r="F2003" s="17"/>
      <c r="G2003" s="17"/>
      <c r="H2003" s="17"/>
    </row>
    <row r="2004">
      <c r="A2004" s="17" t="str">
        <f>IFERROR(__xludf.DUMMYFUNCTION("""COMPUTED_VALUE"""),"Coal India Ltd")</f>
        <v>Coal India Ltd</v>
      </c>
      <c r="B2004" s="17" t="str">
        <f>IFERROR(__xludf.DUMMYFUNCTION("""COMPUTED_VALUE"""),"Mukesh Agrawal")</f>
        <v>Mukesh Agrawal</v>
      </c>
      <c r="C2004" s="17" t="str">
        <f>IFERROR(__xludf.DUMMYFUNCTION("""COMPUTED_VALUE"""),"Director (Finance)")</f>
        <v>Director (Finance)</v>
      </c>
      <c r="D2004" s="17"/>
      <c r="E2004" s="17"/>
      <c r="F2004" s="17"/>
      <c r="G2004" s="17"/>
      <c r="H2004" s="17"/>
    </row>
    <row r="2005">
      <c r="A2005" s="17" t="str">
        <f>IFERROR(__xludf.DUMMYFUNCTION("""COMPUTED_VALUE"""),"Crompton Greaves Consumer Electricals Ltd")</f>
        <v>Crompton Greaves Consumer Electricals Ltd</v>
      </c>
      <c r="B2005" s="17" t="str">
        <f>IFERROR(__xludf.DUMMYFUNCTION("""COMPUTED_VALUE"""),"Kaleeswaran Arunachalam")</f>
        <v>Kaleeswaran Arunachalam</v>
      </c>
      <c r="C2005" s="17" t="str">
        <f>IFERROR(__xludf.DUMMYFUNCTION("""COMPUTED_VALUE"""),"Chief Financial Officer")</f>
        <v>Chief Financial Officer</v>
      </c>
      <c r="D2005" s="27" t="str">
        <f>IFERROR(__xludf.DUMMYFUNCTION("""COMPUTED_VALUE"""),"https://www.linkedin.com/in/kaleeswaran-a-4282969/details/experience/")</f>
        <v>https://www.linkedin.com/in/kaleeswaran-a-4282969/details/experience/</v>
      </c>
      <c r="E2005" s="17" t="str">
        <f>IFERROR(__xludf.DUMMYFUNCTION("""COMPUTED_VALUE"""),"kaleeswaram.arunachalan@mdlz.com")</f>
        <v>kaleeswaram.arunachalan@mdlz.com</v>
      </c>
      <c r="F2005" s="17"/>
      <c r="G2005" s="17"/>
      <c r="H2005" s="17"/>
    </row>
    <row r="2006">
      <c r="A2006" s="17" t="str">
        <f>IFERROR(__xludf.DUMMYFUNCTION("""COMPUTED_VALUE"""),"Dabur India Ltd")</f>
        <v>Dabur India Ltd</v>
      </c>
      <c r="B2006" s="17" t="str">
        <f>IFERROR(__xludf.DUMMYFUNCTION("""COMPUTED_VALUE"""),"Ankush Jain")</f>
        <v>Ankush Jain</v>
      </c>
      <c r="C2006" s="17" t="str">
        <f>IFERROR(__xludf.DUMMYFUNCTION("""COMPUTED_VALUE"""),"Chief Financial Officer")</f>
        <v>Chief Financial Officer</v>
      </c>
      <c r="D2006" s="27" t="str">
        <f>IFERROR(__xludf.DUMMYFUNCTION("""COMPUTED_VALUE"""),"https://www.linkedin.com/in/ankush-jain-25534630/?originalSubdomain=in")</f>
        <v>https://www.linkedin.com/in/ankush-jain-25534630/?originalSubdomain=in</v>
      </c>
      <c r="E2006" s="17" t="str">
        <f>IFERROR(__xludf.DUMMYFUNCTION("""COMPUTED_VALUE"""),"ankushjain@dabur.com")</f>
        <v>ankushjain@dabur.com</v>
      </c>
      <c r="F2006" s="17"/>
      <c r="G2006" s="17"/>
      <c r="H2006" s="17"/>
    </row>
    <row r="2007">
      <c r="A2007" s="17" t="str">
        <f>IFERROR(__xludf.DUMMYFUNCTION("""COMPUTED_VALUE"""),"Dalmia Bharat Ltd")</f>
        <v>Dalmia Bharat Ltd</v>
      </c>
      <c r="B2007" s="17" t="str">
        <f>IFERROR(__xludf.DUMMYFUNCTION("""COMPUTED_VALUE"""),"Dharmender Tuteja")</f>
        <v>Dharmender Tuteja</v>
      </c>
      <c r="C2007" s="17" t="str">
        <f>IFERROR(__xludf.DUMMYFUNCTION("""COMPUTED_VALUE"""),"Chief Financial Officer")</f>
        <v>Chief Financial Officer</v>
      </c>
      <c r="D2007" s="27" t="str">
        <f>IFERROR(__xludf.DUMMYFUNCTION("""COMPUTED_VALUE"""),"https://www.linkedin.com/in/dharmender-tuteja-069345a")</f>
        <v>https://www.linkedin.com/in/dharmender-tuteja-069345a</v>
      </c>
      <c r="E2007" s="17" t="str">
        <f>IFERROR(__xludf.DUMMYFUNCTION("""COMPUTED_VALUE"""),"tuteja.dharmender@dalmiabharat.com")</f>
        <v>tuteja.dharmender@dalmiabharat.com</v>
      </c>
      <c r="F2007" s="17"/>
      <c r="G2007" s="17"/>
      <c r="H2007" s="17"/>
    </row>
    <row r="2008">
      <c r="A2008" s="17" t="str">
        <f>IFERROR(__xludf.DUMMYFUNCTION("""COMPUTED_VALUE"""),"Dr Reddy’s Laboratories Ltd")</f>
        <v>Dr Reddy’s Laboratories Ltd</v>
      </c>
      <c r="B2008" s="17" t="str">
        <f>IFERROR(__xludf.DUMMYFUNCTION("""COMPUTED_VALUE"""),"Parag Agarwal")</f>
        <v>Parag Agarwal</v>
      </c>
      <c r="C2008" s="17" t="str">
        <f>IFERROR(__xludf.DUMMYFUNCTION("""COMPUTED_VALUE"""),"Ex- CFO, Advisor to the chairman")</f>
        <v>Ex- CFO, Advisor to the chairman</v>
      </c>
      <c r="D2008" s="27" t="str">
        <f>IFERROR(__xludf.DUMMYFUNCTION("""COMPUTED_VALUE"""),"https://www.linkedin.com/in/parag-agarwal-63b89a45/?originalSubdomain=in")</f>
        <v>https://www.linkedin.com/in/parag-agarwal-63b89a45/?originalSubdomain=in</v>
      </c>
      <c r="E2008" s="17" t="str">
        <f>IFERROR(__xludf.DUMMYFUNCTION("""COMPUTED_VALUE"""),"parag.agarwal@rb.com")</f>
        <v>parag.agarwal@rb.com</v>
      </c>
      <c r="F2008" s="17"/>
      <c r="G2008" s="17"/>
      <c r="H2008" s="17"/>
    </row>
    <row r="2009">
      <c r="A2009" s="17" t="str">
        <f>IFERROR(__xludf.DUMMYFUNCTION("""COMPUTED_VALUE"""),"GAIL (India) Ltd")</f>
        <v>GAIL (India) Ltd</v>
      </c>
      <c r="B2009" s="17" t="str">
        <f>IFERROR(__xludf.DUMMYFUNCTION("""COMPUTED_VALUE"""),"Rakesh Kumar Jain")</f>
        <v>Rakesh Kumar Jain</v>
      </c>
      <c r="C2009" s="17" t="str">
        <f>IFERROR(__xludf.DUMMYFUNCTION("""COMPUTED_VALUE"""),"Director (Finance)")</f>
        <v>Director (Finance)</v>
      </c>
      <c r="D2009" s="27" t="str">
        <f>IFERROR(__xludf.DUMMYFUNCTION("""COMPUTED_VALUE"""),"https://www.linkedin.com/in/cma-rakesh-kumar-jain-a28810141/?originalSubdomain=in")</f>
        <v>https://www.linkedin.com/in/cma-rakesh-kumar-jain-a28810141/?originalSubdomain=in</v>
      </c>
      <c r="E2009" s="17" t="str">
        <f>IFERROR(__xludf.DUMMYFUNCTION("""COMPUTED_VALUE"""),"rakesh.kumar@gail.co.in")</f>
        <v>rakesh.kumar@gail.co.in</v>
      </c>
      <c r="F2009" s="17"/>
      <c r="G2009" s="17"/>
      <c r="H2009" s="17"/>
    </row>
    <row r="2010">
      <c r="A2010" s="17" t="str">
        <f>IFERROR(__xludf.DUMMYFUNCTION("""COMPUTED_VALUE"""),"Godrej Industries Ltd")</f>
        <v>Godrej Industries Ltd</v>
      </c>
      <c r="B2010" s="17" t="str">
        <f>IFERROR(__xludf.DUMMYFUNCTION("""COMPUTED_VALUE"""),"Clement Pinto")</f>
        <v>Clement Pinto</v>
      </c>
      <c r="C2010" s="17" t="str">
        <f>IFERROR(__xludf.DUMMYFUNCTION("""COMPUTED_VALUE"""),"Chief Financial Officer")</f>
        <v>Chief Financial Officer</v>
      </c>
      <c r="D2010" s="27" t="str">
        <f>IFERROR(__xludf.DUMMYFUNCTION("""COMPUTED_VALUE"""),"https://www.linkedin.com/in/clement-pinto-0276bba4/?originalSubdomain=in")</f>
        <v>https://www.linkedin.com/in/clement-pinto-0276bba4/?originalSubdomain=in</v>
      </c>
      <c r="E2010" s="17" t="str">
        <f>IFERROR(__xludf.DUMMYFUNCTION("""COMPUTED_VALUE"""),"cg.pinto@godrejinds.com")</f>
        <v>cg.pinto@godrejinds.com</v>
      </c>
      <c r="F2010" s="17"/>
      <c r="G2010" s="17"/>
      <c r="H2010" s="17"/>
    </row>
    <row r="2011">
      <c r="A2011" s="17" t="str">
        <f>IFERROR(__xludf.DUMMYFUNCTION("""COMPUTED_VALUE"""),"Google (Alphabet Inc.)")</f>
        <v>Google (Alphabet Inc.)</v>
      </c>
      <c r="B2011" s="17" t="str">
        <f>IFERROR(__xludf.DUMMYFUNCTION("""COMPUTED_VALUE"""),"Anat Ashkenazi")</f>
        <v>Anat Ashkenazi</v>
      </c>
      <c r="C2011" s="17" t="str">
        <f>IFERROR(__xludf.DUMMYFUNCTION("""COMPUTED_VALUE"""),"Chief Financial Officer")</f>
        <v>Chief Financial Officer</v>
      </c>
      <c r="D2011" s="27" t="str">
        <f>IFERROR(__xludf.DUMMYFUNCTION("""COMPUTED_VALUE"""),"https://www.linkedin.com/in/anat-a-a334433/")</f>
        <v>https://www.linkedin.com/in/anat-a-a334433/</v>
      </c>
      <c r="E2011" s="17" t="str">
        <f>IFERROR(__xludf.DUMMYFUNCTION("""COMPUTED_VALUE"""),"anat.ashkenazi@google.com")</f>
        <v>anat.ashkenazi@google.com</v>
      </c>
      <c r="F2011" s="17"/>
      <c r="G2011" s="17"/>
      <c r="H2011" s="17"/>
    </row>
    <row r="2012">
      <c r="A2012" s="17" t="str">
        <f>IFERROR(__xludf.DUMMYFUNCTION("""COMPUTED_VALUE"""),"Grasim Industries Ltd")</f>
        <v>Grasim Industries Ltd</v>
      </c>
      <c r="B2012" s="17" t="str">
        <f>IFERROR(__xludf.DUMMYFUNCTION("""COMPUTED_VALUE"""),"Pavan Jain")</f>
        <v>Pavan Jain</v>
      </c>
      <c r="C2012" s="17" t="str">
        <f>IFERROR(__xludf.DUMMYFUNCTION("""COMPUTED_VALUE"""),"Chief Financial Officer")</f>
        <v>Chief Financial Officer</v>
      </c>
      <c r="D2012" s="27" t="str">
        <f>IFERROR(__xludf.DUMMYFUNCTION("""COMPUTED_VALUE"""),"https://www.linkedin.com/in/pavan-kumar-jain-2a15b714/?originalSubdomain=in")</f>
        <v>https://www.linkedin.com/in/pavan-kumar-jain-2a15b714/?originalSubdomain=in</v>
      </c>
      <c r="E2012" s="17" t="str">
        <f>IFERROR(__xludf.DUMMYFUNCTION("""COMPUTED_VALUE"""),"pavan.jain@adityabirla.com")</f>
        <v>pavan.jain@adityabirla.com</v>
      </c>
      <c r="F2012" s="17"/>
      <c r="G2012" s="17"/>
      <c r="H2012" s="17"/>
    </row>
    <row r="2013">
      <c r="A2013" s="17" t="str">
        <f>IFERROR(__xludf.DUMMYFUNCTION("""COMPUTED_VALUE"""),"HCL Technologies Ltd")</f>
        <v>HCL Technologies Ltd</v>
      </c>
      <c r="B2013" s="17" t="str">
        <f>IFERROR(__xludf.DUMMYFUNCTION("""COMPUTED_VALUE"""),"Shiv Walia")</f>
        <v>Shiv Walia</v>
      </c>
      <c r="C2013" s="17" t="str">
        <f>IFERROR(__xludf.DUMMYFUNCTION("""COMPUTED_VALUE"""),"Chief Financial Officer")</f>
        <v>Chief Financial Officer</v>
      </c>
      <c r="D2013" s="27" t="str">
        <f>IFERROR(__xludf.DUMMYFUNCTION("""COMPUTED_VALUE"""),"https://www.linkedin.com/in/shiv-walia-886790a0/?originalSubdomain=in")</f>
        <v>https://www.linkedin.com/in/shiv-walia-886790a0/?originalSubdomain=in</v>
      </c>
      <c r="E2013" s="17" t="str">
        <f>IFERROR(__xludf.DUMMYFUNCTION("""COMPUTED_VALUE"""),"shiv.walia@hcltech.com")</f>
        <v>shiv.walia@hcltech.com</v>
      </c>
      <c r="F2013" s="17"/>
      <c r="G2013" s="17"/>
      <c r="H2013" s="17"/>
    </row>
    <row r="2014">
      <c r="A2014" s="17" t="str">
        <f>IFERROR(__xludf.DUMMYFUNCTION("""COMPUTED_VALUE"""),"Hindalco Industries Ltd")</f>
        <v>Hindalco Industries Ltd</v>
      </c>
      <c r="B2014" s="17" t="str">
        <f>IFERROR(__xludf.DUMMYFUNCTION("""COMPUTED_VALUE"""),"Bharat Goenka")</f>
        <v>Bharat Goenka</v>
      </c>
      <c r="C2014" s="17" t="str">
        <f>IFERROR(__xludf.DUMMYFUNCTION("""COMPUTED_VALUE"""),"Chief Financial Officer")</f>
        <v>Chief Financial Officer</v>
      </c>
      <c r="D2014" s="27" t="str">
        <f>IFERROR(__xludf.DUMMYFUNCTION("""COMPUTED_VALUE"""),"https://www.linkedin.com/in/bharat-goenka-270b7b12/?originalSubdomain=in")</f>
        <v>https://www.linkedin.com/in/bharat-goenka-270b7b12/?originalSubdomain=in</v>
      </c>
      <c r="E2014" s="17" t="str">
        <f>IFERROR(__xludf.DUMMYFUNCTION("""COMPUTED_VALUE"""),"bharat.goenka@adityabirla.com")</f>
        <v>bharat.goenka@adityabirla.com</v>
      </c>
      <c r="F2014" s="17"/>
      <c r="G2014" s="17"/>
      <c r="H2014" s="17"/>
    </row>
    <row r="2015">
      <c r="A2015" s="17" t="str">
        <f>IFERROR(__xludf.DUMMYFUNCTION("""COMPUTED_VALUE"""),"Hinduja Group")</f>
        <v>Hinduja Group</v>
      </c>
      <c r="B2015" s="17" t="str">
        <f>IFERROR(__xludf.DUMMYFUNCTION("""COMPUTED_VALUE"""),"Gopal Mahadevan")</f>
        <v>Gopal Mahadevan</v>
      </c>
      <c r="C2015" s="17" t="str">
        <f>IFERROR(__xludf.DUMMYFUNCTION("""COMPUTED_VALUE"""),"Group Chief Financial Officer")</f>
        <v>Group Chief Financial Officer</v>
      </c>
      <c r="D2015" s="27" t="str">
        <f>IFERROR(__xludf.DUMMYFUNCTION("""COMPUTED_VALUE"""),"https://www.linkedin.com/in/gopal-mahadevan-170a6b/?originalSubdomain=in")</f>
        <v>https://www.linkedin.com/in/gopal-mahadevan-170a6b/?originalSubdomain=in</v>
      </c>
      <c r="E2015" s="17" t="str">
        <f>IFERROR(__xludf.DUMMYFUNCTION("""COMPUTED_VALUE"""),"gopal@ashokleyland.com")</f>
        <v>gopal@ashokleyland.com</v>
      </c>
      <c r="F2015" s="17"/>
      <c r="G2015" s="17"/>
      <c r="H2015" s="17"/>
    </row>
    <row r="2016">
      <c r="A2016" s="17" t="str">
        <f>IFERROR(__xludf.DUMMYFUNCTION("""COMPUTED_VALUE"""),"Hindustan Petroleum Corporation Ltd (HPCL)")</f>
        <v>Hindustan Petroleum Corporation Ltd (HPCL)</v>
      </c>
      <c r="B2016" s="17" t="str">
        <f>IFERROR(__xludf.DUMMYFUNCTION("""COMPUTED_VALUE"""),"Rajneesh Narang")</f>
        <v>Rajneesh Narang</v>
      </c>
      <c r="C2016" s="17" t="str">
        <f>IFERROR(__xludf.DUMMYFUNCTION("""COMPUTED_VALUE"""),"Director (Finance) &amp; CFO")</f>
        <v>Director (Finance) &amp; CFO</v>
      </c>
      <c r="D2016" s="27" t="str">
        <f>IFERROR(__xludf.DUMMYFUNCTION("""COMPUTED_VALUE"""),"https://www.linkedin.com/in/rajneesh-narang-94383b125/?originalSubdomain=in")</f>
        <v>https://www.linkedin.com/in/rajneesh-narang-94383b125/?originalSubdomain=in</v>
      </c>
      <c r="E2016" s="17" t="str">
        <f>IFERROR(__xludf.DUMMYFUNCTION("""COMPUTED_VALUE"""),"narangr@hpcl.in")</f>
        <v>narangr@hpcl.in</v>
      </c>
      <c r="F2016" s="17"/>
      <c r="G2016" s="17"/>
      <c r="H2016" s="17"/>
    </row>
    <row r="2017">
      <c r="A2017" s="17" t="str">
        <f>IFERROR(__xludf.DUMMYFUNCTION("""COMPUTED_VALUE"""),"Indian Oil Corporation Ltd (IOC)")</f>
        <v>Indian Oil Corporation Ltd (IOC)</v>
      </c>
      <c r="B2017" s="17" t="str">
        <f>IFERROR(__xludf.DUMMYFUNCTION("""COMPUTED_VALUE"""),"Anuj Jain")</f>
        <v>Anuj Jain</v>
      </c>
      <c r="C2017" s="17" t="str">
        <f>IFERROR(__xludf.DUMMYFUNCTION("""COMPUTED_VALUE"""),"Director (Finance)")</f>
        <v>Director (Finance)</v>
      </c>
      <c r="D2017" s="27" t="str">
        <f>IFERROR(__xludf.DUMMYFUNCTION("""COMPUTED_VALUE"""),"https://www.linkedin.com/in/anuj-jain-32076a31/?originalSubdomain=in")</f>
        <v>https://www.linkedin.com/in/anuj-jain-32076a31/?originalSubdomain=in</v>
      </c>
      <c r="E2017" s="17" t="str">
        <f>IFERROR(__xludf.DUMMYFUNCTION("""COMPUTED_VALUE"""),"cajaina@gmail.com")</f>
        <v>cajaina@gmail.com</v>
      </c>
      <c r="F2017" s="17" t="str">
        <f>IFERROR(__xludf.DUMMYFUNCTION("""COMPUTED_VALUE"""),"98736 77736")</f>
        <v>98736 77736</v>
      </c>
      <c r="G2017" s="17"/>
      <c r="H2017" s="17"/>
    </row>
    <row r="2018">
      <c r="A2018" s="17" t="str">
        <f>IFERROR(__xludf.DUMMYFUNCTION("""COMPUTED_VALUE"""),"IndiGo (InterGlobe Aviation Ltd)")</f>
        <v>IndiGo (InterGlobe Aviation Ltd)</v>
      </c>
      <c r="B2018" s="17" t="str">
        <f>IFERROR(__xludf.DUMMYFUNCTION("""COMPUTED_VALUE"""),"Gaurav Negi")</f>
        <v>Gaurav Negi</v>
      </c>
      <c r="C2018" s="17" t="str">
        <f>IFERROR(__xludf.DUMMYFUNCTION("""COMPUTED_VALUE"""),"Chief Financial Officer")</f>
        <v>Chief Financial Officer</v>
      </c>
      <c r="D2018" s="27" t="str">
        <f>IFERROR(__xludf.DUMMYFUNCTION("""COMPUTED_VALUE"""),"https://www.linkedin.com/in/gaurav-negi-432b08")</f>
        <v>https://www.linkedin.com/in/gaurav-negi-432b08</v>
      </c>
      <c r="E2018" s="17" t="str">
        <f>IFERROR(__xludf.DUMMYFUNCTION("""COMPUTED_VALUE"""),"gaurav.negi@goindigo.in")</f>
        <v>gaurav.negi@goindigo.in</v>
      </c>
      <c r="F2018" s="17"/>
      <c r="G2018" s="17"/>
      <c r="H2018" s="17"/>
    </row>
    <row r="2019">
      <c r="A2019" s="17" t="str">
        <f>IFERROR(__xludf.DUMMYFUNCTION("""COMPUTED_VALUE"""),"Infosys Ltd")</f>
        <v>Infosys Ltd</v>
      </c>
      <c r="B2019" s="17" t="str">
        <f>IFERROR(__xludf.DUMMYFUNCTION("""COMPUTED_VALUE"""),"Jayesh Sanghrajka")</f>
        <v>Jayesh Sanghrajka</v>
      </c>
      <c r="C2019" s="17" t="str">
        <f>IFERROR(__xludf.DUMMYFUNCTION("""COMPUTED_VALUE"""),"Chief Financial Officer")</f>
        <v>Chief Financial Officer</v>
      </c>
      <c r="D2019" s="27" t="str">
        <f>IFERROR(__xludf.DUMMYFUNCTION("""COMPUTED_VALUE"""),"https://www.linkedin.com/in/jayeshsanghrajka06")</f>
        <v>https://www.linkedin.com/in/jayeshsanghrajka06</v>
      </c>
      <c r="E2019" s="17" t="str">
        <f>IFERROR(__xludf.DUMMYFUNCTION("""COMPUTED_VALUE"""),"jayesh_sanghrajka@infosys.com")</f>
        <v>jayesh_sanghrajka@infosys.com</v>
      </c>
      <c r="F2019" s="17"/>
      <c r="G2019" s="17"/>
      <c r="H2019" s="17"/>
    </row>
    <row r="2020">
      <c r="A2020" s="17" t="str">
        <f>IFERROR(__xludf.DUMMYFUNCTION("""COMPUTED_VALUE"""),"ITC Ltd")</f>
        <v>ITC Ltd</v>
      </c>
      <c r="B2020" s="17" t="str">
        <f>IFERROR(__xludf.DUMMYFUNCTION("""COMPUTED_VALUE"""),"Supratim Dutta")</f>
        <v>Supratim Dutta</v>
      </c>
      <c r="C2020" s="17" t="str">
        <f>IFERROR(__xludf.DUMMYFUNCTION("""COMPUTED_VALUE"""),"Executive Director &amp; CFO")</f>
        <v>Executive Director &amp; CFO</v>
      </c>
      <c r="D2020" s="27" t="str">
        <f>IFERROR(__xludf.DUMMYFUNCTION("""COMPUTED_VALUE"""),"https://www.linkedin.com/in/supratim-dutta-b74a1776")</f>
        <v>https://www.linkedin.com/in/supratim-dutta-b74a1776</v>
      </c>
      <c r="E2020" s="17" t="str">
        <f>IFERROR(__xludf.DUMMYFUNCTION("""COMPUTED_VALUE"""),"supratim.dutta@itc.in")</f>
        <v>supratim.dutta@itc.in</v>
      </c>
      <c r="F2020" s="17"/>
      <c r="G2020" s="17"/>
      <c r="H2020" s="17"/>
    </row>
    <row r="2021">
      <c r="A2021" s="17" t="str">
        <f>IFERROR(__xludf.DUMMYFUNCTION("""COMPUTED_VALUE"""),"JSW Energy Ltd")</f>
        <v>JSW Energy Ltd</v>
      </c>
      <c r="B2021" s="17" t="str">
        <f>IFERROR(__xludf.DUMMYFUNCTION("""COMPUTED_VALUE"""),"Pritesh Vinay")</f>
        <v>Pritesh Vinay</v>
      </c>
      <c r="C2021" s="17" t="str">
        <f>IFERROR(__xludf.DUMMYFUNCTION("""COMPUTED_VALUE"""),"Director (Finance) &amp; CFO")</f>
        <v>Director (Finance) &amp; CFO</v>
      </c>
      <c r="D2021" s="27" t="str">
        <f>IFERROR(__xludf.DUMMYFUNCTION("""COMPUTED_VALUE"""),"https://www.linkedin.com/in/pritesh-vinay-774812169/?originalSubdomain=in")</f>
        <v>https://www.linkedin.com/in/pritesh-vinay-774812169/?originalSubdomain=in</v>
      </c>
      <c r="E2021" s="17" t="str">
        <f>IFERROR(__xludf.DUMMYFUNCTION("""COMPUTED_VALUE"""),"pritesh.vinay@jsw.in")</f>
        <v>pritesh.vinay@jsw.in</v>
      </c>
      <c r="F2021" s="17" t="str">
        <f>IFERROR(__xludf.DUMMYFUNCTION("""COMPUTED_VALUE"""),"919426448435")</f>
        <v>919426448435</v>
      </c>
      <c r="G2021" s="17"/>
      <c r="H2021" s="17"/>
    </row>
    <row r="2022">
      <c r="A2022" s="17" t="str">
        <f>IFERROR(__xludf.DUMMYFUNCTION("""COMPUTED_VALUE"""),"JSW Infrastructure Ltd")</f>
        <v>JSW Infrastructure Ltd</v>
      </c>
      <c r="B2022" s="17" t="str">
        <f>IFERROR(__xludf.DUMMYFUNCTION("""COMPUTED_VALUE"""),"Lalit Singhvi")</f>
        <v>Lalit Singhvi</v>
      </c>
      <c r="C2022" s="17" t="str">
        <f>IFERROR(__xludf.DUMMYFUNCTION("""COMPUTED_VALUE"""),"Chief Financial Officer")</f>
        <v>Chief Financial Officer</v>
      </c>
      <c r="D2022" s="27" t="str">
        <f>IFERROR(__xludf.DUMMYFUNCTION("""COMPUTED_VALUE"""),"https://www.linkedin.com/in/lalit-singhvi-6b851513/?originalSubdomain=in")</f>
        <v>https://www.linkedin.com/in/lalit-singhvi-6b851513/?originalSubdomain=in</v>
      </c>
      <c r="E2022" s="17" t="str">
        <f>IFERROR(__xludf.DUMMYFUNCTION("""COMPUTED_VALUE"""),"lalit.singhvi@jsw.in")</f>
        <v>lalit.singhvi@jsw.in</v>
      </c>
      <c r="F2022" s="17"/>
      <c r="G2022" s="17"/>
      <c r="H2022" s="17"/>
    </row>
    <row r="2023">
      <c r="A2023" s="17" t="str">
        <f>IFERROR(__xludf.DUMMYFUNCTION("""COMPUTED_VALUE"""),"Larsen &amp; Toubro Ltd (L&amp;T)")</f>
        <v>Larsen &amp; Toubro Ltd (L&amp;T)</v>
      </c>
      <c r="B2023" s="17" t="str">
        <f>IFERROR(__xludf.DUMMYFUNCTION("""COMPUTED_VALUE"""),"R. Shankar Raman")</f>
        <v>R. Shankar Raman</v>
      </c>
      <c r="C2023" s="17" t="str">
        <f>IFERROR(__xludf.DUMMYFUNCTION("""COMPUTED_VALUE"""),"Chief Financial Officer &amp; Whole-time Director")</f>
        <v>Chief Financial Officer &amp; Whole-time Director</v>
      </c>
      <c r="D2023" s="27" t="str">
        <f>IFERROR(__xludf.DUMMYFUNCTION("""COMPUTED_VALUE"""),"https://www.linkedin.com/in/shankar-raman-2193808/?originalSubdomain=in")</f>
        <v>https://www.linkedin.com/in/shankar-raman-2193808/?originalSubdomain=in</v>
      </c>
      <c r="E2023" s="17" t="str">
        <f>IFERROR(__xludf.DUMMYFUNCTION("""COMPUTED_VALUE"""),"shankar.raman@larsentoubro.com")</f>
        <v>shankar.raman@larsentoubro.com</v>
      </c>
      <c r="F2023" s="17"/>
      <c r="G2023" s="17"/>
      <c r="H2023" s="17"/>
    </row>
    <row r="2024">
      <c r="A2024" s="17" t="str">
        <f>IFERROR(__xludf.DUMMYFUNCTION("""COMPUTED_VALUE"""),"Lupin Ltd")</f>
        <v>Lupin Ltd</v>
      </c>
      <c r="B2024" s="17" t="str">
        <f>IFERROR(__xludf.DUMMYFUNCTION("""COMPUTED_VALUE"""),"Ramesh Swaminathan")</f>
        <v>Ramesh Swaminathan</v>
      </c>
      <c r="C2024" s="17" t="str">
        <f>IFERROR(__xludf.DUMMYFUNCTION("""COMPUTED_VALUE"""),"Executive Director &amp; Global CFO")</f>
        <v>Executive Director &amp; Global CFO</v>
      </c>
      <c r="D2024" s="27" t="str">
        <f>IFERROR(__xludf.DUMMYFUNCTION("""COMPUTED_VALUE"""),"https://www.linkedin.com/in/ramesh-swaminathan-861a683/?originalSubdomain=in")</f>
        <v>https://www.linkedin.com/in/ramesh-swaminathan-861a683/?originalSubdomain=in</v>
      </c>
      <c r="E2024" s="17" t="str">
        <f>IFERROR(__xludf.DUMMYFUNCTION("""COMPUTED_VALUE"""),"rameshswaminathan@lupin.com")</f>
        <v>rameshswaminathan@lupin.com</v>
      </c>
      <c r="F2024" s="17"/>
      <c r="G2024" s="17"/>
      <c r="H2024" s="17"/>
    </row>
    <row r="2025">
      <c r="A2025" s="17" t="str">
        <f>IFERROR(__xludf.DUMMYFUNCTION("""COMPUTED_VALUE"""),"Mahindra &amp; Mahindra Financial Services Ltd")</f>
        <v>Mahindra &amp; Mahindra Financial Services Ltd</v>
      </c>
      <c r="B2025" s="17" t="str">
        <f>IFERROR(__xludf.DUMMYFUNCTION("""COMPUTED_VALUE"""),"Pradeep Agrawal")</f>
        <v>Pradeep Agrawal</v>
      </c>
      <c r="C2025" s="17" t="str">
        <f>IFERROR(__xludf.DUMMYFUNCTION("""COMPUTED_VALUE"""),"Chief Financial Officer")</f>
        <v>Chief Financial Officer</v>
      </c>
      <c r="D2025" s="27" t="str">
        <f>IFERROR(__xludf.DUMMYFUNCTION("""COMPUTED_VALUE"""),"https://www.linkedin.com/in/pradeep-agrawal-9514341a/?originalSubdomain=in")</f>
        <v>https://www.linkedin.com/in/pradeep-agrawal-9514341a/?originalSubdomain=in</v>
      </c>
      <c r="E2025" s="17" t="str">
        <f>IFERROR(__xludf.DUMMYFUNCTION("""COMPUTED_VALUE"""),"pradeep.agrawal@mahindrafinance.com")</f>
        <v>pradeep.agrawal@mahindrafinance.com</v>
      </c>
      <c r="F2025" s="17"/>
      <c r="G2025" s="17"/>
      <c r="H2025" s="17"/>
    </row>
    <row r="2026">
      <c r="A2026" s="17" t="str">
        <f>IFERROR(__xludf.DUMMYFUNCTION("""COMPUTED_VALUE"""),"Mahindra &amp; Mahindra Ltd (M&amp;M)")</f>
        <v>Mahindra &amp; Mahindra Ltd (M&amp;M)</v>
      </c>
      <c r="B2026" s="17" t="str">
        <f>IFERROR(__xludf.DUMMYFUNCTION("""COMPUTED_VALUE"""),"Amarjyoti Barua")</f>
        <v>Amarjyoti Barua</v>
      </c>
      <c r="C2026" s="17" t="str">
        <f>IFERROR(__xludf.DUMMYFUNCTION("""COMPUTED_VALUE"""),"Group Chief Financial Officer")</f>
        <v>Group Chief Financial Officer</v>
      </c>
      <c r="D2026" s="27" t="str">
        <f>IFERROR(__xludf.DUMMYFUNCTION("""COMPUTED_VALUE"""),"https://www.linkedin.com/in/amarjyoti-barua-9b22222/?originalSubdomain=in")</f>
        <v>https://www.linkedin.com/in/amarjyoti-barua-9b22222/?originalSubdomain=in</v>
      </c>
      <c r="E2026" s="17" t="str">
        <f>IFERROR(__xludf.DUMMYFUNCTION("""COMPUTED_VALUE"""),"barua.amarjyoti@mahindra.com")</f>
        <v>barua.amarjyoti@mahindra.com</v>
      </c>
      <c r="F2026" s="17"/>
      <c r="G2026" s="17"/>
      <c r="H2026" s="17"/>
    </row>
    <row r="2027">
      <c r="A2027" s="17" t="str">
        <f>IFERROR(__xludf.DUMMYFUNCTION("""COMPUTED_VALUE"""),"Microsoft")</f>
        <v>Microsoft</v>
      </c>
      <c r="B2027" s="17" t="str">
        <f>IFERROR(__xludf.DUMMYFUNCTION("""COMPUTED_VALUE"""),"Amy Hood")</f>
        <v>Amy Hood</v>
      </c>
      <c r="C2027" s="17" t="str">
        <f>IFERROR(__xludf.DUMMYFUNCTION("""COMPUTED_VALUE"""),"Executive VP &amp; Chief Financial Officer")</f>
        <v>Executive VP &amp; Chief Financial Officer</v>
      </c>
      <c r="D2027" s="27" t="str">
        <f>IFERROR(__xludf.DUMMYFUNCTION("""COMPUTED_VALUE"""),"https://www.linkedin.com/in/amyhood1/")</f>
        <v>https://www.linkedin.com/in/amyhood1/</v>
      </c>
      <c r="E2027" s="17" t="str">
        <f>IFERROR(__xludf.DUMMYFUNCTION("""COMPUTED_VALUE"""),"amyhood@microsoft.com")</f>
        <v>amyhood@microsoft.com</v>
      </c>
      <c r="F2027" s="17"/>
      <c r="G2027" s="17"/>
      <c r="H2027" s="17"/>
    </row>
    <row r="2028">
      <c r="A2028" s="17" t="str">
        <f>IFERROR(__xludf.DUMMYFUNCTION("""COMPUTED_VALUE"""),"MRF Ltd")</f>
        <v>MRF Ltd</v>
      </c>
      <c r="B2028" s="17" t="str">
        <f>IFERROR(__xludf.DUMMYFUNCTION("""COMPUTED_VALUE"""),"Madhu P. Nainan")</f>
        <v>Madhu P. Nainan</v>
      </c>
      <c r="C2028" s="17" t="str">
        <f>IFERROR(__xludf.DUMMYFUNCTION("""COMPUTED_VALUE"""),"Vice President - Finance")</f>
        <v>Vice President - Finance</v>
      </c>
      <c r="D2028" s="27" t="str">
        <f>IFERROR(__xludf.DUMMYFUNCTION("""COMPUTED_VALUE"""),"https://www.linkedin.com/in/madhu-nainan-46430923/?originalSubdomain=in")</f>
        <v>https://www.linkedin.com/in/madhu-nainan-46430923/?originalSubdomain=in</v>
      </c>
      <c r="E2028" s="17" t="str">
        <f>IFERROR(__xludf.DUMMYFUNCTION("""COMPUTED_VALUE"""),"madhu.nainan@mrfmail.com")</f>
        <v>madhu.nainan@mrfmail.com</v>
      </c>
      <c r="F2028" s="17"/>
      <c r="G2028" s="17" t="str">
        <f>IFERROR(__xludf.DUMMYFUNCTION("""COMPUTED_VALUE"""),"madhu_nainan@yahoo.com")</f>
        <v>madhu_nainan@yahoo.com</v>
      </c>
      <c r="H2028" s="17"/>
    </row>
    <row r="2029">
      <c r="A2029" s="17" t="str">
        <f>IFERROR(__xludf.DUMMYFUNCTION("""COMPUTED_VALUE"""),"Nestlé India Ltd")</f>
        <v>Nestlé India Ltd</v>
      </c>
      <c r="B2029" s="17" t="str">
        <f>IFERROR(__xludf.DUMMYFUNCTION("""COMPUTED_VALUE"""),"Svetlana Boldina")</f>
        <v>Svetlana Boldina</v>
      </c>
      <c r="C2029" s="17" t="str">
        <f>IFERROR(__xludf.DUMMYFUNCTION("""COMPUTED_VALUE"""),"Executive Director - Finance &amp; Control")</f>
        <v>Executive Director - Finance &amp; Control</v>
      </c>
      <c r="D2029" s="27" t="str">
        <f>IFERROR(__xludf.DUMMYFUNCTION("""COMPUTED_VALUE"""),"https://www.linkedin.com/in/svetlana-boldina-45343115/?originalSubdomain=in")</f>
        <v>https://www.linkedin.com/in/svetlana-boldina-45343115/?originalSubdomain=in</v>
      </c>
      <c r="E2029" s="17" t="str">
        <f>IFERROR(__xludf.DUMMYFUNCTION("""COMPUTED_VALUE"""),"svetlana.boldina@us.nestle.com")</f>
        <v>svetlana.boldina@us.nestle.com</v>
      </c>
      <c r="F2029" s="17" t="str">
        <f>IFERROR(__xludf.DUMMYFUNCTION("""COMPUTED_VALUE"""),"359899986002")</f>
        <v>359899986002</v>
      </c>
      <c r="G2029" s="17" t="str">
        <f>IFERROR(__xludf.DUMMYFUNCTION("""COMPUTED_VALUE"""),"svetlanaboldina71@gmail.com")</f>
        <v>svetlanaboldina71@gmail.com</v>
      </c>
      <c r="H2029" s="17"/>
    </row>
    <row r="2030">
      <c r="A2030" s="17" t="str">
        <f>IFERROR(__xludf.DUMMYFUNCTION("""COMPUTED_VALUE"""),"NTPC Ltd")</f>
        <v>NTPC Ltd</v>
      </c>
      <c r="B2030" s="17" t="str">
        <f>IFERROR(__xludf.DUMMYFUNCTION("""COMPUTED_VALUE"""),"Jaikumar Srinivasan")</f>
        <v>Jaikumar Srinivasan</v>
      </c>
      <c r="C2030" s="17" t="str">
        <f>IFERROR(__xludf.DUMMYFUNCTION("""COMPUTED_VALUE"""),"Director (Finance)")</f>
        <v>Director (Finance)</v>
      </c>
      <c r="D2030" s="27" t="str">
        <f>IFERROR(__xludf.DUMMYFUNCTION("""COMPUTED_VALUE"""),"https://www.linkedin.com/in/jaikumar-srinivasan-70055a3/?originalSubdomain=in")</f>
        <v>https://www.linkedin.com/in/jaikumar-srinivasan-70055a3/?originalSubdomain=in</v>
      </c>
      <c r="E2030" s="17" t="str">
        <f>IFERROR(__xludf.DUMMYFUNCTION("""COMPUTED_VALUE"""),"jaikumar@ntpc.co.in")</f>
        <v>jaikumar@ntpc.co.in</v>
      </c>
      <c r="F2030" s="17"/>
      <c r="G2030" s="17"/>
      <c r="H2030" s="17"/>
    </row>
    <row r="2031">
      <c r="A2031" s="17" t="str">
        <f>IFERROR(__xludf.DUMMYFUNCTION("""COMPUTED_VALUE"""),"NVIDIA")</f>
        <v>NVIDIA</v>
      </c>
      <c r="B2031" s="17" t="str">
        <f>IFERROR(__xludf.DUMMYFUNCTION("""COMPUTED_VALUE"""),"Colette Kress")</f>
        <v>Colette Kress</v>
      </c>
      <c r="C2031" s="17" t="str">
        <f>IFERROR(__xludf.DUMMYFUNCTION("""COMPUTED_VALUE"""),"Chief Financial Officer")</f>
        <v>Chief Financial Officer</v>
      </c>
      <c r="D2031" s="27" t="str">
        <f>IFERROR(__xludf.DUMMYFUNCTION("""COMPUTED_VALUE"""),"https://www.linkedin.com/in/colette-kress-22328346/")</f>
        <v>https://www.linkedin.com/in/colette-kress-22328346/</v>
      </c>
      <c r="E2031" s="17" t="str">
        <f>IFERROR(__xludf.DUMMYFUNCTION("""COMPUTED_VALUE"""),"ckress@nvidia.com")</f>
        <v>ckress@nvidia.com</v>
      </c>
      <c r="F2031" s="17"/>
      <c r="G2031" s="17"/>
      <c r="H2031" s="17"/>
    </row>
    <row r="2032">
      <c r="A2032" s="17" t="str">
        <f>IFERROR(__xludf.DUMMYFUNCTION("""COMPUTED_VALUE"""),"Oberoi Group (EIH Limited)")</f>
        <v>Oberoi Group (EIH Limited)</v>
      </c>
      <c r="B2032" s="17" t="str">
        <f>IFERROR(__xludf.DUMMYFUNCTION("""COMPUTED_VALUE"""),"Kallol Kundu")</f>
        <v>Kallol Kundu</v>
      </c>
      <c r="C2032" s="17" t="str">
        <f>IFERROR(__xludf.DUMMYFUNCTION("""COMPUTED_VALUE"""),"Chief Financial Officer")</f>
        <v>Chief Financial Officer</v>
      </c>
      <c r="D2032" s="27" t="str">
        <f>IFERROR(__xludf.DUMMYFUNCTION("""COMPUTED_VALUE"""),"https://www.linkedin.com/in/kallolkundu/?originalSubdomain=ae")</f>
        <v>https://www.linkedin.com/in/kallolkundu/?originalSubdomain=ae</v>
      </c>
      <c r="E2032" s="17" t="str">
        <f>IFERROR(__xludf.DUMMYFUNCTION("""COMPUTED_VALUE"""),"kallol.kundu@fiveglobalholdings.com")</f>
        <v>kallol.kundu@fiveglobalholdings.com</v>
      </c>
      <c r="F2032" s="17"/>
      <c r="G2032" s="17"/>
      <c r="H2032" s="17"/>
    </row>
    <row r="2033">
      <c r="A2033" s="17" t="str">
        <f>IFERROR(__xludf.DUMMYFUNCTION("""COMPUTED_VALUE"""),"Oil &amp; Natural Gas Corporation Ltd (ONGC)")</f>
        <v>Oil &amp; Natural Gas Corporation Ltd (ONGC)</v>
      </c>
      <c r="B2033" s="17" t="str">
        <f>IFERROR(__xludf.DUMMYFUNCTION("""COMPUTED_VALUE"""),"Vivek Chandrakant Tongaonkar")</f>
        <v>Vivek Chandrakant Tongaonkar</v>
      </c>
      <c r="C2033" s="17" t="str">
        <f>IFERROR(__xludf.DUMMYFUNCTION("""COMPUTED_VALUE"""),"Director (Finance) &amp; CFO")</f>
        <v>Director (Finance) &amp; CFO</v>
      </c>
      <c r="D2033" s="27" t="str">
        <f>IFERROR(__xludf.DUMMYFUNCTION("""COMPUTED_VALUE"""),"https://www.linkedin.com/in/vivek-tongaonkar-0856451/?originalSubdomain=in")</f>
        <v>https://www.linkedin.com/in/vivek-tongaonkar-0856451/?originalSubdomain=in</v>
      </c>
      <c r="E2033" s="17" t="str">
        <f>IFERROR(__xludf.DUMMYFUNCTION("""COMPUTED_VALUE"""),"tongaonkar_v@ongc.co.in")</f>
        <v>tongaonkar_v@ongc.co.in</v>
      </c>
      <c r="F2033" s="17"/>
      <c r="G2033" s="17"/>
      <c r="H2033" s="17"/>
    </row>
    <row r="2034">
      <c r="A2034" s="17" t="str">
        <f>IFERROR(__xludf.DUMMYFUNCTION("""COMPUTED_VALUE"""),"Oil India Ltd")</f>
        <v>Oil India Ltd</v>
      </c>
      <c r="B2034" s="17" t="str">
        <f>IFERROR(__xludf.DUMMYFUNCTION("""COMPUTED_VALUE"""),"Abhijit Majumder")</f>
        <v>Abhijit Majumder</v>
      </c>
      <c r="C2034" s="17" t="str">
        <f>IFERROR(__xludf.DUMMYFUNCTION("""COMPUTED_VALUE"""),"Director (Finance) &amp; CFO")</f>
        <v>Director (Finance) &amp; CFO</v>
      </c>
      <c r="D2034" s="17"/>
      <c r="E2034" s="17"/>
      <c r="F2034" s="17"/>
      <c r="G2034" s="17"/>
      <c r="H2034" s="17"/>
    </row>
    <row r="2035">
      <c r="A2035" s="17" t="str">
        <f>IFERROR(__xludf.DUMMYFUNCTION("""COMPUTED_VALUE"""),"ONGC Videsh Ltd")</f>
        <v>ONGC Videsh Ltd</v>
      </c>
      <c r="B2035" s="17" t="str">
        <f>IFERROR(__xludf.DUMMYFUNCTION("""COMPUTED_VALUE"""),"Anupam Aggarwal")</f>
        <v>Anupam Aggarwal</v>
      </c>
      <c r="C2035" s="17" t="str">
        <f>IFERROR(__xludf.DUMMYFUNCTION("""COMPUTED_VALUE"""),"Director (Finance)")</f>
        <v>Director (Finance)</v>
      </c>
      <c r="D2035" s="17"/>
      <c r="E2035" s="17"/>
      <c r="F2035" s="17"/>
      <c r="G2035" s="17"/>
      <c r="H2035" s="17"/>
    </row>
    <row r="2036">
      <c r="A2036" s="17" t="str">
        <f>IFERROR(__xludf.DUMMYFUNCTION("""COMPUTED_VALUE"""),"Petronet LNG Ltd")</f>
        <v>Petronet LNG Ltd</v>
      </c>
      <c r="B2036" s="17" t="str">
        <f>IFERROR(__xludf.DUMMYFUNCTION("""COMPUTED_VALUE"""),"Vinod Kumar Mishra")</f>
        <v>Vinod Kumar Mishra</v>
      </c>
      <c r="C2036" s="17" t="str">
        <f>IFERROR(__xludf.DUMMYFUNCTION("""COMPUTED_VALUE"""),"Director (Finance)")</f>
        <v>Director (Finance)</v>
      </c>
      <c r="D2036" s="17"/>
      <c r="E2036" s="17"/>
      <c r="F2036" s="17"/>
      <c r="G2036" s="17"/>
      <c r="H2036" s="17"/>
    </row>
    <row r="2037">
      <c r="A2037" s="17" t="str">
        <f>IFERROR(__xludf.DUMMYFUNCTION("""COMPUTED_VALUE"""),"Power Grid Corporation of India Ltd")</f>
        <v>Power Grid Corporation of India Ltd</v>
      </c>
      <c r="B2037" s="17" t="str">
        <f>IFERROR(__xludf.DUMMYFUNCTION("""COMPUTED_VALUE"""),"Ravisankar Ganesan")</f>
        <v>Ravisankar Ganesan</v>
      </c>
      <c r="C2037" s="17" t="str">
        <f>IFERROR(__xludf.DUMMYFUNCTION("""COMPUTED_VALUE"""),"Director (Finance) &amp; CFO")</f>
        <v>Director (Finance) &amp; CFO</v>
      </c>
      <c r="D2037" s="17"/>
      <c r="E2037" s="17"/>
      <c r="F2037" s="17"/>
      <c r="G2037" s="17"/>
      <c r="H2037" s="17"/>
    </row>
    <row r="2038">
      <c r="A2038" s="17" t="str">
        <f>IFERROR(__xludf.DUMMYFUNCTION("""COMPUTED_VALUE"""),"Redington India Ltd")</f>
        <v>Redington India Ltd</v>
      </c>
      <c r="B2038" s="17" t="str">
        <f>IFERROR(__xludf.DUMMYFUNCTION("""COMPUTED_VALUE"""),"V. Krishnan")</f>
        <v>V. Krishnan</v>
      </c>
      <c r="C2038" s="17" t="str">
        <f>IFERROR(__xludf.DUMMYFUNCTION("""COMPUTED_VALUE"""),"Whole-Time Director &amp; CFO")</f>
        <v>Whole-Time Director &amp; CFO</v>
      </c>
      <c r="D2038" s="17"/>
      <c r="E2038" s="17"/>
      <c r="F2038" s="17"/>
      <c r="G2038" s="17"/>
      <c r="H2038" s="17"/>
    </row>
    <row r="2039">
      <c r="A2039" s="17" t="str">
        <f>IFERROR(__xludf.DUMMYFUNCTION("""COMPUTED_VALUE"""),"Reliance Industries Ltd")</f>
        <v>Reliance Industries Ltd</v>
      </c>
      <c r="B2039" s="17" t="str">
        <f>IFERROR(__xludf.DUMMYFUNCTION("""COMPUTED_VALUE"""),"Srikanth Venkatachari")</f>
        <v>Srikanth Venkatachari</v>
      </c>
      <c r="C2039" s="17" t="str">
        <f>IFERROR(__xludf.DUMMYFUNCTION("""COMPUTED_VALUE"""),"Chief Financial Officer")</f>
        <v>Chief Financial Officer</v>
      </c>
      <c r="D2039" s="17"/>
      <c r="E2039" s="17"/>
      <c r="F2039" s="17"/>
      <c r="G2039" s="17"/>
      <c r="H2039" s="17"/>
    </row>
    <row r="2040">
      <c r="A2040" s="17" t="str">
        <f>IFERROR(__xludf.DUMMYFUNCTION("""COMPUTED_VALUE"""),"Reliance Infrastructure Ltd")</f>
        <v>Reliance Infrastructure Ltd</v>
      </c>
      <c r="B2040" s="17" t="str">
        <f>IFERROR(__xludf.DUMMYFUNCTION("""COMPUTED_VALUE"""),"Vijesh Babu")</f>
        <v>Vijesh Babu</v>
      </c>
      <c r="C2040" s="17" t="str">
        <f>IFERROR(__xludf.DUMMYFUNCTION("""COMPUTED_VALUE"""),"Chief Financial Officer")</f>
        <v>Chief Financial Officer</v>
      </c>
      <c r="D2040" s="17"/>
      <c r="E2040" s="17"/>
      <c r="F2040" s="17"/>
      <c r="G2040" s="17"/>
      <c r="H2040" s="17"/>
    </row>
    <row r="2041">
      <c r="A2041" s="17" t="str">
        <f>IFERROR(__xludf.DUMMYFUNCTION("""COMPUTED_VALUE"""),"Samvardhana Motherson International Ltd")</f>
        <v>Samvardhana Motherson International Ltd</v>
      </c>
      <c r="B2041" s="17" t="str">
        <f>IFERROR(__xludf.DUMMYFUNCTION("""COMPUTED_VALUE"""),"Kunal Malani")</f>
        <v>Kunal Malani</v>
      </c>
      <c r="C2041" s="17" t="str">
        <f>IFERROR(__xludf.DUMMYFUNCTION("""COMPUTED_VALUE"""),"Chief Financial Officer")</f>
        <v>Chief Financial Officer</v>
      </c>
      <c r="D2041" s="27" t="str">
        <f>IFERROR(__xludf.DUMMYFUNCTION("""COMPUTED_VALUE"""),"https://www.linkedin.com/in/kunal-malani-2817b41/?originalSubdomain=in")</f>
        <v>https://www.linkedin.com/in/kunal-malani-2817b41/?originalSubdomain=in</v>
      </c>
      <c r="E2041" s="17" t="str">
        <f>IFERROR(__xludf.DUMMYFUNCTION("""COMPUTED_VALUE"""),"kunal.malani@motherson.com")</f>
        <v>kunal.malani@motherson.com</v>
      </c>
      <c r="F2041" s="17"/>
      <c r="G2041" s="17"/>
      <c r="H2041" s="17"/>
    </row>
    <row r="2042">
      <c r="A2042" s="17" t="str">
        <f>IFERROR(__xludf.DUMMYFUNCTION("""COMPUTED_VALUE"""),"SRF Ltd")</f>
        <v>SRF Ltd</v>
      </c>
      <c r="B2042" s="17" t="str">
        <f>IFERROR(__xludf.DUMMYFUNCTION("""COMPUTED_VALUE"""),"Rahul Jain")</f>
        <v>Rahul Jain</v>
      </c>
      <c r="C2042" s="17" t="str">
        <f>IFERROR(__xludf.DUMMYFUNCTION("""COMPUTED_VALUE"""),"Chief Financial Officer")</f>
        <v>Chief Financial Officer</v>
      </c>
      <c r="D2042" s="27" t="str">
        <f>IFERROR(__xludf.DUMMYFUNCTION("""COMPUTED_VALUE"""),"https://www.linkedin.com/in/rahul-jain-a02736154/?originalSubdomain=in")</f>
        <v>https://www.linkedin.com/in/rahul-jain-a02736154/?originalSubdomain=in</v>
      </c>
      <c r="E2042" s="17" t="str">
        <f>IFERROR(__xludf.DUMMYFUNCTION("""COMPUTED_VALUE"""),"rahul.jain@srf.com")</f>
        <v>rahul.jain@srf.com</v>
      </c>
      <c r="F2042" s="17"/>
      <c r="G2042" s="17"/>
      <c r="H2042" s="17"/>
    </row>
    <row r="2043">
      <c r="A2043" s="17" t="str">
        <f>IFERROR(__xludf.DUMMYFUNCTION("""COMPUTED_VALUE"""),"Steel Authority of India Ltd (SAIL)")</f>
        <v>Steel Authority of India Ltd (SAIL)</v>
      </c>
      <c r="B2043" s="17" t="str">
        <f>IFERROR(__xludf.DUMMYFUNCTION("""COMPUTED_VALUE"""),"Ashok Kumar Panda")</f>
        <v>Ashok Kumar Panda</v>
      </c>
      <c r="C2043" s="17" t="str">
        <f>IFERROR(__xludf.DUMMYFUNCTION("""COMPUTED_VALUE"""),"Director (Finance)")</f>
        <v>Director (Finance)</v>
      </c>
      <c r="D2043" s="27" t="str">
        <f>IFERROR(__xludf.DUMMYFUNCTION("""COMPUTED_VALUE"""),"https://www.linkedin.com/in/dr-ashok-kumar-panda-2884a726/?originalSubdomain=in")</f>
        <v>https://www.linkedin.com/in/dr-ashok-kumar-panda-2884a726/?originalSubdomain=in</v>
      </c>
      <c r="E2043" s="17" t="str">
        <f>IFERROR(__xludf.DUMMYFUNCTION("""COMPUTED_VALUE"""),"ashokpandarsp@gmail.com")</f>
        <v>ashokpandarsp@gmail.com</v>
      </c>
      <c r="F2043" s="17"/>
      <c r="G2043" s="17"/>
      <c r="H2043" s="17"/>
    </row>
    <row r="2044">
      <c r="A2044" s="17" t="str">
        <f>IFERROR(__xludf.DUMMYFUNCTION("""COMPUTED_VALUE"""),"Sun Pharmaceutical Industries Ltd")</f>
        <v>Sun Pharmaceutical Industries Ltd</v>
      </c>
      <c r="B2044" s="17" t="str">
        <f>IFERROR(__xludf.DUMMYFUNCTION("""COMPUTED_VALUE"""),"C.S. Muralidharan")</f>
        <v>C.S. Muralidharan</v>
      </c>
      <c r="C2044" s="17" t="str">
        <f>IFERROR(__xludf.DUMMYFUNCTION("""COMPUTED_VALUE"""),"Group Chief Financial Officer")</f>
        <v>Group Chief Financial Officer</v>
      </c>
      <c r="D2044" s="27" t="str">
        <f>IFERROR(__xludf.DUMMYFUNCTION("""COMPUTED_VALUE"""),"https://www.linkedin.com/in/c-s-muralidharan-225408138/?originalSubdomain=in")</f>
        <v>https://www.linkedin.com/in/c-s-muralidharan-225408138/?originalSubdomain=in</v>
      </c>
      <c r="E2044" s="17" t="str">
        <f>IFERROR(__xludf.DUMMYFUNCTION("""COMPUTED_VALUE"""),"c.muralidharan@sunpharma.com")</f>
        <v>c.muralidharan@sunpharma.com</v>
      </c>
      <c r="F2044" s="17"/>
      <c r="G2044" s="17"/>
      <c r="H2044" s="17"/>
    </row>
    <row r="2045">
      <c r="A2045" s="17" t="str">
        <f>IFERROR(__xludf.DUMMYFUNCTION("""COMPUTED_VALUE"""),"Sun TV Network Ltd")</f>
        <v>Sun TV Network Ltd</v>
      </c>
      <c r="B2045" s="17" t="str">
        <f>IFERROR(__xludf.DUMMYFUNCTION("""COMPUTED_VALUE"""),"V.C. Unnikrishnan")</f>
        <v>V.C. Unnikrishnan</v>
      </c>
      <c r="C2045" s="17" t="str">
        <f>IFERROR(__xludf.DUMMYFUNCTION("""COMPUTED_VALUE"""),"Chief Financial Officer")</f>
        <v>Chief Financial Officer</v>
      </c>
      <c r="D2045" s="27" t="str">
        <f>IFERROR(__xludf.DUMMYFUNCTION("""COMPUTED_VALUE"""),"https://www.linkedin.com/in/unnivc/?originalSubdomain=in")</f>
        <v>https://www.linkedin.com/in/unnivc/?originalSubdomain=in</v>
      </c>
      <c r="E2045" s="17" t="str">
        <f>IFERROR(__xludf.DUMMYFUNCTION("""COMPUTED_VALUE"""),"unnivc@sunnetwork.in")</f>
        <v>unnivc@sunnetwork.in</v>
      </c>
      <c r="F2045" s="17"/>
      <c r="G2045" s="17"/>
      <c r="H2045" s="17"/>
    </row>
    <row r="2046">
      <c r="A2046" s="17" t="str">
        <f>IFERROR(__xludf.DUMMYFUNCTION("""COMPUTED_VALUE"""),"Tata Chemicals Ltd")</f>
        <v>Tata Chemicals Ltd</v>
      </c>
      <c r="B2046" s="17" t="str">
        <f>IFERROR(__xludf.DUMMYFUNCTION("""COMPUTED_VALUE"""),"Nandakumar S. Tirumalai")</f>
        <v>Nandakumar S. Tirumalai</v>
      </c>
      <c r="C2046" s="17" t="str">
        <f>IFERROR(__xludf.DUMMYFUNCTION("""COMPUTED_VALUE"""),"Chief Financial Officer")</f>
        <v>Chief Financial Officer</v>
      </c>
      <c r="D2046" s="27" t="str">
        <f>IFERROR(__xludf.DUMMYFUNCTION("""COMPUTED_VALUE"""),"https://www.linkedin.com/in/nandakumartirumalai/")</f>
        <v>https://www.linkedin.com/in/nandakumartirumalai/</v>
      </c>
      <c r="E2046" s="17" t="str">
        <f>IFERROR(__xludf.DUMMYFUNCTION("""COMPUTED_VALUE"""),"nandu@tatachemicals.com")</f>
        <v>nandu@tatachemicals.com</v>
      </c>
      <c r="F2046" s="17"/>
      <c r="G2046" s="17"/>
      <c r="H2046" s="17"/>
    </row>
    <row r="2047">
      <c r="A2047" s="17" t="str">
        <f>IFERROR(__xludf.DUMMYFUNCTION("""COMPUTED_VALUE"""),"Tata Consumer Products Ltd")</f>
        <v>Tata Consumer Products Ltd</v>
      </c>
      <c r="B2047" s="17" t="str">
        <f>IFERROR(__xludf.DUMMYFUNCTION("""COMPUTED_VALUE"""),"Ashish Goenka")</f>
        <v>Ashish Goenka</v>
      </c>
      <c r="C2047" s="17" t="str">
        <f>IFERROR(__xludf.DUMMYFUNCTION("""COMPUTED_VALUE"""),"Group Chief Financial Officer")</f>
        <v>Group Chief Financial Officer</v>
      </c>
      <c r="D2047" s="27" t="str">
        <f>IFERROR(__xludf.DUMMYFUNCTION("""COMPUTED_VALUE"""),"https://www.linkedin.com/in/ashish-goenka-aa680a8/?originalSubdomain=in")</f>
        <v>https://www.linkedin.com/in/ashish-goenka-aa680a8/?originalSubdomain=in</v>
      </c>
      <c r="E2047" s="17" t="str">
        <f>IFERROR(__xludf.DUMMYFUNCTION("""COMPUTED_VALUE"""),"ashish.goenka@tataconsumer.com")</f>
        <v>ashish.goenka@tataconsumer.com</v>
      </c>
      <c r="F2047" s="17"/>
      <c r="G2047" s="17"/>
      <c r="H2047" s="17"/>
    </row>
    <row r="2048">
      <c r="A2048" s="17" t="str">
        <f>IFERROR(__xludf.DUMMYFUNCTION("""COMPUTED_VALUE"""),"Tata Consultancy Services Ltd (TCS)")</f>
        <v>Tata Consultancy Services Ltd (TCS)</v>
      </c>
      <c r="B2048" s="17" t="str">
        <f>IFERROR(__xludf.DUMMYFUNCTION("""COMPUTED_VALUE"""),"Samir Seksaria")</f>
        <v>Samir Seksaria</v>
      </c>
      <c r="C2048" s="17" t="str">
        <f>IFERROR(__xludf.DUMMYFUNCTION("""COMPUTED_VALUE"""),"Chief Financial Officer")</f>
        <v>Chief Financial Officer</v>
      </c>
      <c r="D2048" s="27" t="str">
        <f>IFERROR(__xludf.DUMMYFUNCTION("""COMPUTED_VALUE"""),"https://www.linkedin.com/in/samir-seksaria-3526244/?originalSubdomain=in")</f>
        <v>https://www.linkedin.com/in/samir-seksaria-3526244/?originalSubdomain=in</v>
      </c>
      <c r="E2048" s="17" t="str">
        <f>IFERROR(__xludf.DUMMYFUNCTION("""COMPUTED_VALUE"""),"samir.seksaria@tcs.com")</f>
        <v>samir.seksaria@tcs.com</v>
      </c>
      <c r="F2048" s="17"/>
      <c r="G2048" s="17"/>
      <c r="H2048" s="17"/>
    </row>
    <row r="2049">
      <c r="A2049" s="17" t="str">
        <f>IFERROR(__xludf.DUMMYFUNCTION("""COMPUTED_VALUE"""),"Tata Elxsi Ltd")</f>
        <v>Tata Elxsi Ltd</v>
      </c>
      <c r="B2049" s="17" t="str">
        <f>IFERROR(__xludf.DUMMYFUNCTION("""COMPUTED_VALUE"""),"Gaurav Bajaj")</f>
        <v>Gaurav Bajaj</v>
      </c>
      <c r="C2049" s="17" t="str">
        <f>IFERROR(__xludf.DUMMYFUNCTION("""COMPUTED_VALUE"""),"Chief Financial Officer")</f>
        <v>Chief Financial Officer</v>
      </c>
      <c r="D2049" s="27" t="str">
        <f>IFERROR(__xludf.DUMMYFUNCTION("""COMPUTED_VALUE"""),"https://www.linkedin.com/in/gaurav-bajaj-1431085/?originalSubdomain=in")</f>
        <v>https://www.linkedin.com/in/gaurav-bajaj-1431085/?originalSubdomain=in</v>
      </c>
      <c r="E2049" s="17" t="str">
        <f>IFERROR(__xludf.DUMMYFUNCTION("""COMPUTED_VALUE"""),"gaurav.bajaj@tataelxsi.co.in")</f>
        <v>gaurav.bajaj@tataelxsi.co.in</v>
      </c>
      <c r="F2049" s="17"/>
      <c r="G2049" s="17"/>
      <c r="H2049" s="17"/>
    </row>
    <row r="2050">
      <c r="A2050" s="17" t="str">
        <f>IFERROR(__xludf.DUMMYFUNCTION("""COMPUTED_VALUE"""),"Tata Motors Ltd")</f>
        <v>Tata Motors Ltd</v>
      </c>
      <c r="B2050" s="17" t="str">
        <f>IFERROR(__xludf.DUMMYFUNCTION("""COMPUTED_VALUE"""),"P.B. Balaji")</f>
        <v>P.B. Balaji</v>
      </c>
      <c r="C2050" s="17" t="str">
        <f>IFERROR(__xludf.DUMMYFUNCTION("""COMPUTED_VALUE"""),"Group Chief Financial Officer")</f>
        <v>Group Chief Financial Officer</v>
      </c>
      <c r="D2050" s="17"/>
      <c r="E2050" s="17"/>
      <c r="F2050" s="17"/>
      <c r="G2050" s="17"/>
      <c r="H2050" s="17"/>
    </row>
    <row r="2051">
      <c r="A2051" s="17" t="str">
        <f>IFERROR(__xludf.DUMMYFUNCTION("""COMPUTED_VALUE"""),"Tata Power Company Ltd")</f>
        <v>Tata Power Company Ltd</v>
      </c>
      <c r="B2051" s="17" t="str">
        <f>IFERROR(__xludf.DUMMYFUNCTION("""COMPUTED_VALUE"""),"Sanjeev Churiwala")</f>
        <v>Sanjeev Churiwala</v>
      </c>
      <c r="C2051" s="17" t="str">
        <f>IFERROR(__xludf.DUMMYFUNCTION("""COMPUTED_VALUE"""),"Chief Financial Officer")</f>
        <v>Chief Financial Officer</v>
      </c>
      <c r="D2051" s="17"/>
      <c r="E2051" s="17"/>
      <c r="F2051" s="17"/>
      <c r="G2051" s="17"/>
      <c r="H2051" s="17"/>
    </row>
    <row r="2052">
      <c r="A2052" s="17" t="str">
        <f>IFERROR(__xludf.DUMMYFUNCTION("""COMPUTED_VALUE"""),"Tata Steel Ltd")</f>
        <v>Tata Steel Ltd</v>
      </c>
      <c r="B2052" s="17" t="str">
        <f>IFERROR(__xludf.DUMMYFUNCTION("""COMPUTED_VALUE"""),"Koushik Chatterjee")</f>
        <v>Koushik Chatterjee</v>
      </c>
      <c r="C2052" s="17" t="str">
        <f>IFERROR(__xludf.DUMMYFUNCTION("""COMPUTED_VALUE"""),"Executive Director &amp; CFO")</f>
        <v>Executive Director &amp; CFO</v>
      </c>
      <c r="D2052" s="27" t="str">
        <f>IFERROR(__xludf.DUMMYFUNCTION("""COMPUTED_VALUE"""),"https://www.linkedin.com/in/koushik-chatterjee-2910b31")</f>
        <v>https://www.linkedin.com/in/koushik-chatterjee-2910b31</v>
      </c>
      <c r="E2052" s="17" t="str">
        <f>IFERROR(__xludf.DUMMYFUNCTION("""COMPUTED_VALUE"""),"koushik.chatterjee@tatasteel.com")</f>
        <v>koushik.chatterjee@tatasteel.com</v>
      </c>
      <c r="F2052" s="17" t="str">
        <f>IFERROR(__xludf.DUMMYFUNCTION("""COMPUTED_VALUE"""),"98212 23705")</f>
        <v>98212 23705</v>
      </c>
      <c r="G2052" s="17"/>
      <c r="H2052" s="17"/>
    </row>
    <row r="2053">
      <c r="A2053" s="17" t="str">
        <f>IFERROR(__xludf.DUMMYFUNCTION("""COMPUTED_VALUE"""),"Torrent Pharmaceuticals Ltd")</f>
        <v>Torrent Pharmaceuticals Ltd</v>
      </c>
      <c r="B2053" s="17" t="str">
        <f>IFERROR(__xludf.DUMMYFUNCTION("""COMPUTED_VALUE"""),"Sudhir Menon")</f>
        <v>Sudhir Menon</v>
      </c>
      <c r="C2053" s="17" t="str">
        <f>IFERROR(__xludf.DUMMYFUNCTION("""COMPUTED_VALUE"""),"Executive Director &amp; CFO")</f>
        <v>Executive Director &amp; CFO</v>
      </c>
      <c r="D2053" s="27" t="str">
        <f>IFERROR(__xludf.DUMMYFUNCTION("""COMPUTED_VALUE"""),"https://www.linkedin.com/in/sudhir-menon-7a58a697/?originalSubdomain=in")</f>
        <v>https://www.linkedin.com/in/sudhir-menon-7a58a697/?originalSubdomain=in</v>
      </c>
      <c r="E2053" s="17" t="str">
        <f>IFERROR(__xludf.DUMMYFUNCTION("""COMPUTED_VALUE"""),"sudhirmenon@torrentpharma.com")</f>
        <v>sudhirmenon@torrentpharma.com</v>
      </c>
      <c r="F2053" s="17"/>
      <c r="G2053" s="17"/>
      <c r="H2053" s="17"/>
    </row>
    <row r="2054">
      <c r="A2054" s="17" t="str">
        <f>IFERROR(__xludf.DUMMYFUNCTION("""COMPUTED_VALUE"""),"UltraTech Cement Ltd")</f>
        <v>UltraTech Cement Ltd</v>
      </c>
      <c r="B2054" s="17" t="str">
        <f>IFERROR(__xludf.DUMMYFUNCTION("""COMPUTED_VALUE"""),"Atul Daga")</f>
        <v>Atul Daga</v>
      </c>
      <c r="C2054" s="17" t="str">
        <f>IFERROR(__xludf.DUMMYFUNCTION("""COMPUTED_VALUE"""),"Whole-time Director &amp; CFO")</f>
        <v>Whole-time Director &amp; CFO</v>
      </c>
      <c r="D2054" s="27" t="str">
        <f>IFERROR(__xludf.DUMMYFUNCTION("""COMPUTED_VALUE"""),"https://www.linkedin.com/in/atul-daga/?originalSubdomain=in")</f>
        <v>https://www.linkedin.com/in/atul-daga/?originalSubdomain=in</v>
      </c>
      <c r="E2054" s="17" t="str">
        <f>IFERROR(__xludf.DUMMYFUNCTION("""COMPUTED_VALUE"""),"atul.daga@adityabirla.com")</f>
        <v>atul.daga@adityabirla.com</v>
      </c>
      <c r="F2054" s="17"/>
      <c r="G2054" s="17" t="str">
        <f>IFERROR(__xludf.DUMMYFUNCTION("""COMPUTED_VALUE"""),"atuldaga23@gmail.com")</f>
        <v>atuldaga23@gmail.com</v>
      </c>
      <c r="H2054" s="17"/>
    </row>
    <row r="2055">
      <c r="A2055" s="17" t="str">
        <f>IFERROR(__xludf.DUMMYFUNCTION("""COMPUTED_VALUE"""),"Vedanta Ltd")</f>
        <v>Vedanta Ltd</v>
      </c>
      <c r="B2055" s="17" t="str">
        <f>IFERROR(__xludf.DUMMYFUNCTION("""COMPUTED_VALUE"""),"Ajay Goel")</f>
        <v>Ajay Goel</v>
      </c>
      <c r="C2055" s="17" t="str">
        <f>IFERROR(__xludf.DUMMYFUNCTION("""COMPUTED_VALUE"""),"Chief Financial Officer")</f>
        <v>Chief Financial Officer</v>
      </c>
      <c r="D2055" s="27" t="str">
        <f>IFERROR(__xludf.DUMMYFUNCTION("""COMPUTED_VALUE"""),"https://www.linkedin.com/in/ajay-goel-767b2215/?originalSubdomain=in")</f>
        <v>https://www.linkedin.com/in/ajay-goel-767b2215/?originalSubdomain=in</v>
      </c>
      <c r="E2055" s="17" t="str">
        <f>IFERROR(__xludf.DUMMYFUNCTION("""COMPUTED_VALUE"""),"ajay.goel@vedanta.co.in")</f>
        <v>ajay.goel@vedanta.co.in</v>
      </c>
      <c r="F2055" s="17"/>
      <c r="G2055" s="17"/>
      <c r="H2055" s="17"/>
    </row>
    <row r="2056">
      <c r="A2056" s="17" t="str">
        <f>IFERROR(__xludf.DUMMYFUNCTION("""COMPUTED_VALUE"""),"VIP Industries Ltd.")</f>
        <v>VIP Industries Ltd.</v>
      </c>
      <c r="B2056" s="17" t="str">
        <f>IFERROR(__xludf.DUMMYFUNCTION("""COMPUTED_VALUE"""),"Manish Desai")</f>
        <v>Manish Desai</v>
      </c>
      <c r="C2056" s="17" t="str">
        <f>IFERROR(__xludf.DUMMYFUNCTION("""COMPUTED_VALUE"""),"Chief Financial Officer")</f>
        <v>Chief Financial Officer</v>
      </c>
      <c r="D2056" s="27" t="str">
        <f>IFERROR(__xludf.DUMMYFUNCTION("""COMPUTED_VALUE"""),"https://www.linkedin.com/in/manish-desai-2a554262/?originalSubdomain=in")</f>
        <v>https://www.linkedin.com/in/manish-desai-2a554262/?originalSubdomain=in</v>
      </c>
      <c r="E2056" s="17" t="str">
        <f>IFERROR(__xludf.DUMMYFUNCTION("""COMPUTED_VALUE"""),"manish.desai@vipbags.com")</f>
        <v>manish.desai@vipbags.com</v>
      </c>
      <c r="F2056" s="17" t="str">
        <f>IFERROR(__xludf.DUMMYFUNCTION("""COMPUTED_VALUE"""),"919819658686")</f>
        <v>919819658686</v>
      </c>
      <c r="G2056" s="17"/>
      <c r="H2056" s="17"/>
    </row>
    <row r="2057">
      <c r="A2057" s="17" t="str">
        <f>IFERROR(__xludf.DUMMYFUNCTION("""COMPUTED_VALUE"""),"Wipro Ltd")</f>
        <v>Wipro Ltd</v>
      </c>
      <c r="B2057" s="17" t="str">
        <f>IFERROR(__xludf.DUMMYFUNCTION("""COMPUTED_VALUE"""),"Aparna Iyer")</f>
        <v>Aparna Iyer</v>
      </c>
      <c r="C2057" s="17" t="str">
        <f>IFERROR(__xludf.DUMMYFUNCTION("""COMPUTED_VALUE"""),"Chief Financial Officer")</f>
        <v>Chief Financial Officer</v>
      </c>
      <c r="D2057" s="27" t="str">
        <f>IFERROR(__xludf.DUMMYFUNCTION("""COMPUTED_VALUE"""),"https://www.linkedin.com/m/in/aparna-iyer-7a6a135?originalSubdomain=in")</f>
        <v>https://www.linkedin.com/m/in/aparna-iyer-7a6a135?originalSubdomain=in</v>
      </c>
      <c r="E2057" s="17" t="str">
        <f>IFERROR(__xludf.DUMMYFUNCTION("""COMPUTED_VALUE"""),"genieaps@gmail.com")</f>
        <v>genieaps@gmail.com</v>
      </c>
      <c r="F2057" s="17"/>
      <c r="G2057" s="17"/>
      <c r="H2057" s="17"/>
    </row>
    <row r="2058">
      <c r="A2058" s="17" t="str">
        <f>IFERROR(__xludf.DUMMYFUNCTION("""COMPUTED_VALUE"""),"Zee Entertainment Enterprises Ltd")</f>
        <v>Zee Entertainment Enterprises Ltd</v>
      </c>
      <c r="B2058" s="17" t="str">
        <f>IFERROR(__xludf.DUMMYFUNCTION("""COMPUTED_VALUE"""),"Mukund Galgali")</f>
        <v>Mukund Galgali</v>
      </c>
      <c r="C2058" s="17" t="str">
        <f>IFERROR(__xludf.DUMMYFUNCTION("""COMPUTED_VALUE"""),"CFO")</f>
        <v>CFO</v>
      </c>
      <c r="D2058" s="27" t="str">
        <f>IFERROR(__xludf.DUMMYFUNCTION("""COMPUTED_VALUE"""),"https://www.linkedin.com/in/mukundvgalgali/?originalSubdomain=in")</f>
        <v>https://www.linkedin.com/in/mukundvgalgali/?originalSubdomain=in</v>
      </c>
      <c r="E2058" s="17" t="str">
        <f>IFERROR(__xludf.DUMMYFUNCTION("""COMPUTED_VALUE"""),"mukund.galgali@zee.com")</f>
        <v>mukund.galgali@zee.com</v>
      </c>
      <c r="F2058" s="17" t="str">
        <f>IFERROR(__xludf.DUMMYFUNCTION("""COMPUTED_VALUE"""),"919833965629")</f>
        <v>919833965629</v>
      </c>
      <c r="G2058" s="17" t="str">
        <f>IFERROR(__xludf.DUMMYFUNCTION("""COMPUTED_VALUE"""),"mvgalgali@gmail.com")</f>
        <v>mvgalgali@gmail.com</v>
      </c>
      <c r="H2058" s="17"/>
    </row>
    <row r="2059">
      <c r="A2059" s="17" t="str">
        <f>IFERROR(__xludf.DUMMYFUNCTION("""COMPUTED_VALUE"""),"Hindustan Unilever Ltd (HUL)")</f>
        <v>Hindustan Unilever Ltd (HUL)</v>
      </c>
      <c r="B2059" s="17" t="str">
        <f>IFERROR(__xludf.DUMMYFUNCTION("""COMPUTED_VALUE"""),"Niranjan Gupta")</f>
        <v>Niranjan Gupta</v>
      </c>
      <c r="C2059" s="17" t="str">
        <f>IFERROR(__xludf.DUMMYFUNCTION("""COMPUTED_VALUE"""),"CFO")</f>
        <v>CFO</v>
      </c>
      <c r="D2059" s="27" t="str">
        <f>IFERROR(__xludf.DUMMYFUNCTION("""COMPUTED_VALUE"""),"https://www.linkedin.com/in/niranjan-gupta-8b981619/?original_referer=https%3A%2F%2Fwww%2Egoogle%2Ecom%2F&amp;originalSubdomain=in")</f>
        <v>https://www.linkedin.com/in/niranjan-gupta-8b981619/?original_referer=https%3A%2F%2Fwww%2Egoogle%2Ecom%2F&amp;originalSubdomain=in</v>
      </c>
      <c r="E2059" s="17" t="str">
        <f>IFERROR(__xludf.DUMMYFUNCTION("""COMPUTED_VALUE"""),"niranjan.gupta@unilever.com")</f>
        <v>niranjan.gupta@unilever.com</v>
      </c>
      <c r="F2059" s="17"/>
      <c r="G2059" s="17"/>
      <c r="H2059" s="17"/>
    </row>
    <row r="2060">
      <c r="A2060" s="17" t="str">
        <f>IFERROR(__xludf.DUMMYFUNCTION("""COMPUTED_VALUE"""),"Procter &amp; Gamble (P&amp;G) India")</f>
        <v>Procter &amp; Gamble (P&amp;G) India</v>
      </c>
      <c r="B2060" s="17" t="str">
        <f>IFERROR(__xludf.DUMMYFUNCTION("""COMPUTED_VALUE"""),"Gaurav Bhartia")</f>
        <v>Gaurav Bhartia</v>
      </c>
      <c r="C2060" s="17" t="str">
        <f>IFERROR(__xludf.DUMMYFUNCTION("""COMPUTED_VALUE"""),"Head of Sales and Finance")</f>
        <v>Head of Sales and Finance</v>
      </c>
      <c r="D2060" s="27" t="str">
        <f>IFERROR(__xludf.DUMMYFUNCTION("""COMPUTED_VALUE"""),"https://www.linkedin.com/in/gaurav-bhartia-247a428/?originalSubdomain=in")</f>
        <v>https://www.linkedin.com/in/gaurav-bhartia-247a428/?originalSubdomain=in</v>
      </c>
      <c r="E2060" s="17" t="str">
        <f>IFERROR(__xludf.DUMMYFUNCTION("""COMPUTED_VALUE"""),"gauravbhartia@gmail.com")</f>
        <v>gauravbhartia@gmail.com</v>
      </c>
      <c r="F2060" s="17" t="str">
        <f>IFERROR(__xludf.DUMMYFUNCTION("""COMPUTED_VALUE"""),"918884112337")</f>
        <v>918884112337</v>
      </c>
      <c r="G2060" s="17"/>
      <c r="H2060" s="17"/>
    </row>
    <row r="2061">
      <c r="A2061" s="17" t="str">
        <f>IFERROR(__xludf.DUMMYFUNCTION("""COMPUTED_VALUE"""),"Jindal Power")</f>
        <v>Jindal Power</v>
      </c>
      <c r="B2061" s="17" t="str">
        <f>IFERROR(__xludf.DUMMYFUNCTION("""COMPUTED_VALUE"""),"Amit Dang")</f>
        <v>Amit Dang</v>
      </c>
      <c r="C2061" s="17" t="str">
        <f>IFERROR(__xludf.DUMMYFUNCTION("""COMPUTED_VALUE"""),"CFO")</f>
        <v>CFO</v>
      </c>
      <c r="D2061" s="27" t="str">
        <f>IFERROR(__xludf.DUMMYFUNCTION("""COMPUTED_VALUE"""),"https://www.linkedin.com/in/amit-dang-7472628/?originalSubdomain=in")</f>
        <v>https://www.linkedin.com/in/amit-dang-7472628/?originalSubdomain=in</v>
      </c>
      <c r="E2061" s="17" t="str">
        <f>IFERROR(__xludf.DUMMYFUNCTION("""COMPUTED_VALUE"""),"amit.dang@jindalpower.com")</f>
        <v>amit.dang@jindalpower.com</v>
      </c>
      <c r="F2061" s="17"/>
      <c r="G2061" s="17"/>
      <c r="H2061" s="17"/>
    </row>
    <row r="2062">
      <c r="A2062" s="17" t="str">
        <f>IFERROR(__xludf.DUMMYFUNCTION("""COMPUTED_VALUE"""),"Navi Technologies")</f>
        <v>Navi Technologies</v>
      </c>
      <c r="B2062" s="17" t="str">
        <f>IFERROR(__xludf.DUMMYFUNCTION("""COMPUTED_VALUE"""),"Ankit Agarwal")</f>
        <v>Ankit Agarwal</v>
      </c>
      <c r="C2062" s="17" t="str">
        <f>IFERROR(__xludf.DUMMYFUNCTION("""COMPUTED_VALUE"""),"CFO")</f>
        <v>CFO</v>
      </c>
      <c r="D2062" s="27" t="str">
        <f>IFERROR(__xludf.DUMMYFUNCTION("""COMPUTED_VALUE"""),"https://www.linkedin.com/in/ankit-agarwal-a1904930/?originalSubdomain=in")</f>
        <v>https://www.linkedin.com/in/ankit-agarwal-a1904930/?originalSubdomain=in</v>
      </c>
      <c r="E2062" s="17" t="str">
        <f>IFERROR(__xludf.DUMMYFUNCTION("""COMPUTED_VALUE"""),"ankit.agarwal@navi.com")</f>
        <v>ankit.agarwal@navi.com</v>
      </c>
      <c r="F2062" s="17"/>
      <c r="G2062" s="17"/>
      <c r="H2062" s="17"/>
    </row>
    <row r="2063">
      <c r="A2063" s="17" t="str">
        <f>IFERROR(__xludf.DUMMYFUNCTION("""COMPUTED_VALUE"""),"PayU")</f>
        <v>PayU</v>
      </c>
      <c r="B2063" s="17" t="str">
        <f>IFERROR(__xludf.DUMMYFUNCTION("""COMPUTED_VALUE"""),"Arvind Agarwal")</f>
        <v>Arvind Agarwal</v>
      </c>
      <c r="C2063" s="17" t="str">
        <f>IFERROR(__xludf.DUMMYFUNCTION("""COMPUTED_VALUE"""),"CFO")</f>
        <v>CFO</v>
      </c>
      <c r="D2063" s="27" t="str">
        <f>IFERROR(__xludf.DUMMYFUNCTION("""COMPUTED_VALUE"""),"https://www.linkedin.com/in/arvindgagarwal/?originalSubdomain=in")</f>
        <v>https://www.linkedin.com/in/arvindgagarwal/?originalSubdomain=in</v>
      </c>
      <c r="E2063" s="17" t="str">
        <f>IFERROR(__xludf.DUMMYFUNCTION("""COMPUTED_VALUE"""),"arvind.agarwal@payu.in")</f>
        <v>arvind.agarwal@payu.in</v>
      </c>
      <c r="F2063" s="17"/>
      <c r="G2063" s="17"/>
      <c r="H2063" s="17"/>
    </row>
    <row r="2064">
      <c r="A2064" s="17" t="str">
        <f>IFERROR(__xludf.DUMMYFUNCTION("""COMPUTED_VALUE"""),"Titan Company")</f>
        <v>Titan Company</v>
      </c>
      <c r="B2064" s="17" t="str">
        <f>IFERROR(__xludf.DUMMYFUNCTION("""COMPUTED_VALUE"""),"Ashok Sonthalia")</f>
        <v>Ashok Sonthalia</v>
      </c>
      <c r="C2064" s="17" t="str">
        <f>IFERROR(__xludf.DUMMYFUNCTION("""COMPUTED_VALUE"""),"CFO")</f>
        <v>CFO</v>
      </c>
      <c r="D2064" s="27" t="str">
        <f>IFERROR(__xludf.DUMMYFUNCTION("""COMPUTED_VALUE"""),"https://www.linkedin.com/in/ashok-sonthalia/?originalSubdomain=in")</f>
        <v>https://www.linkedin.com/in/ashok-sonthalia/?originalSubdomain=in</v>
      </c>
      <c r="E2064" s="17" t="str">
        <f>IFERROR(__xludf.DUMMYFUNCTION("""COMPUTED_VALUE"""),"ashoksonthalia@gmail.com")</f>
        <v>ashoksonthalia@gmail.com</v>
      </c>
      <c r="F2064" s="17"/>
      <c r="G2064" s="17"/>
      <c r="H2064" s="17"/>
    </row>
    <row r="2065">
      <c r="A2065" s="17" t="str">
        <f>IFERROR(__xludf.DUMMYFUNCTION("""COMPUTED_VALUE"""),"Shoppers Stop")</f>
        <v>Shoppers Stop</v>
      </c>
      <c r="B2065" s="17" t="str">
        <f>IFERROR(__xludf.DUMMYFUNCTION("""COMPUTED_VALUE"""),"Karunakaran Mohanasundaram")</f>
        <v>Karunakaran Mohanasundaram</v>
      </c>
      <c r="C2065" s="17" t="str">
        <f>IFERROR(__xludf.DUMMYFUNCTION("""COMPUTED_VALUE"""),"CFO")</f>
        <v>CFO</v>
      </c>
      <c r="D2065" s="27" t="str">
        <f>IFERROR(__xludf.DUMMYFUNCTION("""COMPUTED_VALUE"""),"https://www.linkedin.com/in/karunakaran-mohanasundaram-5165586/?originalSubdomain=in")</f>
        <v>https://www.linkedin.com/in/karunakaran-mohanasundaram-5165586/?originalSubdomain=in</v>
      </c>
      <c r="E2065" s="17" t="str">
        <f>IFERROR(__xludf.DUMMYFUNCTION("""COMPUTED_VALUE"""),"karunakaranm@shoppersstop.co.in")</f>
        <v>karunakaranm@shoppersstop.co.in</v>
      </c>
      <c r="F2065" s="17"/>
      <c r="G2065" s="17"/>
      <c r="H2065" s="17"/>
    </row>
    <row r="2066">
      <c r="A2066" s="17" t="str">
        <f>IFERROR(__xludf.DUMMYFUNCTION("""COMPUTED_VALUE"""),"Trent")</f>
        <v>Trent</v>
      </c>
      <c r="B2066" s="17" t="str">
        <f>IFERROR(__xludf.DUMMYFUNCTION("""COMPUTED_VALUE"""),"Neeraj Basur")</f>
        <v>Neeraj Basur</v>
      </c>
      <c r="C2066" s="17" t="str">
        <f>IFERROR(__xludf.DUMMYFUNCTION("""COMPUTED_VALUE"""),"CFO")</f>
        <v>CFO</v>
      </c>
      <c r="D2066" s="27" t="str">
        <f>IFERROR(__xludf.DUMMYFUNCTION("""COMPUTED_VALUE"""),"https://www.linkedin.com/in/neerajbasur/?originalSubdomain=in")</f>
        <v>https://www.linkedin.com/in/neerajbasur/?originalSubdomain=in</v>
      </c>
      <c r="E2066" s="17" t="str">
        <f>IFERROR(__xludf.DUMMYFUNCTION("""COMPUTED_VALUE"""),"neeraj.basur@trent-tata.com")</f>
        <v>neeraj.basur@trent-tata.com</v>
      </c>
      <c r="F2066" s="17"/>
      <c r="G2066" s="17"/>
      <c r="H2066" s="17"/>
    </row>
    <row r="2067">
      <c r="A2067" s="17" t="str">
        <f>IFERROR(__xludf.DUMMYFUNCTION("""COMPUTED_VALUE"""),"Blue Star Limited")</f>
        <v>Blue Star Limited</v>
      </c>
      <c r="B2067" s="17" t="str">
        <f>IFERROR(__xludf.DUMMYFUNCTION("""COMPUTED_VALUE"""),"Nikhil Sohoni")</f>
        <v>Nikhil Sohoni</v>
      </c>
      <c r="C2067" s="17" t="str">
        <f>IFERROR(__xludf.DUMMYFUNCTION("""COMPUTED_VALUE"""),"CFO")</f>
        <v>CFO</v>
      </c>
      <c r="D2067" s="27" t="str">
        <f>IFERROR(__xludf.DUMMYFUNCTION("""COMPUTED_VALUE"""),"https://www.linkedin.com/in/nikhil-s-a4751114/")</f>
        <v>https://www.linkedin.com/in/nikhil-s-a4751114/</v>
      </c>
      <c r="E2067" s="17"/>
      <c r="F2067" s="17"/>
      <c r="G2067" s="17"/>
      <c r="H2067" s="17"/>
    </row>
    <row r="2068">
      <c r="A2068" s="17" t="str">
        <f>IFERROR(__xludf.DUMMYFUNCTION("""COMPUTED_VALUE"""),"Jar")</f>
        <v>Jar</v>
      </c>
      <c r="B2068" s="17" t="str">
        <f>IFERROR(__xludf.DUMMYFUNCTION("""COMPUTED_VALUE"""),"Nishay Ag")</f>
        <v>Nishay Ag</v>
      </c>
      <c r="C2068" s="17" t="str">
        <f>IFERROR(__xludf.DUMMYFUNCTION("""COMPUTED_VALUE"""),"CEO")</f>
        <v>CEO</v>
      </c>
      <c r="D2068" s="27" t="str">
        <f>IFERROR(__xludf.DUMMYFUNCTION("""COMPUTED_VALUE"""),"https://www.linkedin.com/in/nishchay-ag-904b325/?originalSubdomain=in")</f>
        <v>https://www.linkedin.com/in/nishchay-ag-904b325/?originalSubdomain=in</v>
      </c>
      <c r="E2068" s="17" t="str">
        <f>IFERROR(__xludf.DUMMYFUNCTION("""COMPUTED_VALUE"""),"nishchay@changejar.in")</f>
        <v>nishchay@changejar.in</v>
      </c>
      <c r="F2068" s="17"/>
      <c r="G2068" s="17"/>
      <c r="H2068" s="17"/>
    </row>
    <row r="2069">
      <c r="A2069" s="17" t="str">
        <f>IFERROR(__xludf.DUMMYFUNCTION("""COMPUTED_VALUE"""),"Mswipe")</f>
        <v>Mswipe</v>
      </c>
      <c r="B2069" s="17" t="str">
        <f>IFERROR(__xludf.DUMMYFUNCTION("""COMPUTED_VALUE"""),"Rohit Agrawal")</f>
        <v>Rohit Agrawal</v>
      </c>
      <c r="C2069" s="17" t="str">
        <f>IFERROR(__xludf.DUMMYFUNCTION("""COMPUTED_VALUE"""),"CFO")</f>
        <v>CFO</v>
      </c>
      <c r="D2069" s="27" t="str">
        <f>IFERROR(__xludf.DUMMYFUNCTION("""COMPUTED_VALUE"""),"https://www.linkedin.com/in/rohit-agrawal-20720815/?originalSubdomain=in")</f>
        <v>https://www.linkedin.com/in/rohit-agrawal-20720815/?originalSubdomain=in</v>
      </c>
      <c r="E2069" s="17" t="str">
        <f>IFERROR(__xludf.DUMMYFUNCTION("""COMPUTED_VALUE"""),"rohit.agrawal@mswipe.com")</f>
        <v>rohit.agrawal@mswipe.com</v>
      </c>
      <c r="F2069" s="17"/>
      <c r="G2069" s="17"/>
      <c r="H2069" s="17"/>
    </row>
    <row r="2070">
      <c r="A2070" s="17" t="str">
        <f>IFERROR(__xludf.DUMMYFUNCTION("""COMPUTED_VALUE"""),"Fi (Epifi)")</f>
        <v>Fi (Epifi)</v>
      </c>
      <c r="B2070" s="17" t="str">
        <f>IFERROR(__xludf.DUMMYFUNCTION("""COMPUTED_VALUE"""),"Sujith Narayanan")</f>
        <v>Sujith Narayanan</v>
      </c>
      <c r="C2070" s="17" t="str">
        <f>IFERROR(__xludf.DUMMYFUNCTION("""COMPUTED_VALUE"""),"Co-Founder")</f>
        <v>Co-Founder</v>
      </c>
      <c r="D2070" s="27" t="str">
        <f>IFERROR(__xludf.DUMMYFUNCTION("""COMPUTED_VALUE"""),"https://www.linkedin.com/in/sujithnarayanan/?originalSubdomain=in")</f>
        <v>https://www.linkedin.com/in/sujithnarayanan/?originalSubdomain=in</v>
      </c>
      <c r="E2070" s="17" t="str">
        <f>IFERROR(__xludf.DUMMYFUNCTION("""COMPUTED_VALUE"""),"sujith@epifi.com")</f>
        <v>sujith@epifi.com</v>
      </c>
      <c r="F2070" s="17"/>
      <c r="G2070" s="17"/>
      <c r="H2070" s="17"/>
    </row>
    <row r="2071">
      <c r="A2071" s="17" t="str">
        <f>IFERROR(__xludf.DUMMYFUNCTION("""COMPUTED_VALUE"""),"Clear (formerly ClearTax)")</f>
        <v>Clear (formerly ClearTax)</v>
      </c>
      <c r="B2071" s="17" t="str">
        <f>IFERROR(__xludf.DUMMYFUNCTION("""COMPUTED_VALUE"""),"Sumit Kawariya")</f>
        <v>Sumit Kawariya</v>
      </c>
      <c r="C2071" s="17" t="str">
        <f>IFERROR(__xludf.DUMMYFUNCTION("""COMPUTED_VALUE"""),"Head of Business and Finance")</f>
        <v>Head of Business and Finance</v>
      </c>
      <c r="D2071" s="27" t="str">
        <f>IFERROR(__xludf.DUMMYFUNCTION("""COMPUTED_VALUE"""),"https://www.linkedin.com/in/sumit-kawariya/?originalSubdomain=in")</f>
        <v>https://www.linkedin.com/in/sumit-kawariya/?originalSubdomain=in</v>
      </c>
      <c r="E2071" s="17" t="str">
        <f>IFERROR(__xludf.DUMMYFUNCTION("""COMPUTED_VALUE"""),"sumit.kawariya@clear.in")</f>
        <v>sumit.kawariya@clear.in</v>
      </c>
      <c r="F2071" s="17"/>
      <c r="G2071" s="17"/>
      <c r="H2071" s="17"/>
    </row>
    <row r="2072">
      <c r="A2072" s="17" t="str">
        <f>IFERROR(__xludf.DUMMYFUNCTION("""COMPUTED_VALUE"""),"JSW Steel")</f>
        <v>JSW Steel</v>
      </c>
      <c r="B2072" s="17" t="str">
        <f>IFERROR(__xludf.DUMMYFUNCTION("""COMPUTED_VALUE"""),"Swayam Saurabh")</f>
        <v>Swayam Saurabh</v>
      </c>
      <c r="C2072" s="17" t="str">
        <f>IFERROR(__xludf.DUMMYFUNCTION("""COMPUTED_VALUE"""),"CFO")</f>
        <v>CFO</v>
      </c>
      <c r="D2072" s="27" t="str">
        <f>IFERROR(__xludf.DUMMYFUNCTION("""COMPUTED_VALUE"""),"http://linkedin.com/in/swayam/?originalSubdomain=in")</f>
        <v>http://linkedin.com/in/swayam/?originalSubdomain=in</v>
      </c>
      <c r="E2072" s="17" t="str">
        <f>IFERROR(__xludf.DUMMYFUNCTION("""COMPUTED_VALUE"""),"swayam.saurabh@jsw.in")</f>
        <v>swayam.saurabh@jsw.in</v>
      </c>
      <c r="F2072" s="17" t="str">
        <f>IFERROR(__xludf.DUMMYFUNCTION("""COMPUTED_VALUE"""),"919358829229")</f>
        <v>919358829229</v>
      </c>
      <c r="G2072" s="17" t="str">
        <f>IFERROR(__xludf.DUMMYFUNCTION("""COMPUTED_VALUE"""),"swayamsaurabh@gmail.com")</f>
        <v>swayamsaurabh@gmail.com</v>
      </c>
      <c r="H2072" s="17"/>
    </row>
    <row r="2073">
      <c r="A2073" s="17" t="str">
        <f>IFERROR(__xludf.DUMMYFUNCTION("""COMPUTED_VALUE"""),"Hero MotoCorp")</f>
        <v>Hero MotoCorp</v>
      </c>
      <c r="B2073" s="17" t="str">
        <f>IFERROR(__xludf.DUMMYFUNCTION("""COMPUTED_VALUE"""),"Vivek Anand")</f>
        <v>Vivek Anand</v>
      </c>
      <c r="C2073" s="17" t="str">
        <f>IFERROR(__xludf.DUMMYFUNCTION("""COMPUTED_VALUE"""),"CFO")</f>
        <v>CFO</v>
      </c>
      <c r="D2073" s="27" t="str">
        <f>IFERROR(__xludf.DUMMYFUNCTION("""COMPUTED_VALUE"""),"https://www.linkedin.com/in/vivek-anand-314a7833/?originalSubdomain=in")</f>
        <v>https://www.linkedin.com/in/vivek-anand-314a7833/?originalSubdomain=in</v>
      </c>
      <c r="E2073" s="17" t="str">
        <f>IFERROR(__xludf.DUMMYFUNCTION("""COMPUTED_VALUE"""),"vivek1693anand@gmail.com")</f>
        <v>vivek1693anand@gmail.com</v>
      </c>
      <c r="F2073" s="17"/>
      <c r="G2073" s="17"/>
      <c r="H2073" s="17"/>
    </row>
    <row r="2074">
      <c r="A2074" s="17" t="str">
        <f>IFERROR(__xludf.DUMMYFUNCTION("""COMPUTED_VALUE"""),"PepsiCo India")</f>
        <v>PepsiCo India</v>
      </c>
      <c r="B2074" s="17" t="str">
        <f>IFERROR(__xludf.DUMMYFUNCTION("""COMPUTED_VALUE"""),"Kaushik Mitra")</f>
        <v>Kaushik Mitra</v>
      </c>
      <c r="C2074" s="17" t="str">
        <f>IFERROR(__xludf.DUMMYFUNCTION("""COMPUTED_VALUE"""),"CFO")</f>
        <v>CFO</v>
      </c>
      <c r="D2074" s="27" t="str">
        <f>IFERROR(__xludf.DUMMYFUNCTION("""COMPUTED_VALUE"""),"https://www.linkedin.com/in/kmitra/?originalSubdomain=in")</f>
        <v>https://www.linkedin.com/in/kmitra/?originalSubdomain=in</v>
      </c>
      <c r="E2074" s="17" t="str">
        <f>IFERROR(__xludf.DUMMYFUNCTION("""COMPUTED_VALUE"""),"kaushik.mitra@pepsico.com")</f>
        <v>kaushik.mitra@pepsico.com</v>
      </c>
      <c r="F2074" s="17"/>
      <c r="G2074" s="17"/>
      <c r="H2074" s="17"/>
    </row>
    <row r="2075">
      <c r="A2075" s="17" t="str">
        <f>IFERROR(__xludf.DUMMYFUNCTION("""COMPUTED_VALUE"""),"Amazon India")</f>
        <v>Amazon India</v>
      </c>
      <c r="B2075" s="17" t="str">
        <f>IFERROR(__xludf.DUMMYFUNCTION("""COMPUTED_VALUE"""),"Kapil Hathi")</f>
        <v>Kapil Hathi</v>
      </c>
      <c r="C2075" s="17" t="str">
        <f>IFERROR(__xludf.DUMMYFUNCTION("""COMPUTED_VALUE"""),"CFO")</f>
        <v>CFO</v>
      </c>
      <c r="D2075" s="27" t="str">
        <f>IFERROR(__xludf.DUMMYFUNCTION("""COMPUTED_VALUE"""),"https://www.linkedin.com/in/kapil-hathi-3747006/?originalSubdomain=in")</f>
        <v>https://www.linkedin.com/in/kapil-hathi-3747006/?originalSubdomain=in</v>
      </c>
      <c r="E2075" s="17" t="str">
        <f>IFERROR(__xludf.DUMMYFUNCTION("""COMPUTED_VALUE"""),"hathik@amazon.com")</f>
        <v>hathik@amazon.com</v>
      </c>
      <c r="F2075" s="17"/>
      <c r="G2075" s="17"/>
      <c r="H2075" s="17"/>
    </row>
    <row r="2076">
      <c r="A2076" s="17" t="str">
        <f>IFERROR(__xludf.DUMMYFUNCTION("""COMPUTED_VALUE"""),"Britannia Industries")</f>
        <v>Britannia Industries</v>
      </c>
      <c r="B2076" s="17" t="str">
        <f>IFERROR(__xludf.DUMMYFUNCTION("""COMPUTED_VALUE"""),"Venkataraman")</f>
        <v>Venkataraman</v>
      </c>
      <c r="C2076" s="17" t="str">
        <f>IFERROR(__xludf.DUMMYFUNCTION("""COMPUTED_VALUE"""),"CFO")</f>
        <v>CFO</v>
      </c>
      <c r="D2076" s="27" t="str">
        <f>IFERROR(__xludf.DUMMYFUNCTION("""COMPUTED_VALUE"""),"https://www.linkedin.com/in/venkataraman-n-53ba985/?originalSubdomain=in")</f>
        <v>https://www.linkedin.com/in/venkataraman-n-53ba985/?originalSubdomain=in</v>
      </c>
      <c r="E2076" s="17" t="str">
        <f>IFERROR(__xludf.DUMMYFUNCTION("""COMPUTED_VALUE"""),"natarajanvenkataraman@yahoo.com")</f>
        <v>natarajanvenkataraman@yahoo.com</v>
      </c>
      <c r="F2076" s="17"/>
      <c r="G2076" s="17"/>
      <c r="H2076" s="17"/>
    </row>
    <row r="2077">
      <c r="A2077" s="17" t="str">
        <f>IFERROR(__xludf.DUMMYFUNCTION("""COMPUTED_VALUE"""),"Marico")</f>
        <v>Marico</v>
      </c>
      <c r="B2077" s="17" t="str">
        <f>IFERROR(__xludf.DUMMYFUNCTION("""COMPUTED_VALUE"""),"Pawan Garg")</f>
        <v>Pawan Garg</v>
      </c>
      <c r="C2077" s="17" t="str">
        <f>IFERROR(__xludf.DUMMYFUNCTION("""COMPUTED_VALUE"""),"Group CFO")</f>
        <v>Group CFO</v>
      </c>
      <c r="D2077" s="27" t="str">
        <f>IFERROR(__xludf.DUMMYFUNCTION("""COMPUTED_VALUE"""),"https://www.linkedin.com/in/pawan-agrawal-7855a46/?originalSubdomain=in")</f>
        <v>https://www.linkedin.com/in/pawan-agrawal-7855a46/?originalSubdomain=in</v>
      </c>
      <c r="E2077" s="17" t="str">
        <f>IFERROR(__xludf.DUMMYFUNCTION("""COMPUTED_VALUE"""),"pawangarg@rediffmail.com")</f>
        <v>pawangarg@rediffmail.com</v>
      </c>
      <c r="F2077" s="17"/>
      <c r="G2077" s="17"/>
      <c r="H2077" s="17"/>
    </row>
    <row r="2078">
      <c r="A2078" s="17" t="str">
        <f>IFERROR(__xludf.DUMMYFUNCTION("""COMPUTED_VALUE"""),"Colgate Palmolitive")</f>
        <v>Colgate Palmolitive</v>
      </c>
      <c r="B2078" s="17" t="str">
        <f>IFERROR(__xludf.DUMMYFUNCTION("""COMPUTED_VALUE"""),"Jacob ")</f>
        <v>Jacob </v>
      </c>
      <c r="C2078" s="17" t="str">
        <f>IFERROR(__xludf.DUMMYFUNCTION("""COMPUTED_VALUE"""),"CFO")</f>
        <v>CFO</v>
      </c>
      <c r="D2078" s="27" t="str">
        <f>IFERROR(__xludf.DUMMYFUNCTION("""COMPUTED_VALUE"""),"http://linkedin.com/in/jacob-m-s-7b453184/?originalSubdomain=in")</f>
        <v>http://linkedin.com/in/jacob-m-s-7b453184/?originalSubdomain=in</v>
      </c>
      <c r="E2078" s="17" t="str">
        <f>IFERROR(__xludf.DUMMYFUNCTION("""COMPUTED_VALUE"""),"jacobmkzy@gmail.com")</f>
        <v>jacobmkzy@gmail.com</v>
      </c>
      <c r="F2078" s="17"/>
      <c r="G2078" s="17"/>
      <c r="H2078" s="17"/>
    </row>
    <row r="2079">
      <c r="A2079" s="17" t="str">
        <f>IFERROR(__xludf.DUMMYFUNCTION("""COMPUTED_VALUE"""),"KPIT")</f>
        <v>KPIT</v>
      </c>
      <c r="B2079" s="17" t="str">
        <f>IFERROR(__xludf.DUMMYFUNCTION("""COMPUTED_VALUE"""),"Priya Hardikar")</f>
        <v>Priya Hardikar</v>
      </c>
      <c r="C2079" s="17" t="str">
        <f>IFERROR(__xludf.DUMMYFUNCTION("""COMPUTED_VALUE"""),"CFO")</f>
        <v>CFO</v>
      </c>
      <c r="D2079" s="27" t="str">
        <f>IFERROR(__xludf.DUMMYFUNCTION("""COMPUTED_VALUE"""),"https://www.linkedin.com/in/priya-hardikar-1626ab7/?originalSubdomain=in")</f>
        <v>https://www.linkedin.com/in/priya-hardikar-1626ab7/?originalSubdomain=in</v>
      </c>
      <c r="E2079" s="17" t="str">
        <f>IFERROR(__xludf.DUMMYFUNCTION("""COMPUTED_VALUE"""),"priya.hardikar@yahoo.co.in")</f>
        <v>priya.hardikar@yahoo.co.in</v>
      </c>
      <c r="F2079" s="17"/>
      <c r="G2079" s="17"/>
      <c r="H2079" s="17"/>
    </row>
    <row r="2080">
      <c r="A2080" s="17" t="str">
        <f>IFERROR(__xludf.DUMMYFUNCTION("""COMPUTED_VALUE"""),"Aditya Birla Capital")</f>
        <v>Aditya Birla Capital</v>
      </c>
      <c r="B2080" s="17" t="str">
        <f>IFERROR(__xludf.DUMMYFUNCTION("""COMPUTED_VALUE"""),"Pinky Mehta")</f>
        <v>Pinky Mehta</v>
      </c>
      <c r="C2080" s="17" t="str">
        <f>IFERROR(__xludf.DUMMYFUNCTION("""COMPUTED_VALUE"""),"CFO")</f>
        <v>CFO</v>
      </c>
      <c r="D2080" s="27" t="str">
        <f>IFERROR(__xludf.DUMMYFUNCTION("""COMPUTED_VALUE"""),"https://www.linkedin.com/in/pinky-mehta/?originalSubdomain=in")</f>
        <v>https://www.linkedin.com/in/pinky-mehta/?originalSubdomain=in</v>
      </c>
      <c r="E2080" s="17" t="str">
        <f>IFERROR(__xludf.DUMMYFUNCTION("""COMPUTED_VALUE"""),"pinky.mehta@adityabirlacapital.com")</f>
        <v>pinky.mehta@adityabirlacapital.com</v>
      </c>
      <c r="F2080" s="17"/>
      <c r="G2080" s="17"/>
      <c r="H2080" s="17"/>
    </row>
    <row r="2081">
      <c r="A2081" s="17" t="str">
        <f>IFERROR(__xludf.DUMMYFUNCTION("""COMPUTED_VALUE"""),"Power Finance Corporation")</f>
        <v>Power Finance Corporation</v>
      </c>
      <c r="B2081" s="17" t="str">
        <f>IFERROR(__xludf.DUMMYFUNCTION("""COMPUTED_VALUE"""),"Sandeep Kumar")</f>
        <v>Sandeep Kumar</v>
      </c>
      <c r="C2081" s="17" t="str">
        <f>IFERROR(__xludf.DUMMYFUNCTION("""COMPUTED_VALUE"""),"CFO")</f>
        <v>CFO</v>
      </c>
      <c r="D2081" s="27" t="str">
        <f>IFERROR(__xludf.DUMMYFUNCTION("""COMPUTED_VALUE"""),"https://www.linkedin.com/in/sandeep-kumar-96b3201a/?originalSubdomain=in")</f>
        <v>https://www.linkedin.com/in/sandeep-kumar-96b3201a/?originalSubdomain=in</v>
      </c>
      <c r="E2081" s="17" t="str">
        <f>IFERROR(__xludf.DUMMYFUNCTION("""COMPUTED_VALUE"""),"sandeepkgarg@hotmail.com")</f>
        <v>sandeepkgarg@hotmail.com</v>
      </c>
      <c r="F2081" s="17"/>
      <c r="G2081" s="17"/>
      <c r="H2081" s="17"/>
    </row>
    <row r="2082">
      <c r="A2082" s="17" t="str">
        <f>IFERROR(__xludf.DUMMYFUNCTION("""COMPUTED_VALUE"""),"Tenneco")</f>
        <v>Tenneco</v>
      </c>
      <c r="B2082" s="17" t="str">
        <f>IFERROR(__xludf.DUMMYFUNCTION("""COMPUTED_VALUE"""),"Mahender Chabbra")</f>
        <v>Mahender Chabbra</v>
      </c>
      <c r="C2082" s="17" t="str">
        <f>IFERROR(__xludf.DUMMYFUNCTION("""COMPUTED_VALUE"""),"CFO")</f>
        <v>CFO</v>
      </c>
      <c r="D2082" s="27" t="str">
        <f>IFERROR(__xludf.DUMMYFUNCTION("""COMPUTED_VALUE"""),"https://www.linkedin.com/in/mahender-chhabra-a45b055/?originalSubdomain=in")</f>
        <v>https://www.linkedin.com/in/mahender-chhabra-a45b055/?originalSubdomain=in</v>
      </c>
      <c r="E2082" s="17" t="str">
        <f>IFERROR(__xludf.DUMMYFUNCTION("""COMPUTED_VALUE"""),"mahender.chhabra@tenneco.com")</f>
        <v>mahender.chhabra@tenneco.com</v>
      </c>
      <c r="F2082" s="17"/>
      <c r="G2082" s="17" t="str">
        <f>IFERROR(__xludf.DUMMYFUNCTION("""COMPUTED_VALUE"""),"mahenderchhabra99@gmail.com")</f>
        <v>mahenderchhabra99@gmail.com</v>
      </c>
      <c r="H2082" s="17"/>
    </row>
    <row r="2083">
      <c r="A2083" s="17" t="str">
        <f>IFERROR(__xludf.DUMMYFUNCTION("""COMPUTED_VALUE"""),"Havells India")</f>
        <v>Havells India</v>
      </c>
      <c r="B2083" s="17" t="str">
        <f>IFERROR(__xludf.DUMMYFUNCTION("""COMPUTED_VALUE"""),"Rajesh Gupta")</f>
        <v>Rajesh Gupta</v>
      </c>
      <c r="C2083" s="17" t="str">
        <f>IFERROR(__xludf.DUMMYFUNCTION("""COMPUTED_VALUE"""),"CFO")</f>
        <v>CFO</v>
      </c>
      <c r="D2083" s="27" t="str">
        <f>IFERROR(__xludf.DUMMYFUNCTION("""COMPUTED_VALUE"""),"https://www.linkedin.com/in/rajesh-gupta-49027925/?originalSubdomain=in")</f>
        <v>https://www.linkedin.com/in/rajesh-gupta-49027925/?originalSubdomain=in</v>
      </c>
      <c r="E2083" s="17" t="str">
        <f>IFERROR(__xludf.DUMMYFUNCTION("""COMPUTED_VALUE"""),"rajesh.gupta@havells.com")</f>
        <v>rajesh.gupta@havells.com</v>
      </c>
      <c r="F2083" s="17"/>
      <c r="G2083" s="17"/>
      <c r="H2083" s="17"/>
    </row>
    <row r="2084">
      <c r="A2084" s="17" t="str">
        <f>IFERROR(__xludf.DUMMYFUNCTION("""COMPUTED_VALUE"""),"Tech Mahindra")</f>
        <v>Tech Mahindra</v>
      </c>
      <c r="B2084" s="17" t="str">
        <f>IFERROR(__xludf.DUMMYFUNCTION("""COMPUTED_VALUE"""),"Milind Kulkarni")</f>
        <v>Milind Kulkarni</v>
      </c>
      <c r="C2084" s="17" t="str">
        <f>IFERROR(__xludf.DUMMYFUNCTION("""COMPUTED_VALUE"""),"Ex-CFO")</f>
        <v>Ex-CFO</v>
      </c>
      <c r="D2084" s="27" t="str">
        <f>IFERROR(__xludf.DUMMYFUNCTION("""COMPUTED_VALUE"""),"https://www.linkedin.com/in/milind-kulkarni-1ba13426/?originalSubdomain=in")</f>
        <v>https://www.linkedin.com/in/milind-kulkarni-1ba13426/?originalSubdomain=in</v>
      </c>
      <c r="E2084" s="17"/>
      <c r="F2084" s="17"/>
      <c r="G2084" s="17"/>
      <c r="H2084" s="17"/>
    </row>
    <row r="2085">
      <c r="A2085" s="17" t="str">
        <f>IFERROR(__xludf.DUMMYFUNCTION("""COMPUTED_VALUE"""),"Muthoot Group")</f>
        <v>Muthoot Group</v>
      </c>
      <c r="B2085" s="17" t="str">
        <f>IFERROR(__xludf.DUMMYFUNCTION("""COMPUTED_VALUE"""),"Alexander George Muthoot")</f>
        <v>Alexander George Muthoot</v>
      </c>
      <c r="C2085" s="17" t="str">
        <f>IFERROR(__xludf.DUMMYFUNCTION("""COMPUTED_VALUE"""),"Joint MD")</f>
        <v>Joint MD</v>
      </c>
      <c r="D2085" s="27" t="str">
        <f>IFERROR(__xludf.DUMMYFUNCTION("""COMPUTED_VALUE"""),"https://www.linkedin.com/in/alexander-george-muthoot-91a0451b0/?originalSubdomain=in")</f>
        <v>https://www.linkedin.com/in/alexander-george-muthoot-91a0451b0/?originalSubdomain=in</v>
      </c>
      <c r="E2085" s="17" t="str">
        <f>IFERROR(__xludf.DUMMYFUNCTION("""COMPUTED_VALUE"""),"alexander@muthootgroup.com")</f>
        <v>alexander@muthootgroup.com</v>
      </c>
      <c r="F2085" s="17"/>
      <c r="G2085" s="17"/>
      <c r="H2085" s="17"/>
    </row>
    <row r="2086">
      <c r="A2086" s="17" t="str">
        <f>IFERROR(__xludf.DUMMYFUNCTION("""COMPUTED_VALUE"""),"Jio Financial Services")</f>
        <v>Jio Financial Services</v>
      </c>
      <c r="B2086" s="17" t="str">
        <f>IFERROR(__xludf.DUMMYFUNCTION("""COMPUTED_VALUE"""),"HItesh Sethia")</f>
        <v>HItesh Sethia</v>
      </c>
      <c r="C2086" s="17" t="str">
        <f>IFERROR(__xludf.DUMMYFUNCTION("""COMPUTED_VALUE"""),"CEO and MD")</f>
        <v>CEO and MD</v>
      </c>
      <c r="D2086" s="27" t="str">
        <f>IFERROR(__xludf.DUMMYFUNCTION("""COMPUTED_VALUE"""),"http://linkedin.com/in/hitesh03/?originalSubdomain=in")</f>
        <v>http://linkedin.com/in/hitesh03/?originalSubdomain=in</v>
      </c>
      <c r="E2086" s="17" t="str">
        <f>IFERROR(__xludf.DUMMYFUNCTION("""COMPUTED_VALUE"""),"sethiahitesh@gmail.com")</f>
        <v>sethiahitesh@gmail.com</v>
      </c>
      <c r="F2086" s="17"/>
      <c r="G2086" s="17"/>
      <c r="H2086" s="17"/>
    </row>
    <row r="2087">
      <c r="A2087" s="17" t="str">
        <f>IFERROR(__xludf.DUMMYFUNCTION("""COMPUTED_VALUE"""),"Kaushik Ghosh")</f>
        <v>Kaushik Ghosh</v>
      </c>
      <c r="B2087" s="17" t="str">
        <f>IFERROR(__xludf.DUMMYFUNCTION("""COMPUTED_VALUE"""),"Berger Paints")</f>
        <v>Berger Paints</v>
      </c>
      <c r="C2087" s="17" t="str">
        <f>IFERROR(__xludf.DUMMYFUNCTION("""COMPUTED_VALUE"""),"CFO")</f>
        <v>CFO</v>
      </c>
      <c r="D2087" s="27" t="str">
        <f>IFERROR(__xludf.DUMMYFUNCTION("""COMPUTED_VALUE"""),"https://www.linkedin.com/in/kaushikghosh1972/?originalSubdomain=in")</f>
        <v>https://www.linkedin.com/in/kaushikghosh1972/?originalSubdomain=in</v>
      </c>
      <c r="E2087" s="17" t="str">
        <f>IFERROR(__xludf.DUMMYFUNCTION("""COMPUTED_VALUE"""),"kghosh1972@gmail.com")</f>
        <v>kghosh1972@gmail.com</v>
      </c>
      <c r="F2087" s="17"/>
      <c r="G2087" s="17"/>
      <c r="H2087" s="17"/>
    </row>
    <row r="2088">
      <c r="A2088" s="17" t="str">
        <f>IFERROR(__xludf.DUMMYFUNCTION("""COMPUTED_VALUE"""),"UTI Asset Management")</f>
        <v>UTI Asset Management</v>
      </c>
      <c r="B2088" s="17" t="str">
        <f>IFERROR(__xludf.DUMMYFUNCTION("""COMPUTED_VALUE"""),"Vinay Lakhotia")</f>
        <v>Vinay Lakhotia</v>
      </c>
      <c r="C2088" s="17" t="str">
        <f>IFERROR(__xludf.DUMMYFUNCTION("""COMPUTED_VALUE"""),"CFO")</f>
        <v>CFO</v>
      </c>
      <c r="D2088" s="27" t="str">
        <f>IFERROR(__xludf.DUMMYFUNCTION("""COMPUTED_VALUE"""),"https://www.linkedin.com/in/vinay-lakhotia/?originalSubdomain=in")</f>
        <v>https://www.linkedin.com/in/vinay-lakhotia/?originalSubdomain=in</v>
      </c>
      <c r="E2088" s="17" t="str">
        <f>IFERROR(__xludf.DUMMYFUNCTION("""COMPUTED_VALUE"""),"vinay.lakhotia@uti.co.in")</f>
        <v>vinay.lakhotia@uti.co.in</v>
      </c>
      <c r="F2088" s="17"/>
      <c r="G2088" s="17"/>
      <c r="H2088" s="17"/>
    </row>
    <row r="2089">
      <c r="A2089" s="17" t="str">
        <f>IFERROR(__xludf.DUMMYFUNCTION("""COMPUTED_VALUE"""),"United Breweries")</f>
        <v>United Breweries</v>
      </c>
      <c r="B2089" s="17" t="str">
        <f>IFERROR(__xludf.DUMMYFUNCTION("""COMPUTED_VALUE"""),"Jorn Kernsten")</f>
        <v>Jorn Kernsten</v>
      </c>
      <c r="C2089" s="17" t="str">
        <f>IFERROR(__xludf.DUMMYFUNCTION("""COMPUTED_VALUE"""),"CFO")</f>
        <v>CFO</v>
      </c>
      <c r="D2089" s="27" t="str">
        <f>IFERROR(__xludf.DUMMYFUNCTION("""COMPUTED_VALUE"""),"https://www.linkedin.com/in/jorn-kersten-a69739b/?originalSubdomain=in")</f>
        <v>https://www.linkedin.com/in/jorn-kersten-a69739b/?originalSubdomain=in</v>
      </c>
      <c r="E2089" s="17" t="str">
        <f>IFERROR(__xludf.DUMMYFUNCTION("""COMPUTED_VALUE"""),"jorn.kersten@ubmail.com")</f>
        <v>jorn.kersten@ubmail.com</v>
      </c>
      <c r="F2089" s="17"/>
      <c r="G2089" s="17"/>
      <c r="H2089" s="17"/>
    </row>
    <row r="2090">
      <c r="A2090" s="17" t="str">
        <f>IFERROR(__xludf.DUMMYFUNCTION("""COMPUTED_VALUE"""),"Mahindra Lifespace Developers")</f>
        <v>Mahindra Lifespace Developers</v>
      </c>
      <c r="B2090" s="17" t="str">
        <f>IFERROR(__xludf.DUMMYFUNCTION("""COMPUTED_VALUE"""),"Vimalendra Singh")</f>
        <v>Vimalendra Singh</v>
      </c>
      <c r="C2090" s="17" t="str">
        <f>IFERROR(__xludf.DUMMYFUNCTION("""COMPUTED_VALUE"""),"CFO")</f>
        <v>CFO</v>
      </c>
      <c r="D2090" s="27" t="str">
        <f>IFERROR(__xludf.DUMMYFUNCTION("""COMPUTED_VALUE"""),"https://www.linkedin.com/in/vimalendrasingh/?originalSubdomain=in")</f>
        <v>https://www.linkedin.com/in/vimalendrasingh/?originalSubdomain=in</v>
      </c>
      <c r="E2090" s="17" t="str">
        <f>IFERROR(__xludf.DUMMYFUNCTION("""COMPUTED_VALUE"""),"vimalendrasingh@yahoo.com")</f>
        <v>vimalendrasingh@yahoo.com</v>
      </c>
      <c r="F2090" s="17"/>
      <c r="G2090" s="17"/>
      <c r="H2090" s="17"/>
    </row>
    <row r="2091">
      <c r="A2091" s="17" t="str">
        <f>IFERROR(__xludf.DUMMYFUNCTION("""COMPUTED_VALUE"""),"Royal Enfield (Eicher Motors)")</f>
        <v>Royal Enfield (Eicher Motors)</v>
      </c>
      <c r="B2091" s="17" t="str">
        <f>IFERROR(__xludf.DUMMYFUNCTION("""COMPUTED_VALUE"""),"Vidhya Srinivasan")</f>
        <v>Vidhya Srinivasan</v>
      </c>
      <c r="C2091" s="17" t="str">
        <f>IFERROR(__xludf.DUMMYFUNCTION("""COMPUTED_VALUE"""),"CFO")</f>
        <v>CFO</v>
      </c>
      <c r="D2091" s="27" t="str">
        <f>IFERROR(__xludf.DUMMYFUNCTION("""COMPUTED_VALUE"""),"https://www.linkedin.com/in/vidhyasrinivasan1/?originalSubdomain=in")</f>
        <v>https://www.linkedin.com/in/vidhyasrinivasan1/?originalSubdomain=in</v>
      </c>
      <c r="E2091" s="17" t="str">
        <f>IFERROR(__xludf.DUMMYFUNCTION("""COMPUTED_VALUE"""),"vidhya2504@gmail.com")</f>
        <v>vidhya2504@gmail.com</v>
      </c>
      <c r="F2091" s="17"/>
      <c r="G2091" s="17"/>
      <c r="H2091" s="17"/>
    </row>
    <row r="2092">
      <c r="A2092" s="17" t="str">
        <f>IFERROR(__xludf.DUMMYFUNCTION("""COMPUTED_VALUE"""),"Cyient")</f>
        <v>Cyient</v>
      </c>
      <c r="B2092" s="17" t="str">
        <f>IFERROR(__xludf.DUMMYFUNCTION("""COMPUTED_VALUE"""),"Ajay Aggarwal")</f>
        <v>Ajay Aggarwal</v>
      </c>
      <c r="C2092" s="17" t="str">
        <f>IFERROR(__xludf.DUMMYFUNCTION("""COMPUTED_VALUE"""),"CFO")</f>
        <v>CFO</v>
      </c>
      <c r="D2092" s="27" t="str">
        <f>IFERROR(__xludf.DUMMYFUNCTION("""COMPUTED_VALUE"""),"https://www.linkedin.com/in/ajayaggarwalcyient/?original_referer=https%3A%2F%2Fwww%2Egoogle%2Ecom%2F&amp;originalSubdomain=in")</f>
        <v>https://www.linkedin.com/in/ajayaggarwalcyient/?original_referer=https%3A%2F%2Fwww%2Egoogle%2Ecom%2F&amp;originalSubdomain=in</v>
      </c>
      <c r="E2092" s="17" t="str">
        <f>IFERROR(__xludf.DUMMYFUNCTION("""COMPUTED_VALUE"""),"ajay.aggarwal@cyient.com")</f>
        <v>ajay.aggarwal@cyient.com</v>
      </c>
      <c r="F2092" s="17"/>
      <c r="G2092" s="17"/>
      <c r="H2092" s="17"/>
    </row>
    <row r="2093">
      <c r="A2093" s="17" t="str">
        <f>IFERROR(__xludf.DUMMYFUNCTION("""COMPUTED_VALUE"""),"Persistent Systems")</f>
        <v>Persistent Systems</v>
      </c>
      <c r="B2093" s="17" t="str">
        <f>IFERROR(__xludf.DUMMYFUNCTION("""COMPUTED_VALUE"""),"Vinit Teredesai")</f>
        <v>Vinit Teredesai</v>
      </c>
      <c r="C2093" s="17" t="str">
        <f>IFERROR(__xludf.DUMMYFUNCTION("""COMPUTED_VALUE"""),"CFO")</f>
        <v>CFO</v>
      </c>
      <c r="D2093" s="27" t="str">
        <f>IFERROR(__xludf.DUMMYFUNCTION("""COMPUTED_VALUE"""),"https://www.linkedin.com/in/vinit-teredesai-0682b12/?originalSubdomain=in")</f>
        <v>https://www.linkedin.com/in/vinit-teredesai-0682b12/?originalSubdomain=in</v>
      </c>
      <c r="E2093" s="17" t="str">
        <f>IFERROR(__xludf.DUMMYFUNCTION("""COMPUTED_VALUE"""),"v_teredesai@hotmail.com")</f>
        <v>v_teredesai@hotmail.com</v>
      </c>
      <c r="F2093" s="17"/>
      <c r="G2093" s="17"/>
      <c r="H2093" s="17"/>
    </row>
    <row r="2094">
      <c r="A2094" s="17" t="str">
        <f>IFERROR(__xludf.DUMMYFUNCTION("""COMPUTED_VALUE"""),"LTIMindtree")</f>
        <v>LTIMindtree</v>
      </c>
      <c r="B2094" s="17" t="str">
        <f>IFERROR(__xludf.DUMMYFUNCTION("""COMPUTED_VALUE"""),"Vipul Chandra")</f>
        <v>Vipul Chandra</v>
      </c>
      <c r="C2094" s="17" t="str">
        <f>IFERROR(__xludf.DUMMYFUNCTION("""COMPUTED_VALUE"""),"CFO")</f>
        <v>CFO</v>
      </c>
      <c r="D2094" s="27" t="str">
        <f>IFERROR(__xludf.DUMMYFUNCTION("""COMPUTED_VALUE"""),"https://www.linkedin.com/in/vipul-chandra-0b7b904/?originalSubdomain=in")</f>
        <v>https://www.linkedin.com/in/vipul-chandra-0b7b904/?originalSubdomain=in</v>
      </c>
      <c r="E2094" s="17" t="str">
        <f>IFERROR(__xludf.DUMMYFUNCTION("""COMPUTED_VALUE"""),"vipul.chandra@ltimindtree.com")</f>
        <v>vipul.chandra@ltimindtree.com</v>
      </c>
      <c r="F2094" s="17"/>
      <c r="G2094" s="17"/>
      <c r="H2094" s="17"/>
    </row>
    <row r="2095">
      <c r="A2095" s="17" t="str">
        <f>IFERROR(__xludf.DUMMYFUNCTION("""COMPUTED_VALUE"""),"Varun Beverages")</f>
        <v>Varun Beverages</v>
      </c>
      <c r="B2095" s="17" t="str">
        <f>IFERROR(__xludf.DUMMYFUNCTION("""COMPUTED_VALUE"""),"Pankaj Madan")</f>
        <v>Pankaj Madan</v>
      </c>
      <c r="C2095" s="17" t="str">
        <f>IFERROR(__xludf.DUMMYFUNCTION("""COMPUTED_VALUE"""),"CFO")</f>
        <v>CFO</v>
      </c>
      <c r="D2095" s="27" t="str">
        <f>IFERROR(__xludf.DUMMYFUNCTION("""COMPUTED_VALUE"""),"https://www.linkedin.com/in/pankaj-madan-a5a9451a/?originalSubdomain=in")</f>
        <v>https://www.linkedin.com/in/pankaj-madan-a5a9451a/?originalSubdomain=in</v>
      </c>
      <c r="E2095" s="17" t="str">
        <f>IFERROR(__xludf.DUMMYFUNCTION("""COMPUTED_VALUE"""),"pankajmadan@hotmail.com")</f>
        <v>pankajmadan@hotmail.com</v>
      </c>
      <c r="F2095" s="17"/>
      <c r="G2095" s="17"/>
      <c r="H2095" s="17"/>
    </row>
    <row r="2096">
      <c r="A2096" s="17" t="str">
        <f>IFERROR(__xludf.DUMMYFUNCTION("""COMPUTED_VALUE"""),"UltraTech Cement Ltd")</f>
        <v>UltraTech Cement Ltd</v>
      </c>
      <c r="B2096" s="17" t="str">
        <f>IFERROR(__xludf.DUMMYFUNCTION("""COMPUTED_VALUE"""),"Atul Dag")</f>
        <v>Atul Dag</v>
      </c>
      <c r="C2096" s="17" t="str">
        <f>IFERROR(__xludf.DUMMYFUNCTION("""COMPUTED_VALUE"""),"Whole-time Director &amp; CFO")</f>
        <v>Whole-time Director &amp; CFO</v>
      </c>
      <c r="D2096" s="27" t="str">
        <f>IFERROR(__xludf.DUMMYFUNCTION("""COMPUTED_VALUE"""),"https://www.linkedin.com/in/atul-daga/?originalSubdomain=in")</f>
        <v>https://www.linkedin.com/in/atul-daga/?originalSubdomain=in</v>
      </c>
      <c r="E2096" s="17" t="str">
        <f>IFERROR(__xludf.DUMMYFUNCTION("""COMPUTED_VALUE"""),"atul.daga@adityabirla.com")</f>
        <v>atul.daga@adityabirla.com</v>
      </c>
      <c r="F2096" s="17"/>
      <c r="G2096" s="17"/>
      <c r="H2096" s="17"/>
    </row>
    <row r="2097">
      <c r="A2097" s="17" t="str">
        <f>IFERROR(__xludf.DUMMYFUNCTION("""COMPUTED_VALUE"""),"Vedanta Ltd")</f>
        <v>Vedanta Ltd</v>
      </c>
      <c r="B2097" s="17" t="str">
        <f>IFERROR(__xludf.DUMMYFUNCTION("""COMPUTED_VALUE"""),"Ajay Goe")</f>
        <v>Ajay Goe</v>
      </c>
      <c r="C2097" s="17" t="str">
        <f>IFERROR(__xludf.DUMMYFUNCTION("""COMPUTED_VALUE"""),"Chief Financial Officer")</f>
        <v>Chief Financial Officer</v>
      </c>
      <c r="D2097" s="27" t="str">
        <f>IFERROR(__xludf.DUMMYFUNCTION("""COMPUTED_VALUE"""),"https://www.linkedin.com/in/ajay-goel-767b2215/?originalSubdomain=in")</f>
        <v>https://www.linkedin.com/in/ajay-goel-767b2215/?originalSubdomain=in</v>
      </c>
      <c r="E2097" s="17" t="str">
        <f>IFERROR(__xludf.DUMMYFUNCTION("""COMPUTED_VALUE"""),"ajay.goel@vedanta.co.in")</f>
        <v>ajay.goel@vedanta.co.in</v>
      </c>
      <c r="F2097" s="17"/>
      <c r="G2097" s="17"/>
      <c r="H2097" s="17"/>
    </row>
    <row r="2098">
      <c r="A2098" s="17" t="str">
        <f>IFERROR(__xludf.DUMMYFUNCTION("""COMPUTED_VALUE"""),"VIP Industries Ltd.")</f>
        <v>VIP Industries Ltd.</v>
      </c>
      <c r="B2098" s="17" t="str">
        <f>IFERROR(__xludf.DUMMYFUNCTION("""COMPUTED_VALUE"""),"Manisha Desai")</f>
        <v>Manisha Desai</v>
      </c>
      <c r="C2098" s="17" t="str">
        <f>IFERROR(__xludf.DUMMYFUNCTION("""COMPUTED_VALUE"""),"Chief Financial Officer")</f>
        <v>Chief Financial Officer</v>
      </c>
      <c r="D2098" s="27" t="str">
        <f>IFERROR(__xludf.DUMMYFUNCTION("""COMPUTED_VALUE"""),"https://www.linkedin.com/in/manish-desai-2a554262/?originalSubdomain=in")</f>
        <v>https://www.linkedin.com/in/manish-desai-2a554262/?originalSubdomain=in</v>
      </c>
      <c r="E2098" s="17" t="str">
        <f>IFERROR(__xludf.DUMMYFUNCTION("""COMPUTED_VALUE"""),"manish.desai@vipbags.com")</f>
        <v>manish.desai@vipbags.com</v>
      </c>
      <c r="F2098" s="17"/>
      <c r="G2098" s="17"/>
      <c r="H2098" s="17"/>
    </row>
    <row r="2099">
      <c r="A2099" s="17" t="str">
        <f>IFERROR(__xludf.DUMMYFUNCTION("""COMPUTED_VALUE"""),"Wipro Ltd")</f>
        <v>Wipro Ltd</v>
      </c>
      <c r="B2099" s="17" t="str">
        <f>IFERROR(__xludf.DUMMYFUNCTION("""COMPUTED_VALUE"""),"Aparna Ier")</f>
        <v>Aparna Ier</v>
      </c>
      <c r="C2099" s="17" t="str">
        <f>IFERROR(__xludf.DUMMYFUNCTION("""COMPUTED_VALUE"""),"Chief Financial Officer")</f>
        <v>Chief Financial Officer</v>
      </c>
      <c r="D2099" s="27" t="str">
        <f>IFERROR(__xludf.DUMMYFUNCTION("""COMPUTED_VALUE"""),"https://www.linkedin.com/m/in/aparna-iyer-7a6a135?originalSubdomain=in")</f>
        <v>https://www.linkedin.com/m/in/aparna-iyer-7a6a135?originalSubdomain=in</v>
      </c>
      <c r="E2099" s="17" t="str">
        <f>IFERROR(__xludf.DUMMYFUNCTION("""COMPUTED_VALUE"""),"genieaps@gmail.com")</f>
        <v>genieaps@gmail.com</v>
      </c>
      <c r="F2099" s="17"/>
      <c r="G2099" s="17"/>
      <c r="H2099" s="17"/>
    </row>
    <row r="2100">
      <c r="A2100" s="17" t="str">
        <f>IFERROR(__xludf.DUMMYFUNCTION("""COMPUTED_VALUE"""),"Zee Entertainment Enterprises Ltd")</f>
        <v>Zee Entertainment Enterprises Ltd</v>
      </c>
      <c r="B2100" s="17" t="str">
        <f>IFERROR(__xludf.DUMMYFUNCTION("""COMPUTED_VALUE"""),"Mukud Galgali")</f>
        <v>Mukud Galgali</v>
      </c>
      <c r="C2100" s="17" t="str">
        <f>IFERROR(__xludf.DUMMYFUNCTION("""COMPUTED_VALUE"""),"CFO")</f>
        <v>CFO</v>
      </c>
      <c r="D2100" s="27" t="str">
        <f>IFERROR(__xludf.DUMMYFUNCTION("""COMPUTED_VALUE"""),"https://www.linkedin.com/in/mukundvgalgali/?originalSubdomain=in")</f>
        <v>https://www.linkedin.com/in/mukundvgalgali/?originalSubdomain=in</v>
      </c>
      <c r="E2100" s="17" t="str">
        <f>IFERROR(__xludf.DUMMYFUNCTION("""COMPUTED_VALUE"""),"mukund.galgali@zee.com")</f>
        <v>mukund.galgali@zee.com</v>
      </c>
      <c r="F2100" s="17"/>
      <c r="G2100" s="17"/>
      <c r="H2100" s="17"/>
    </row>
    <row r="2101">
      <c r="A2101" s="17" t="str">
        <f>IFERROR(__xludf.DUMMYFUNCTION("""COMPUTED_VALUE"""),"Hindustan Unilever Ltd (HUL)")</f>
        <v>Hindustan Unilever Ltd (HUL)</v>
      </c>
      <c r="B2101" s="17" t="str">
        <f>IFERROR(__xludf.DUMMYFUNCTION("""COMPUTED_VALUE"""),"Niranjana Gupta")</f>
        <v>Niranjana Gupta</v>
      </c>
      <c r="C2101" s="17" t="str">
        <f>IFERROR(__xludf.DUMMYFUNCTION("""COMPUTED_VALUE"""),"CFO")</f>
        <v>CFO</v>
      </c>
      <c r="D2101" s="27" t="str">
        <f>IFERROR(__xludf.DUMMYFUNCTION("""COMPUTED_VALUE"""),"https://www.linkedin.com/in/niranjan-gupta-8b981619/?original_referer=https%3A%2F%2Fwww%2Egoogle%2Ecom%2F&amp;originalSubdomain=in")</f>
        <v>https://www.linkedin.com/in/niranjan-gupta-8b981619/?original_referer=https%3A%2F%2Fwww%2Egoogle%2Ecom%2F&amp;originalSubdomain=in</v>
      </c>
      <c r="E2101" s="17" t="str">
        <f>IFERROR(__xludf.DUMMYFUNCTION("""COMPUTED_VALUE"""),"niranjan.gupta@unilever.com")</f>
        <v>niranjan.gupta@unilever.com</v>
      </c>
      <c r="F2101" s="17"/>
      <c r="G2101" s="17"/>
      <c r="H2101" s="17"/>
    </row>
    <row r="2102">
      <c r="A2102" s="17" t="str">
        <f>IFERROR(__xludf.DUMMYFUNCTION("""COMPUTED_VALUE"""),"Procter &amp; Gamble (P&amp;G) India")</f>
        <v>Procter &amp; Gamble (P&amp;G) India</v>
      </c>
      <c r="B2102" s="17" t="str">
        <f>IFERROR(__xludf.DUMMYFUNCTION("""COMPUTED_VALUE"""),"Gaurav Bharti")</f>
        <v>Gaurav Bharti</v>
      </c>
      <c r="C2102" s="17" t="str">
        <f>IFERROR(__xludf.DUMMYFUNCTION("""COMPUTED_VALUE"""),"Head of Sales and Finance")</f>
        <v>Head of Sales and Finance</v>
      </c>
      <c r="D2102" s="27" t="str">
        <f>IFERROR(__xludf.DUMMYFUNCTION("""COMPUTED_VALUE"""),"https://www.linkedin.com/in/gaurav-bhartia-247a428/?originalSubdomain=in")</f>
        <v>https://www.linkedin.com/in/gaurav-bhartia-247a428/?originalSubdomain=in</v>
      </c>
      <c r="E2102" s="17" t="str">
        <f>IFERROR(__xludf.DUMMYFUNCTION("""COMPUTED_VALUE"""),"gauravbhartia@gmail.com")</f>
        <v>gauravbhartia@gmail.com</v>
      </c>
      <c r="F2102" s="17"/>
      <c r="G2102" s="17"/>
      <c r="H2102" s="17"/>
    </row>
    <row r="2103">
      <c r="A2103" s="17" t="str">
        <f>IFERROR(__xludf.DUMMYFUNCTION("""COMPUTED_VALUE"""),"Jindal Power")</f>
        <v>Jindal Power</v>
      </c>
      <c r="B2103" s="17" t="str">
        <f>IFERROR(__xludf.DUMMYFUNCTION("""COMPUTED_VALUE"""),"Amit ")</f>
        <v>Amit </v>
      </c>
      <c r="C2103" s="17" t="str">
        <f>IFERROR(__xludf.DUMMYFUNCTION("""COMPUTED_VALUE"""),"CFO")</f>
        <v>CFO</v>
      </c>
      <c r="D2103" s="27" t="str">
        <f>IFERROR(__xludf.DUMMYFUNCTION("""COMPUTED_VALUE"""),"https://www.linkedin.com/in/amit-dang-7472628/?originalSubdomain=in")</f>
        <v>https://www.linkedin.com/in/amit-dang-7472628/?originalSubdomain=in</v>
      </c>
      <c r="E2103" s="17" t="str">
        <f>IFERROR(__xludf.DUMMYFUNCTION("""COMPUTED_VALUE"""),"amit.dang@jindalpower.com")</f>
        <v>amit.dang@jindalpower.com</v>
      </c>
      <c r="F2103" s="17"/>
      <c r="G2103" s="17"/>
      <c r="H2103" s="17"/>
    </row>
    <row r="2104">
      <c r="A2104" s="17" t="str">
        <f>IFERROR(__xludf.DUMMYFUNCTION("""COMPUTED_VALUE"""),"Navi Technologies")</f>
        <v>Navi Technologies</v>
      </c>
      <c r="B2104" s="17" t="str">
        <f>IFERROR(__xludf.DUMMYFUNCTION("""COMPUTED_VALUE"""),"Ankita Agarwal")</f>
        <v>Ankita Agarwal</v>
      </c>
      <c r="C2104" s="17" t="str">
        <f>IFERROR(__xludf.DUMMYFUNCTION("""COMPUTED_VALUE"""),"CFO")</f>
        <v>CFO</v>
      </c>
      <c r="D2104" s="27" t="str">
        <f>IFERROR(__xludf.DUMMYFUNCTION("""COMPUTED_VALUE"""),"https://www.linkedin.com/in/ankit-agarwal-a1904930/?originalSubdomain=in")</f>
        <v>https://www.linkedin.com/in/ankit-agarwal-a1904930/?originalSubdomain=in</v>
      </c>
      <c r="E2104" s="17" t="str">
        <f>IFERROR(__xludf.DUMMYFUNCTION("""COMPUTED_VALUE"""),"ankit.agarwal@navi.com")</f>
        <v>ankit.agarwal@navi.com</v>
      </c>
      <c r="F2104" s="17"/>
      <c r="G2104" s="17"/>
      <c r="H2104" s="17"/>
    </row>
    <row r="2105">
      <c r="A2105" s="17" t="str">
        <f>IFERROR(__xludf.DUMMYFUNCTION("""COMPUTED_VALUE"""),"Siemens India")</f>
        <v>Siemens India</v>
      </c>
      <c r="B2105" s="17" t="str">
        <f>IFERROR(__xludf.DUMMYFUNCTION("""COMPUTED_VALUE"""),"Ram Swaminathan")</f>
        <v>Ram Swaminathan</v>
      </c>
      <c r="C2105" s="17" t="str">
        <f>IFERROR(__xludf.DUMMYFUNCTION("""COMPUTED_VALUE"""),"Executive Director &amp; Global CFO")</f>
        <v>Executive Director &amp; Global CFO</v>
      </c>
      <c r="D2105" s="27" t="str">
        <f>IFERROR(__xludf.DUMMYFUNCTION("""COMPUTED_VALUE"""),"https://www.linkedin.com/in/ramesh-swaminathan-861a683/?originalSubdomain=in")</f>
        <v>https://www.linkedin.com/in/ramesh-swaminathan-861a683/?originalSubdomain=in</v>
      </c>
      <c r="E2105" s="17" t="str">
        <f>IFERROR(__xludf.DUMMYFUNCTION("""COMPUTED_VALUE"""),"rameshswaminathan@lupin.com")</f>
        <v>rameshswaminathan@lupin.com</v>
      </c>
      <c r="F2105" s="17"/>
      <c r="G2105" s="17"/>
      <c r="H2105" s="17"/>
    </row>
    <row r="2106">
      <c r="A2106" s="17" t="str">
        <f>IFERROR(__xludf.DUMMYFUNCTION("""COMPUTED_VALUE"""),"ABB India")</f>
        <v>ABB India</v>
      </c>
      <c r="B2106" s="17" t="str">
        <f>IFERROR(__xludf.DUMMYFUNCTION("""COMPUTED_VALUE"""),"Pradeep Agarwal")</f>
        <v>Pradeep Agarwal</v>
      </c>
      <c r="C2106" s="17" t="str">
        <f>IFERROR(__xludf.DUMMYFUNCTION("""COMPUTED_VALUE"""),"Chief Financial Officer")</f>
        <v>Chief Financial Officer</v>
      </c>
      <c r="D2106" s="27" t="str">
        <f>IFERROR(__xludf.DUMMYFUNCTION("""COMPUTED_VALUE"""),"https://www.linkedin.com/in/pradeep-agrawal-9514341a/?originalSubdomain=in")</f>
        <v>https://www.linkedin.com/in/pradeep-agrawal-9514341a/?originalSubdomain=in</v>
      </c>
      <c r="E2106" s="17" t="str">
        <f>IFERROR(__xludf.DUMMYFUNCTION("""COMPUTED_VALUE"""),"pradeep.agrawal@mahindrafinance.com")</f>
        <v>pradeep.agrawal@mahindrafinance.com</v>
      </c>
      <c r="F2106" s="17"/>
      <c r="G2106" s="17"/>
      <c r="H2106" s="17"/>
    </row>
    <row r="2107">
      <c r="A2107" s="17" t="str">
        <f>IFERROR(__xludf.DUMMYFUNCTION("""COMPUTED_VALUE"""),"Bosch Ltd")</f>
        <v>Bosch Ltd</v>
      </c>
      <c r="B2107" s="17" t="str">
        <f>IFERROR(__xludf.DUMMYFUNCTION("""COMPUTED_VALUE"""),"Amarjyoti Baruwa")</f>
        <v>Amarjyoti Baruwa</v>
      </c>
      <c r="C2107" s="17" t="str">
        <f>IFERROR(__xludf.DUMMYFUNCTION("""COMPUTED_VALUE"""),"Group Chief Financial Officer")</f>
        <v>Group Chief Financial Officer</v>
      </c>
      <c r="D2107" s="27" t="str">
        <f>IFERROR(__xludf.DUMMYFUNCTION("""COMPUTED_VALUE"""),"https://www.linkedin.com/in/amarjyoti-barua-9b22222/?originalSubdomain=in")</f>
        <v>https://www.linkedin.com/in/amarjyoti-barua-9b22222/?originalSubdomain=in</v>
      </c>
      <c r="E2107" s="17" t="str">
        <f>IFERROR(__xludf.DUMMYFUNCTION("""COMPUTED_VALUE"""),"barua.amarjyoti@mahindra.com")</f>
        <v>barua.amarjyoti@mahindra.com</v>
      </c>
      <c r="F2107" s="17"/>
      <c r="G2107" s="17"/>
      <c r="H2107" s="17"/>
    </row>
    <row r="2108">
      <c r="A2108" s="17" t="str">
        <f>IFERROR(__xludf.DUMMYFUNCTION("""COMPUTED_VALUE"""),"Cummins India")</f>
        <v>Cummins India</v>
      </c>
      <c r="B2108" s="17" t="str">
        <f>IFERROR(__xludf.DUMMYFUNCTION("""COMPUTED_VALUE"""),"Amie Hood")</f>
        <v>Amie Hood</v>
      </c>
      <c r="C2108" s="17" t="str">
        <f>IFERROR(__xludf.DUMMYFUNCTION("""COMPUTED_VALUE"""),"Executive VP &amp; Chief Financial Officer")</f>
        <v>Executive VP &amp; Chief Financial Officer</v>
      </c>
      <c r="D2108" s="27" t="str">
        <f>IFERROR(__xludf.DUMMYFUNCTION("""COMPUTED_VALUE"""),"https://www.linkedin.com/in/amyhood1/")</f>
        <v>https://www.linkedin.com/in/amyhood1/</v>
      </c>
      <c r="E2108" s="17" t="str">
        <f>IFERROR(__xludf.DUMMYFUNCTION("""COMPUTED_VALUE"""),"amyhood@microsoft.com")</f>
        <v>amyhood@microsoft.com</v>
      </c>
      <c r="F2108" s="17"/>
      <c r="G2108" s="17"/>
      <c r="H2108" s="17"/>
    </row>
    <row r="2109">
      <c r="A2109" s="17" t="str">
        <f>IFERROR(__xludf.DUMMYFUNCTION("""COMPUTED_VALUE"""),"Thermax")</f>
        <v>Thermax</v>
      </c>
      <c r="B2109" s="17" t="str">
        <f>IFERROR(__xludf.DUMMYFUNCTION("""COMPUTED_VALUE"""),"Madhu P. Nain")</f>
        <v>Madhu P. Nain</v>
      </c>
      <c r="C2109" s="17" t="str">
        <f>IFERROR(__xludf.DUMMYFUNCTION("""COMPUTED_VALUE"""),"Vice President - Finance")</f>
        <v>Vice President - Finance</v>
      </c>
      <c r="D2109" s="27" t="str">
        <f>IFERROR(__xludf.DUMMYFUNCTION("""COMPUTED_VALUE"""),"https://www.linkedin.com/in/madhu-nainan-46430923/?originalSubdomain=in")</f>
        <v>https://www.linkedin.com/in/madhu-nainan-46430923/?originalSubdomain=in</v>
      </c>
      <c r="E2109" s="17" t="str">
        <f>IFERROR(__xludf.DUMMYFUNCTION("""COMPUTED_VALUE"""),"madhu.nainan@mrfmail.com")</f>
        <v>madhu.nainan@mrfmail.com</v>
      </c>
      <c r="F2109" s="17"/>
      <c r="G2109" s="17"/>
      <c r="H2109" s="17"/>
    </row>
    <row r="2110">
      <c r="A2110" s="17" t="str">
        <f>IFERROR(__xludf.DUMMYFUNCTION("""COMPUTED_VALUE"""),"Polycab India")</f>
        <v>Polycab India</v>
      </c>
      <c r="B2110" s="17" t="str">
        <f>IFERROR(__xludf.DUMMYFUNCTION("""COMPUTED_VALUE"""),"Svetlana Boldi")</f>
        <v>Svetlana Boldi</v>
      </c>
      <c r="C2110" s="17" t="str">
        <f>IFERROR(__xludf.DUMMYFUNCTION("""COMPUTED_VALUE"""),"Executive Director - Finance &amp; Control")</f>
        <v>Executive Director - Finance &amp; Control</v>
      </c>
      <c r="D2110" s="27" t="str">
        <f>IFERROR(__xludf.DUMMYFUNCTION("""COMPUTED_VALUE"""),"https://www.linkedin.com/in/svetlana-boldina-45343115/?originalSubdomain=in")</f>
        <v>https://www.linkedin.com/in/svetlana-boldina-45343115/?originalSubdomain=in</v>
      </c>
      <c r="E2110" s="17" t="str">
        <f>IFERROR(__xludf.DUMMYFUNCTION("""COMPUTED_VALUE"""),"svetlana.boldina@us.nestle.com")</f>
        <v>svetlana.boldina@us.nestle.com</v>
      </c>
      <c r="F2110" s="17"/>
      <c r="G2110" s="17"/>
      <c r="H2110" s="17"/>
    </row>
    <row r="2111">
      <c r="A2111" s="17" t="str">
        <f>IFERROR(__xludf.DUMMYFUNCTION("""COMPUTED_VALUE"""),"Balkrishna Industries (BKT)")</f>
        <v>Balkrishna Industries (BKT)</v>
      </c>
      <c r="B2111" s="17" t="str">
        <f>IFERROR(__xludf.DUMMYFUNCTION("""COMPUTED_VALUE"""),"Jai kumar Srinivasan")</f>
        <v>Jai kumar Srinivasan</v>
      </c>
      <c r="C2111" s="17" t="str">
        <f>IFERROR(__xludf.DUMMYFUNCTION("""COMPUTED_VALUE"""),"Director (Finance)")</f>
        <v>Director (Finance)</v>
      </c>
      <c r="D2111" s="27" t="str">
        <f>IFERROR(__xludf.DUMMYFUNCTION("""COMPUTED_VALUE"""),"https://www.linkedin.com/in/jaikumar-srinivasan-70055a3/?originalSubdomain=in")</f>
        <v>https://www.linkedin.com/in/jaikumar-srinivasan-70055a3/?originalSubdomain=in</v>
      </c>
      <c r="E2111" s="17" t="str">
        <f>IFERROR(__xludf.DUMMYFUNCTION("""COMPUTED_VALUE"""),"jaikumar@ntpc.co.in")</f>
        <v>jaikumar@ntpc.co.in</v>
      </c>
      <c r="F2111" s="17"/>
      <c r="G2111" s="17"/>
      <c r="H2111" s="17"/>
    </row>
    <row r="2112">
      <c r="A2112" s="17" t="str">
        <f>IFERROR(__xludf.DUMMYFUNCTION("""COMPUTED_VALUE"""),"BSE Ltd (Bombay Stock Exchange)")</f>
        <v>BSE Ltd (Bombay Stock Exchange)</v>
      </c>
      <c r="B2112" s="17" t="str">
        <f>IFERROR(__xludf.DUMMYFUNCTION("""COMPUTED_VALUE"""),"Anit Ashkenazi")</f>
        <v>Anit Ashkenazi</v>
      </c>
      <c r="C2112" s="17" t="str">
        <f>IFERROR(__xludf.DUMMYFUNCTION("""COMPUTED_VALUE"""),"Chief Financial Officer")</f>
        <v>Chief Financial Officer</v>
      </c>
      <c r="D2112" s="27" t="str">
        <f>IFERROR(__xludf.DUMMYFUNCTION("""COMPUTED_VALUE"""),"https://www.linkedin.com/in/anat-a-a334433/")</f>
        <v>https://www.linkedin.com/in/anat-a-a334433/</v>
      </c>
      <c r="E2112" s="17" t="str">
        <f>IFERROR(__xludf.DUMMYFUNCTION("""COMPUTED_VALUE"""),"anat.ashkenazi@google.com")</f>
        <v>anat.ashkenazi@google.com</v>
      </c>
      <c r="F2112" s="17"/>
      <c r="G2112" s="17"/>
      <c r="H2112" s="17"/>
    </row>
    <row r="2113">
      <c r="A2113" s="17" t="str">
        <f>IFERROR(__xludf.DUMMYFUNCTION("""COMPUTED_VALUE"""),"CDSL (Central Depository Services)")</f>
        <v>CDSL (Central Depository Services)</v>
      </c>
      <c r="B2113" s="17" t="str">
        <f>IFERROR(__xludf.DUMMYFUNCTION("""COMPUTED_VALUE"""),"Pawan Jain")</f>
        <v>Pawan Jain</v>
      </c>
      <c r="C2113" s="17" t="str">
        <f>IFERROR(__xludf.DUMMYFUNCTION("""COMPUTED_VALUE"""),"Chief Financial Officer")</f>
        <v>Chief Financial Officer</v>
      </c>
      <c r="D2113" s="27" t="str">
        <f>IFERROR(__xludf.DUMMYFUNCTION("""COMPUTED_VALUE"""),"https://www.linkedin.com/in/pavan-kumar-jain-2a15b714/?originalSubdomain=in")</f>
        <v>https://www.linkedin.com/in/pavan-kumar-jain-2a15b714/?originalSubdomain=in</v>
      </c>
      <c r="E2113" s="17" t="str">
        <f>IFERROR(__xludf.DUMMYFUNCTION("""COMPUTED_VALUE"""),"pavan.jain@adityabirla.com")</f>
        <v>pavan.jain@adityabirla.com</v>
      </c>
      <c r="F2113" s="17"/>
      <c r="G2113" s="17"/>
      <c r="H2113" s="17"/>
    </row>
    <row r="2114">
      <c r="A2114" s="17" t="str">
        <f>IFERROR(__xludf.DUMMYFUNCTION("""COMPUTED_VALUE"""),"MCX (Multi Commodity Exchange)")</f>
        <v>MCX (Multi Commodity Exchange)</v>
      </c>
      <c r="B2114" s="17" t="str">
        <f>IFERROR(__xludf.DUMMYFUNCTION("""COMPUTED_VALUE"""),"Shiv Waliaa")</f>
        <v>Shiv Waliaa</v>
      </c>
      <c r="C2114" s="17" t="str">
        <f>IFERROR(__xludf.DUMMYFUNCTION("""COMPUTED_VALUE"""),"Chief Financial Officer")</f>
        <v>Chief Financial Officer</v>
      </c>
      <c r="D2114" s="27" t="str">
        <f>IFERROR(__xludf.DUMMYFUNCTION("""COMPUTED_VALUE"""),"https://www.linkedin.com/in/shiv-walia-886790a0/?originalSubdomain=in")</f>
        <v>https://www.linkedin.com/in/shiv-walia-886790a0/?originalSubdomain=in</v>
      </c>
      <c r="E2114" s="17" t="str">
        <f>IFERROR(__xludf.DUMMYFUNCTION("""COMPUTED_VALUE"""),"shiv.walia@hcltech.com")</f>
        <v>shiv.walia@hcltech.com</v>
      </c>
      <c r="F2114" s="17"/>
      <c r="G2114" s="17"/>
      <c r="H2114" s="17"/>
    </row>
    <row r="2115">
      <c r="A2115" s="17" t="str">
        <f>IFERROR(__xludf.DUMMYFUNCTION("""COMPUTED_VALUE"""),"CAMS (Computer Age Mgmt)")</f>
        <v>CAMS (Computer Age Mgmt)</v>
      </c>
      <c r="B2115" s="17" t="str">
        <f>IFERROR(__xludf.DUMMYFUNCTION("""COMPUTED_VALUE"""),"Bharat Goenkaa")</f>
        <v>Bharat Goenkaa</v>
      </c>
      <c r="C2115" s="17" t="str">
        <f>IFERROR(__xludf.DUMMYFUNCTION("""COMPUTED_VALUE"""),"Chief Financial Officer")</f>
        <v>Chief Financial Officer</v>
      </c>
      <c r="D2115" s="27" t="str">
        <f>IFERROR(__xludf.DUMMYFUNCTION("""COMPUTED_VALUE"""),"https://www.linkedin.com/in/bharat-goenka-270b7b12/?originalSubdomain=in")</f>
        <v>https://www.linkedin.com/in/bharat-goenka-270b7b12/?originalSubdomain=in</v>
      </c>
      <c r="E2115" s="17" t="str">
        <f>IFERROR(__xludf.DUMMYFUNCTION("""COMPUTED_VALUE"""),"bharat.goenka@adityabirla.com")</f>
        <v>bharat.goenka@adityabirla.com</v>
      </c>
      <c r="F2115" s="17"/>
      <c r="G2115" s="17"/>
      <c r="H2115" s="17"/>
    </row>
    <row r="2116">
      <c r="A2116" s="17" t="str">
        <f>IFERROR(__xludf.DUMMYFUNCTION("""COMPUTED_VALUE"""),"KFin Technologies")</f>
        <v>KFin Technologies</v>
      </c>
      <c r="B2116" s="17" t="str">
        <f>IFERROR(__xludf.DUMMYFUNCTION("""COMPUTED_VALUE"""),"Gopal Mahadevan")</f>
        <v>Gopal Mahadevan</v>
      </c>
      <c r="C2116" s="17" t="str">
        <f>IFERROR(__xludf.DUMMYFUNCTION("""COMPUTED_VALUE"""),"Group Chief Financial Officer")</f>
        <v>Group Chief Financial Officer</v>
      </c>
      <c r="D2116" s="27" t="str">
        <f>IFERROR(__xludf.DUMMYFUNCTION("""COMPUTED_VALUE"""),"https://www.linkedin.com/in/gopal-mahadevan-170a6b/?originalSubdomain=in")</f>
        <v>https://www.linkedin.com/in/gopal-mahadevan-170a6b/?originalSubdomain=in</v>
      </c>
      <c r="E2116" s="17" t="str">
        <f>IFERROR(__xludf.DUMMYFUNCTION("""COMPUTED_VALUE"""),"gopal@ashokleyland.com")</f>
        <v>gopal@ashokleyland.com</v>
      </c>
      <c r="F2116" s="17"/>
      <c r="G2116" s="17"/>
      <c r="H2116" s="17"/>
    </row>
    <row r="2117">
      <c r="A2117" s="17" t="str">
        <f>IFERROR(__xludf.DUMMYFUNCTION("""COMPUTED_VALUE"""),"CRISIL (S&amp;P Global)")</f>
        <v>CRISIL (S&amp;P Global)</v>
      </c>
      <c r="B2117" s="17" t="str">
        <f>IFERROR(__xludf.DUMMYFUNCTION("""COMPUTED_VALUE"""),"Rajneesh Narang")</f>
        <v>Rajneesh Narang</v>
      </c>
      <c r="C2117" s="17" t="str">
        <f>IFERROR(__xludf.DUMMYFUNCTION("""COMPUTED_VALUE"""),"Director (Finance) &amp; CFO")</f>
        <v>Director (Finance) &amp; CFO</v>
      </c>
      <c r="D2117" s="27" t="str">
        <f>IFERROR(__xludf.DUMMYFUNCTION("""COMPUTED_VALUE"""),"https://www.linkedin.com/in/rajneesh-narang-94383b125/?originalSubdomain=in")</f>
        <v>https://www.linkedin.com/in/rajneesh-narang-94383b125/?originalSubdomain=in</v>
      </c>
      <c r="E2117" s="17" t="str">
        <f>IFERROR(__xludf.DUMMYFUNCTION("""COMPUTED_VALUE"""),"narangr@hpcl.in")</f>
        <v>narangr@hpcl.in</v>
      </c>
      <c r="F2117" s="17"/>
      <c r="G2117" s="17"/>
      <c r="H2117" s="17"/>
    </row>
    <row r="2118">
      <c r="A2118" s="17" t="str">
        <f>IFERROR(__xludf.DUMMYFUNCTION("""COMPUTED_VALUE"""),"ICRA (Moody’s)")</f>
        <v>ICRA (Moody’s)</v>
      </c>
      <c r="B2118" s="17"/>
      <c r="C2118" s="17"/>
      <c r="D2118" s="17"/>
      <c r="E2118" s="17"/>
      <c r="F2118" s="17"/>
      <c r="G2118" s="17"/>
      <c r="H2118" s="17"/>
    </row>
    <row r="2119">
      <c r="A2119" s="17" t="str">
        <f>IFERROR(__xludf.DUMMYFUNCTION("""COMPUTED_VALUE"""),"CARE Ratings")</f>
        <v>CARE Ratings</v>
      </c>
      <c r="B2119" s="17"/>
      <c r="C2119" s="17"/>
      <c r="D2119" s="17"/>
      <c r="E2119" s="17"/>
      <c r="F2119" s="17"/>
      <c r="G2119" s="17"/>
      <c r="H2119" s="17"/>
    </row>
    <row r="2120">
      <c r="A2120" s="17" t="str">
        <f>IFERROR(__xludf.DUMMYFUNCTION("""COMPUTED_VALUE"""),"Angel One")</f>
        <v>Angel One</v>
      </c>
      <c r="B2120" s="17"/>
      <c r="C2120" s="17"/>
      <c r="D2120" s="17"/>
      <c r="E2120" s="17"/>
      <c r="F2120" s="17"/>
      <c r="G2120" s="17"/>
      <c r="H2120" s="17"/>
    </row>
    <row r="2121">
      <c r="A2121" s="17" t="str">
        <f>IFERROR(__xludf.DUMMYFUNCTION("""COMPUTED_VALUE"""),"Motilal Oswal Financial Services")</f>
        <v>Motilal Oswal Financial Services</v>
      </c>
      <c r="B2121" s="17"/>
      <c r="C2121" s="17"/>
      <c r="D2121" s="17"/>
      <c r="E2121" s="17"/>
      <c r="F2121" s="17"/>
      <c r="G2121" s="17"/>
      <c r="H2121" s="17"/>
    </row>
    <row r="2122">
      <c r="A2122" s="17" t="str">
        <f>IFERROR(__xludf.DUMMYFUNCTION("""COMPUTED_VALUE"""),"IIFL Finance")</f>
        <v>IIFL Finance</v>
      </c>
      <c r="B2122" s="17"/>
      <c r="C2122" s="17"/>
      <c r="D2122" s="17"/>
      <c r="E2122" s="17"/>
      <c r="F2122" s="17"/>
      <c r="G2122" s="17"/>
      <c r="H2122" s="17"/>
    </row>
    <row r="2123">
      <c r="A2123" s="17" t="str">
        <f>IFERROR(__xludf.DUMMYFUNCTION("""COMPUTED_VALUE"""),"Sundaram Finance")</f>
        <v>Sundaram Finance</v>
      </c>
      <c r="B2123" s="17"/>
      <c r="C2123" s="17"/>
      <c r="D2123" s="17"/>
      <c r="E2123" s="17"/>
      <c r="F2123" s="17"/>
      <c r="G2123" s="17"/>
      <c r="H2123" s="17"/>
    </row>
    <row r="2124">
      <c r="A2124" s="17" t="str">
        <f>IFERROR(__xludf.DUMMYFUNCTION("""COMPUTED_VALUE"""),"Cholamandalam Investment")</f>
        <v>Cholamandalam Investment</v>
      </c>
      <c r="B2124" s="17"/>
      <c r="C2124" s="17"/>
      <c r="D2124" s="17"/>
      <c r="E2124" s="17"/>
      <c r="F2124" s="17"/>
      <c r="G2124" s="17"/>
      <c r="H2124" s="17"/>
    </row>
    <row r="2125">
      <c r="A2125" s="17" t="str">
        <f>IFERROR(__xludf.DUMMYFUNCTION("""COMPUTED_VALUE"""),"AU Small Finance Bank")</f>
        <v>AU Small Finance Bank</v>
      </c>
      <c r="B2125" s="17"/>
      <c r="C2125" s="17"/>
      <c r="D2125" s="17"/>
      <c r="E2125" s="17"/>
      <c r="F2125" s="17"/>
      <c r="G2125" s="17"/>
      <c r="H2125" s="17"/>
    </row>
    <row r="2126">
      <c r="A2126" s="17" t="str">
        <f>IFERROR(__xludf.DUMMYFUNCTION("""COMPUTED_VALUE"""),"Bandhan Bank")</f>
        <v>Bandhan Bank</v>
      </c>
      <c r="B2126" s="17"/>
      <c r="C2126" s="17"/>
      <c r="D2126" s="17"/>
      <c r="E2126" s="17"/>
      <c r="F2126" s="17"/>
      <c r="G2126" s="17"/>
      <c r="H2126" s="17"/>
    </row>
    <row r="2127">
      <c r="A2127" s="17" t="str">
        <f>IFERROR(__xludf.DUMMYFUNCTION("""COMPUTED_VALUE"""),"IDBI Bank")</f>
        <v>IDBI Bank</v>
      </c>
      <c r="B2127" s="17"/>
      <c r="C2127" s="17"/>
      <c r="D2127" s="17"/>
      <c r="E2127" s="17"/>
      <c r="F2127" s="17"/>
      <c r="G2127" s="17"/>
      <c r="H2127" s="17"/>
    </row>
    <row r="2128">
      <c r="A2128" s="17" t="str">
        <f>IFERROR(__xludf.DUMMYFUNCTION("""COMPUTED_VALUE"""),"Central Bank of India")</f>
        <v>Central Bank of India</v>
      </c>
      <c r="B2128" s="17"/>
      <c r="C2128" s="17"/>
      <c r="D2128" s="17"/>
      <c r="E2128" s="17"/>
      <c r="F2128" s="17"/>
      <c r="G2128" s="17"/>
      <c r="H2128" s="17"/>
    </row>
    <row r="2129">
      <c r="A2129" s="17" t="str">
        <f>IFERROR(__xludf.DUMMYFUNCTION("""COMPUTED_VALUE"""),"ICICI Lombard")</f>
        <v>ICICI Lombard</v>
      </c>
      <c r="B2129" s="17"/>
      <c r="C2129" s="17"/>
      <c r="D2129" s="17"/>
      <c r="E2129" s="17"/>
      <c r="F2129" s="17"/>
      <c r="G2129" s="17"/>
      <c r="H2129" s="17"/>
    </row>
    <row r="2130">
      <c r="A2130" s="17" t="str">
        <f>IFERROR(__xludf.DUMMYFUNCTION("""COMPUTED_VALUE"""),"HDFC ERGO")</f>
        <v>HDFC ERGO</v>
      </c>
      <c r="B2130" s="17"/>
      <c r="C2130" s="17"/>
      <c r="D2130" s="17"/>
      <c r="E2130" s="17"/>
      <c r="F2130" s="17"/>
      <c r="G2130" s="17"/>
      <c r="H2130" s="17"/>
    </row>
    <row r="2131">
      <c r="A2131" s="17" t="str">
        <f>IFERROR(__xludf.DUMMYFUNCTION("""COMPUTED_VALUE"""),"Bajaj Allianz General Insurance")</f>
        <v>Bajaj Allianz General Insurance</v>
      </c>
      <c r="B2131" s="17"/>
      <c r="C2131" s="17"/>
      <c r="D2131" s="17"/>
      <c r="E2131" s="17"/>
      <c r="F2131" s="17"/>
      <c r="G2131" s="17"/>
      <c r="H2131" s="17"/>
    </row>
    <row r="2132">
      <c r="A2132" s="17" t="str">
        <f>IFERROR(__xludf.DUMMYFUNCTION("""COMPUTED_VALUE"""),"GIC Re (General Insurance Corp)")</f>
        <v>GIC Re (General Insurance Corp)</v>
      </c>
      <c r="B2132" s="17"/>
      <c r="C2132" s="17"/>
      <c r="D2132" s="17"/>
      <c r="E2132" s="17"/>
      <c r="F2132" s="17"/>
      <c r="G2132" s="17"/>
      <c r="H2132" s="17"/>
    </row>
    <row r="2133">
      <c r="A2133" s="17" t="str">
        <f>IFERROR(__xludf.DUMMYFUNCTION("""COMPUTED_VALUE"""),"Avenue Supermarts (DMart)")</f>
        <v>Avenue Supermarts (DMart)</v>
      </c>
      <c r="B2133" s="17"/>
      <c r="C2133" s="17"/>
      <c r="D2133" s="17"/>
      <c r="E2133" s="17"/>
      <c r="F2133" s="17"/>
      <c r="G2133" s="17"/>
      <c r="H2133" s="17"/>
    </row>
    <row r="2134">
      <c r="A2134" s="17" t="str">
        <f>IFERROR(__xludf.DUMMYFUNCTION("""COMPUTED_VALUE"""),"Jubilant Foodworks")</f>
        <v>Jubilant Foodworks</v>
      </c>
      <c r="B2134" s="17"/>
      <c r="C2134" s="17"/>
      <c r="D2134" s="17"/>
      <c r="E2134" s="17"/>
      <c r="F2134" s="17"/>
      <c r="G2134" s="17"/>
      <c r="H2134" s="17"/>
    </row>
    <row r="2135">
      <c r="A2135" s="17" t="str">
        <f>IFERROR(__xludf.DUMMYFUNCTION("""COMPUTED_VALUE"""),"Westlife Foodworld")</f>
        <v>Westlife Foodworld</v>
      </c>
      <c r="B2135" s="17"/>
      <c r="C2135" s="17"/>
      <c r="D2135" s="17"/>
      <c r="E2135" s="17"/>
      <c r="F2135" s="17"/>
      <c r="G2135" s="17"/>
      <c r="H2135" s="17"/>
    </row>
    <row r="2136">
      <c r="A2136" s="17" t="str">
        <f>IFERROR(__xludf.DUMMYFUNCTION("""COMPUTED_VALUE"""),"Devyani International")</f>
        <v>Devyani International</v>
      </c>
      <c r="B2136" s="17"/>
      <c r="C2136" s="17"/>
      <c r="D2136" s="17"/>
      <c r="E2136" s="17"/>
      <c r="F2136" s="17"/>
      <c r="G2136" s="17"/>
      <c r="H2136" s="17"/>
    </row>
    <row r="2137">
      <c r="A2137" s="17" t="str">
        <f>IFERROR(__xludf.DUMMYFUNCTION("""COMPUTED_VALUE"""),"Metro Brands")</f>
        <v>Metro Brands</v>
      </c>
      <c r="B2137" s="17"/>
      <c r="C2137" s="17"/>
      <c r="D2137" s="17"/>
      <c r="E2137" s="17"/>
      <c r="F2137" s="17"/>
      <c r="G2137" s="17"/>
      <c r="H2137" s="17"/>
    </row>
    <row r="2138">
      <c r="A2138" s="17" t="str">
        <f>IFERROR(__xludf.DUMMYFUNCTION("""COMPUTED_VALUE"""),"Vedant Fashions (Manyavar)")</f>
        <v>Vedant Fashions (Manyavar)</v>
      </c>
      <c r="B2138" s="17"/>
      <c r="C2138" s="17"/>
      <c r="D2138" s="17"/>
      <c r="E2138" s="17"/>
      <c r="F2138" s="17"/>
      <c r="G2138" s="17"/>
      <c r="H2138" s="17"/>
    </row>
    <row r="2139">
      <c r="A2139" s="17" t="str">
        <f>IFERROR(__xludf.DUMMYFUNCTION("""COMPUTED_VALUE"""),"Aditya Birla Fashion (ABFRL)")</f>
        <v>Aditya Birla Fashion (ABFRL)</v>
      </c>
      <c r="B2139" s="17"/>
      <c r="C2139" s="17"/>
      <c r="D2139" s="17"/>
      <c r="E2139" s="17"/>
      <c r="F2139" s="17"/>
      <c r="G2139" s="17"/>
      <c r="H2139" s="17"/>
    </row>
    <row r="2140">
      <c r="A2140" s="17" t="str">
        <f>IFERROR(__xludf.DUMMYFUNCTION("""COMPUTED_VALUE"""),"Dixon Technologies")</f>
        <v>Dixon Technologies</v>
      </c>
      <c r="B2140" s="17"/>
      <c r="C2140" s="17"/>
      <c r="D2140" s="17"/>
      <c r="E2140" s="17"/>
      <c r="F2140" s="17"/>
      <c r="G2140" s="17"/>
      <c r="H2140" s="17"/>
    </row>
    <row r="2141">
      <c r="A2141" s="17" t="str">
        <f>IFERROR(__xludf.DUMMYFUNCTION("""COMPUTED_VALUE"""),"Amber Enterprises")</f>
        <v>Amber Enterprises</v>
      </c>
      <c r="B2141" s="17"/>
      <c r="C2141" s="17"/>
      <c r="D2141" s="17"/>
      <c r="E2141" s="17"/>
      <c r="F2141" s="17"/>
      <c r="G2141" s="17"/>
      <c r="H2141" s="17"/>
    </row>
    <row r="2142">
      <c r="A2142" s="17" t="str">
        <f>IFERROR(__xludf.DUMMYFUNCTION("""COMPUTED_VALUE"""),"Honeywell Automation")</f>
        <v>Honeywell Automation</v>
      </c>
      <c r="B2142" s="17"/>
      <c r="C2142" s="17"/>
      <c r="D2142" s="17"/>
      <c r="E2142" s="17"/>
      <c r="F2142" s="17"/>
      <c r="G2142" s="17"/>
      <c r="H2142" s="17"/>
    </row>
    <row r="2143">
      <c r="A2143" s="17" t="str">
        <f>IFERROR(__xludf.DUMMYFUNCTION("""COMPUTED_VALUE"""),"3M India")</f>
        <v>3M India</v>
      </c>
      <c r="B2143" s="17"/>
      <c r="C2143" s="17"/>
      <c r="D2143" s="17"/>
      <c r="E2143" s="17"/>
      <c r="F2143" s="17"/>
      <c r="G2143" s="17"/>
      <c r="H2143" s="17"/>
    </row>
    <row r="2144">
      <c r="A2144" s="17" t="str">
        <f>IFERROR(__xludf.DUMMYFUNCTION("""COMPUTED_VALUE"""),"Schaeffler India")</f>
        <v>Schaeffler India</v>
      </c>
      <c r="B2144" s="17"/>
      <c r="C2144" s="17"/>
      <c r="D2144" s="17"/>
      <c r="E2144" s="17"/>
      <c r="F2144" s="17"/>
      <c r="G2144" s="17"/>
      <c r="H2144" s="17"/>
    </row>
    <row r="2145">
      <c r="A2145" s="17" t="str">
        <f>IFERROR(__xludf.DUMMYFUNCTION("""COMPUTED_VALUE"""),"SKF India")</f>
        <v>SKF India</v>
      </c>
      <c r="B2145" s="17"/>
      <c r="C2145" s="17"/>
      <c r="D2145" s="17"/>
      <c r="E2145" s="17"/>
      <c r="F2145" s="17"/>
      <c r="G2145" s="17"/>
      <c r="H2145" s="17"/>
    </row>
    <row r="2146">
      <c r="A2146" s="17" t="str">
        <f>IFERROR(__xludf.DUMMYFUNCTION("""COMPUTED_VALUE"""),"Timken India")</f>
        <v>Timken India</v>
      </c>
      <c r="B2146" s="17"/>
      <c r="C2146" s="17"/>
      <c r="D2146" s="17"/>
      <c r="E2146" s="17"/>
      <c r="F2146" s="17"/>
      <c r="G2146" s="17"/>
      <c r="H2146" s="17"/>
    </row>
    <row r="2147">
      <c r="A2147" s="17" t="str">
        <f>IFERROR(__xludf.DUMMYFUNCTION("""COMPUTED_VALUE"""),"Cummins India")</f>
        <v>Cummins India</v>
      </c>
      <c r="B2147" s="17"/>
      <c r="C2147" s="17"/>
      <c r="D2147" s="17"/>
      <c r="E2147" s="17"/>
      <c r="F2147" s="17"/>
      <c r="G2147" s="17"/>
      <c r="H2147" s="17"/>
    </row>
    <row r="2148">
      <c r="A2148" s="17" t="str">
        <f>IFERROR(__xludf.DUMMYFUNCTION("""COMPUTED_VALUE"""),"Thermax")</f>
        <v>Thermax</v>
      </c>
      <c r="B2148" s="17"/>
      <c r="C2148" s="17"/>
      <c r="D2148" s="17"/>
      <c r="E2148" s="17"/>
      <c r="F2148" s="17"/>
      <c r="G2148" s="17"/>
      <c r="H2148" s="17"/>
    </row>
    <row r="2149">
      <c r="A2149" s="17" t="str">
        <f>IFERROR(__xludf.DUMMYFUNCTION("""COMPUTED_VALUE"""),"Voltas (Tata Group)")</f>
        <v>Voltas (Tata Group)</v>
      </c>
      <c r="B2149" s="17"/>
      <c r="C2149" s="17"/>
      <c r="D2149" s="17"/>
      <c r="E2149" s="17"/>
      <c r="F2149" s="17"/>
      <c r="G2149" s="17"/>
      <c r="H2149" s="17"/>
    </row>
    <row r="2150">
      <c r="A2150" s="17" t="str">
        <f>IFERROR(__xludf.DUMMYFUNCTION("""COMPUTED_VALUE"""),"Whirlpool of India")</f>
        <v>Whirlpool of India</v>
      </c>
      <c r="B2150" s="17"/>
      <c r="C2150" s="17"/>
      <c r="D2150" s="17"/>
      <c r="E2150" s="17"/>
      <c r="F2150" s="17"/>
      <c r="G2150" s="17"/>
      <c r="H2150" s="17"/>
    </row>
    <row r="2151">
      <c r="A2151" s="17" t="str">
        <f>IFERROR(__xludf.DUMMYFUNCTION("""COMPUTED_VALUE"""),"Blue Star")</f>
        <v>Blue Star</v>
      </c>
      <c r="B2151" s="17"/>
      <c r="C2151" s="17"/>
      <c r="D2151" s="17"/>
      <c r="E2151" s="17"/>
      <c r="F2151" s="17"/>
      <c r="G2151" s="17"/>
      <c r="H2151" s="17"/>
    </row>
    <row r="2152">
      <c r="A2152" s="17" t="str">
        <f>IFERROR(__xludf.DUMMYFUNCTION("""COMPUTED_VALUE"""),"Coromandel International")</f>
        <v>Coromandel International</v>
      </c>
      <c r="B2152" s="17"/>
      <c r="C2152" s="17"/>
      <c r="D2152" s="17"/>
      <c r="E2152" s="17"/>
      <c r="F2152" s="17"/>
      <c r="G2152" s="17"/>
      <c r="H2152" s="17"/>
    </row>
    <row r="2153">
      <c r="A2153" s="17" t="str">
        <f>IFERROR(__xludf.DUMMYFUNCTION("""COMPUTED_VALUE"""),"UPL Ltd")</f>
        <v>UPL Ltd</v>
      </c>
      <c r="B2153" s="17"/>
      <c r="C2153" s="17"/>
      <c r="D2153" s="17"/>
      <c r="E2153" s="17"/>
      <c r="F2153" s="17"/>
      <c r="G2153" s="17"/>
      <c r="H2153" s="17"/>
    </row>
    <row r="2154">
      <c r="A2154" s="17" t="str">
        <f>IFERROR(__xludf.DUMMYFUNCTION("""COMPUTED_VALUE"""),"PI Industries")</f>
        <v>PI Industries</v>
      </c>
      <c r="B2154" s="17"/>
      <c r="C2154" s="17"/>
      <c r="D2154" s="17"/>
      <c r="E2154" s="17"/>
      <c r="F2154" s="17"/>
      <c r="G2154" s="17"/>
      <c r="H2154" s="17"/>
    </row>
    <row r="2155">
      <c r="A2155" s="17" t="str">
        <f>IFERROR(__xludf.DUMMYFUNCTION("""COMPUTED_VALUE"""),"Bayer CropScience")</f>
        <v>Bayer CropScience</v>
      </c>
      <c r="B2155" s="17"/>
      <c r="C2155" s="17"/>
      <c r="D2155" s="17"/>
      <c r="E2155" s="17"/>
      <c r="F2155" s="17"/>
      <c r="G2155" s="17"/>
      <c r="H2155" s="17"/>
    </row>
    <row r="2156">
      <c r="A2156" s="17" t="str">
        <f>IFERROR(__xludf.DUMMYFUNCTION("""COMPUTED_VALUE"""),"Apollo Tyres")</f>
        <v>Apollo Tyres</v>
      </c>
      <c r="B2156" s="17"/>
      <c r="C2156" s="17"/>
      <c r="D2156" s="17"/>
      <c r="E2156" s="17"/>
      <c r="F2156" s="17"/>
      <c r="G2156" s="17"/>
      <c r="H2156" s="17"/>
    </row>
    <row r="2157">
      <c r="A2157" s="17" t="str">
        <f>IFERROR(__xludf.DUMMYFUNCTION("""COMPUTED_VALUE"""),"CEAT Tyres")</f>
        <v>CEAT Tyres</v>
      </c>
      <c r="B2157" s="17"/>
      <c r="C2157" s="17"/>
      <c r="D2157" s="17"/>
      <c r="E2157" s="17"/>
      <c r="F2157" s="17"/>
      <c r="G2157" s="17"/>
      <c r="H2157" s="17"/>
    </row>
    <row r="2158">
      <c r="A2158" s="17" t="str">
        <f>IFERROR(__xludf.DUMMYFUNCTION("""COMPUTED_VALUE"""),"Exide Industries")</f>
        <v>Exide Industries</v>
      </c>
      <c r="B2158" s="17"/>
      <c r="C2158" s="17"/>
      <c r="D2158" s="17"/>
      <c r="E2158" s="17"/>
      <c r="F2158" s="17"/>
      <c r="G2158" s="17"/>
      <c r="H2158" s="17"/>
    </row>
    <row r="2159">
      <c r="A2159" s="17" t="str">
        <f>IFERROR(__xludf.DUMMYFUNCTION("""COMPUTED_VALUE"""),"Amara Raja Energy")</f>
        <v>Amara Raja Energy</v>
      </c>
      <c r="B2159" s="17"/>
      <c r="C2159" s="17"/>
      <c r="D2159" s="17"/>
      <c r="E2159" s="17"/>
      <c r="F2159" s="17"/>
      <c r="G2159" s="17"/>
      <c r="H2159" s="17"/>
    </row>
    <row r="2160">
      <c r="A2160" s="17" t="str">
        <f>IFERROR(__xludf.DUMMYFUNCTION("""COMPUTED_VALUE"""),"Sona BLW Precision (Sona Comstar)")</f>
        <v>Sona BLW Precision (Sona Comstar)</v>
      </c>
      <c r="B2160" s="17"/>
      <c r="C2160" s="17"/>
      <c r="D2160" s="17"/>
      <c r="E2160" s="17"/>
      <c r="F2160" s="17"/>
      <c r="G2160" s="17"/>
      <c r="H2160" s="17"/>
    </row>
    <row r="2161">
      <c r="A2161" s="17" t="str">
        <f>IFERROR(__xludf.DUMMYFUNCTION("""COMPUTED_VALUE"""),"Endurance Technologies")</f>
        <v>Endurance Technologies</v>
      </c>
      <c r="B2161" s="17"/>
      <c r="C2161" s="17"/>
      <c r="D2161" s="17"/>
      <c r="E2161" s="17"/>
      <c r="F2161" s="17"/>
      <c r="G2161" s="17"/>
      <c r="H2161" s="17"/>
    </row>
    <row r="2162">
      <c r="A2162" s="17" t="str">
        <f>IFERROR(__xludf.DUMMYFUNCTION("""COMPUTED_VALUE"""),"UNO Minda")</f>
        <v>UNO Minda</v>
      </c>
      <c r="B2162" s="17"/>
      <c r="C2162" s="17"/>
      <c r="D2162" s="17"/>
      <c r="E2162" s="17"/>
      <c r="F2162" s="17"/>
      <c r="G2162" s="17"/>
      <c r="H2162" s="17"/>
    </row>
    <row r="2163">
      <c r="A2163" s="17" t="str">
        <f>IFERROR(__xludf.DUMMYFUNCTION("""COMPUTED_VALUE"""),"Phoenix Mills")</f>
        <v>Phoenix Mills</v>
      </c>
      <c r="B2163" s="17"/>
      <c r="C2163" s="17"/>
      <c r="D2163" s="17"/>
      <c r="E2163" s="17"/>
      <c r="F2163" s="17"/>
      <c r="G2163" s="17"/>
      <c r="H2163" s="17"/>
    </row>
    <row r="2164">
      <c r="A2164" s="17" t="str">
        <f>IFERROR(__xludf.DUMMYFUNCTION("""COMPUTED_VALUE"""),"Brigade Enterprises")</f>
        <v>Brigade Enterprises</v>
      </c>
      <c r="B2164" s="17"/>
      <c r="C2164" s="17"/>
      <c r="D2164" s="17"/>
      <c r="E2164" s="17"/>
      <c r="F2164" s="17"/>
      <c r="G2164" s="17"/>
      <c r="H2164" s="17"/>
    </row>
    <row r="2165">
      <c r="A2165" s="17" t="str">
        <f>IFERROR(__xludf.DUMMYFUNCTION("""COMPUTED_VALUE"""),"Oberoi Realty")</f>
        <v>Oberoi Realty</v>
      </c>
      <c r="B2165" s="17"/>
      <c r="C2165" s="17"/>
      <c r="D2165" s="17"/>
      <c r="E2165" s="17"/>
      <c r="F2165" s="17"/>
      <c r="G2165" s="17"/>
      <c r="H2165" s="17"/>
    </row>
    <row r="2166">
      <c r="A2166" s="17" t="str">
        <f>IFERROR(__xludf.DUMMYFUNCTION("""COMPUTED_VALUE"""),"GMR Airports Infrastructure")</f>
        <v>GMR Airports Infrastructure</v>
      </c>
      <c r="B2166" s="17"/>
      <c r="C2166" s="17"/>
      <c r="D2166" s="17"/>
      <c r="E2166" s="17"/>
      <c r="F2166" s="17"/>
      <c r="G2166" s="17"/>
      <c r="H2166" s="17"/>
    </row>
    <row r="2167">
      <c r="A2167" s="17" t="str">
        <f>IFERROR(__xludf.DUMMYFUNCTION("""COMPUTED_VALUE"""),"IRB Infrastructure")</f>
        <v>IRB Infrastructure</v>
      </c>
      <c r="B2167" s="17"/>
      <c r="C2167" s="17"/>
      <c r="D2167" s="17"/>
      <c r="E2167" s="17"/>
      <c r="F2167" s="17"/>
      <c r="G2167" s="17"/>
      <c r="H2167" s="17"/>
    </row>
    <row r="2168">
      <c r="A2168" s="17" t="str">
        <f>IFERROR(__xludf.DUMMYFUNCTION("""COMPUTED_VALUE"""),"Container Corp of India (CONCOR)")</f>
        <v>Container Corp of India (CONCOR)</v>
      </c>
      <c r="B2168" s="17"/>
      <c r="C2168" s="17"/>
      <c r="D2168" s="17"/>
      <c r="E2168" s="17"/>
      <c r="F2168" s="17"/>
      <c r="G2168" s="17"/>
      <c r="H2168" s="17"/>
    </row>
    <row r="2169">
      <c r="A2169" s="17" t="str">
        <f>IFERROR(__xludf.DUMMYFUNCTION("""COMPUTED_VALUE"""),"Blue Dart Express")</f>
        <v>Blue Dart Express</v>
      </c>
      <c r="B2169" s="17"/>
      <c r="C2169" s="17"/>
      <c r="D2169" s="17"/>
      <c r="E2169" s="17"/>
      <c r="F2169" s="17"/>
      <c r="G2169" s="17"/>
      <c r="H2169" s="17"/>
    </row>
    <row r="2170">
      <c r="A2170" s="17" t="str">
        <f>IFERROR(__xludf.DUMMYFUNCTION("""COMPUTED_VALUE"""),"TCI Express")</f>
        <v>TCI Express</v>
      </c>
      <c r="B2170" s="17"/>
      <c r="C2170" s="17"/>
      <c r="D2170" s="17"/>
      <c r="E2170" s="17"/>
      <c r="F2170" s="17"/>
      <c r="G2170" s="17"/>
      <c r="H2170" s="17"/>
    </row>
    <row r="2171">
      <c r="A2171" s="17" t="str">
        <f>IFERROR(__xludf.DUMMYFUNCTION("""COMPUTED_VALUE"""),"PVR INOX")</f>
        <v>PVR INOX</v>
      </c>
      <c r="B2171" s="17"/>
      <c r="C2171" s="17"/>
      <c r="D2171" s="17"/>
      <c r="E2171" s="17"/>
      <c r="F2171" s="17"/>
      <c r="G2171" s="17"/>
      <c r="H2171" s="17"/>
    </row>
    <row r="2172">
      <c r="A2172" s="17" t="str">
        <f>IFERROR(__xludf.DUMMYFUNCTION("""COMPUTED_VALUE"""),"Nazara Technologies")</f>
        <v>Nazara Technologies</v>
      </c>
      <c r="B2172" s="17"/>
      <c r="C2172" s="17"/>
      <c r="D2172" s="17"/>
      <c r="E2172" s="17"/>
      <c r="F2172" s="17"/>
      <c r="G2172" s="17"/>
      <c r="H2172" s="17"/>
    </row>
    <row r="2173">
      <c r="A2173" s="17" t="str">
        <f>IFERROR(__xludf.DUMMYFUNCTION("""COMPUTED_VALUE"""),"MapmyIndia (CE Info Systems)")</f>
        <v>MapmyIndia (CE Info Systems)</v>
      </c>
      <c r="B2173" s="17"/>
      <c r="C2173" s="17"/>
      <c r="D2173" s="17"/>
      <c r="E2173" s="17"/>
      <c r="F2173" s="17"/>
      <c r="G2173" s="17"/>
      <c r="H2173" s="17"/>
    </row>
    <row r="2174">
      <c r="A2174" s="17" t="str">
        <f>IFERROR(__xludf.DUMMYFUNCTION("""COMPUTED_VALUE"""),"Tejas Networks")</f>
        <v>Tejas Networks</v>
      </c>
      <c r="B2174" s="17"/>
      <c r="C2174" s="17"/>
      <c r="D2174" s="17"/>
      <c r="E2174" s="17"/>
      <c r="F2174" s="17"/>
      <c r="G2174" s="17"/>
      <c r="H2174" s="17"/>
    </row>
    <row r="2175">
      <c r="A2175" s="17" t="str">
        <f>IFERROR(__xludf.DUMMYFUNCTION("""COMPUTED_VALUE"""),"Tata Communications")</f>
        <v>Tata Communications</v>
      </c>
      <c r="B2175" s="17"/>
      <c r="C2175" s="17"/>
      <c r="D2175" s="17"/>
      <c r="E2175" s="17"/>
      <c r="F2175" s="17"/>
      <c r="G2175" s="17"/>
      <c r="H2175" s="17"/>
    </row>
    <row r="2176">
      <c r="A2176" s="17" t="str">
        <f>IFERROR(__xludf.DUMMYFUNCTION("""COMPUTED_VALUE"""),"Fintech")</f>
        <v>Fintech</v>
      </c>
      <c r="B2176" s="17"/>
      <c r="C2176" s="17" t="str">
        <f>IFERROR(__xludf.DUMMYFUNCTION("""COMPUTED_VALUE"""),"CFO")</f>
        <v>CFO</v>
      </c>
      <c r="D2176" s="17"/>
      <c r="E2176" s="17"/>
      <c r="F2176" s="17"/>
      <c r="G2176" s="17"/>
      <c r="H2176" s="17"/>
    </row>
    <row r="2177">
      <c r="A2177" s="17" t="str">
        <f>IFERROR(__xludf.DUMMYFUNCTION("""COMPUTED_VALUE"""),"indifi")</f>
        <v>indifi</v>
      </c>
      <c r="B2177" s="17" t="str">
        <f>IFERROR(__xludf.DUMMYFUNCTION("""COMPUTED_VALUE"""),"Priyanka Seth Wadhera ")</f>
        <v>Priyanka Seth Wadhera </v>
      </c>
      <c r="C2177" s="17" t="str">
        <f>IFERROR(__xludf.DUMMYFUNCTION("""COMPUTED_VALUE"""),"CFO")</f>
        <v>CFO</v>
      </c>
      <c r="D2177" s="27" t="str">
        <f>IFERROR(__xludf.DUMMYFUNCTION("""COMPUTED_VALUE"""),"https://www.linkedin.com/in/priyanka-seth-wadhera-0a70582/?originalSubdomain=in")</f>
        <v>https://www.linkedin.com/in/priyanka-seth-wadhera-0a70582/?originalSubdomain=in</v>
      </c>
      <c r="E2177" s="17" t="str">
        <f>IFERROR(__xludf.DUMMYFUNCTION("""COMPUTED_VALUE"""),"priyanka.wadhera@arya.ag")</f>
        <v>priyanka.wadhera@arya.ag</v>
      </c>
      <c r="F2177" s="17"/>
      <c r="G2177" s="17"/>
      <c r="H2177" s="17"/>
    </row>
    <row r="2178">
      <c r="A2178" s="17" t="str">
        <f>IFERROR(__xludf.DUMMYFUNCTION("""COMPUTED_VALUE"""),"LENDINGKART")</f>
        <v>LENDINGKART</v>
      </c>
      <c r="B2178" s="17" t="str">
        <f>IFERROR(__xludf.DUMMYFUNCTION("""COMPUTED_VALUE"""),"Mukunda Barrsagade")</f>
        <v>Mukunda Barrsagade</v>
      </c>
      <c r="C2178" s="17" t="str">
        <f>IFERROR(__xludf.DUMMYFUNCTION("""COMPUTED_VALUE"""),"CFO")</f>
        <v>CFO</v>
      </c>
      <c r="D2178" s="27" t="str">
        <f>IFERROR(__xludf.DUMMYFUNCTION("""COMPUTED_VALUE"""),"https://www.linkedin.com/in/mukunda-barrsagade-160a80b/")</f>
        <v>https://www.linkedin.com/in/mukunda-barrsagade-160a80b/</v>
      </c>
      <c r="E2178" s="17" t="str">
        <f>IFERROR(__xludf.DUMMYFUNCTION("""COMPUTED_VALUE"""),"mukunda.barrsagade@utkarsh.bank")</f>
        <v>mukunda.barrsagade@utkarsh.bank</v>
      </c>
      <c r="F2178" s="17"/>
      <c r="G2178" s="17"/>
      <c r="H2178" s="17"/>
    </row>
    <row r="2179">
      <c r="A2179" s="17" t="str">
        <f>IFERROR(__xludf.DUMMYFUNCTION("""COMPUTED_VALUE"""),"NEOGROWTH")</f>
        <v>NEOGROWTH</v>
      </c>
      <c r="B2179" s="17" t="str">
        <f>IFERROR(__xludf.DUMMYFUNCTION("""COMPUTED_VALUE"""),"Deepak Goswami")</f>
        <v>Deepak Goswami</v>
      </c>
      <c r="C2179" s="17" t="str">
        <f>IFERROR(__xludf.DUMMYFUNCTION("""COMPUTED_VALUE"""),"CFO")</f>
        <v>CFO</v>
      </c>
      <c r="D2179" s="27" t="str">
        <f>IFERROR(__xludf.DUMMYFUNCTION("""COMPUTED_VALUE"""),"https://www.linkedin.com/in/deepak-goswami-12465214/?originalSubdomain=in")</f>
        <v>https://www.linkedin.com/in/deepak-goswami-12465214/?originalSubdomain=in</v>
      </c>
      <c r="E2179" s="17" t="str">
        <f>IFERROR(__xludf.DUMMYFUNCTION("""COMPUTED_VALUE"""),"deepak.goswami@neogrowth.in")</f>
        <v>deepak.goswami@neogrowth.in</v>
      </c>
      <c r="F2179" s="17" t="str">
        <f>IFERROR(__xludf.DUMMYFUNCTION("""COMPUTED_VALUE"""),"919818151833")</f>
        <v>919818151833</v>
      </c>
      <c r="G2179" s="17" t="str">
        <f>IFERROR(__xludf.DUMMYFUNCTION("""COMPUTED_VALUE"""),"cadg1976@gmail.com")</f>
        <v>cadg1976@gmail.com</v>
      </c>
      <c r="H2179" s="17"/>
    </row>
    <row r="2180">
      <c r="A2180" s="17" t="str">
        <f>IFERROR(__xludf.DUMMYFUNCTION("""COMPUTED_VALUE"""),"FLEXILOANS")</f>
        <v>FLEXILOANS</v>
      </c>
      <c r="B2180" s="17" t="str">
        <f>IFERROR(__xludf.DUMMYFUNCTION("""COMPUTED_VALUE"""),"Ritesh Jain")</f>
        <v>Ritesh Jain</v>
      </c>
      <c r="C2180" s="17" t="str">
        <f>IFERROR(__xludf.DUMMYFUNCTION("""COMPUTED_VALUE"""),"Co-Founder")</f>
        <v>Co-Founder</v>
      </c>
      <c r="D2180" s="27" t="str">
        <f>IFERROR(__xludf.DUMMYFUNCTION("""COMPUTED_VALUE"""),"https://www.linkedin.com/in/ritesh-jain-0b52425/?originalSubdomain=in")</f>
        <v>https://www.linkedin.com/in/ritesh-jain-0b52425/?originalSubdomain=in</v>
      </c>
      <c r="E2180" s="17" t="str">
        <f>IFERROR(__xludf.DUMMYFUNCTION("""COMPUTED_VALUE"""),"ritesh@flexiloans.com")</f>
        <v>ritesh@flexiloans.com</v>
      </c>
      <c r="F2180" s="17"/>
      <c r="G2180" s="17"/>
      <c r="H2180" s="17"/>
    </row>
    <row r="2181">
      <c r="A2181" s="17" t="str">
        <f>IFERROR(__xludf.DUMMYFUNCTION("""COMPUTED_VALUE"""),"arthan")</f>
        <v>arthan</v>
      </c>
      <c r="B2181" s="17" t="str">
        <f>IFERROR(__xludf.DUMMYFUNCTION("""COMPUTED_VALUE"""),"Kunal Mehta")</f>
        <v>Kunal Mehta</v>
      </c>
      <c r="C2181" s="17" t="str">
        <f>IFERROR(__xludf.DUMMYFUNCTION("""COMPUTED_VALUE"""),"Founder")</f>
        <v>Founder</v>
      </c>
      <c r="D2181" s="27" t="str">
        <f>IFERROR(__xludf.DUMMYFUNCTION("""COMPUTED_VALUE"""),"https://www.linkedin.com/in/kunalmehta85/?originalSubdomain=in")</f>
        <v>https://www.linkedin.com/in/kunalmehta85/?originalSubdomain=in</v>
      </c>
      <c r="E2181" s="17" t="str">
        <f>IFERROR(__xludf.DUMMYFUNCTION("""COMPUTED_VALUE"""),"kunal32@gmail.com")</f>
        <v>kunal32@gmail.com</v>
      </c>
      <c r="F2181" s="17"/>
      <c r="G2181" s="17"/>
      <c r="H2181" s="17"/>
    </row>
    <row r="2182">
      <c r="A2182" s="17" t="str">
        <f>IFERROR(__xludf.DUMMYFUNCTION("""COMPUTED_VALUE"""),"CLIX")</f>
        <v>CLIX</v>
      </c>
      <c r="B2182" s="17" t="str">
        <f>IFERROR(__xludf.DUMMYFUNCTION("""COMPUTED_VALUE"""),"Gagan Aggarwal")</f>
        <v>Gagan Aggarwal</v>
      </c>
      <c r="C2182" s="17" t="str">
        <f>IFERROR(__xludf.DUMMYFUNCTION("""COMPUTED_VALUE"""),"CFO")</f>
        <v>CFO</v>
      </c>
      <c r="D2182" s="27" t="str">
        <f>IFERROR(__xludf.DUMMYFUNCTION("""COMPUTED_VALUE"""),"https://www.linkedin.com/in/cagaganaggarwal/?originalSubdomain=in")</f>
        <v>https://www.linkedin.com/in/cagaganaggarwal/?originalSubdomain=in</v>
      </c>
      <c r="E2182" s="17" t="str">
        <f>IFERROR(__xludf.DUMMYFUNCTION("""COMPUTED_VALUE"""),"gagan.aggarwal@clix.capital")</f>
        <v>gagan.aggarwal@clix.capital</v>
      </c>
      <c r="F2182" s="17"/>
      <c r="G2182" s="17" t="str">
        <f>IFERROR(__xludf.DUMMYFUNCTION("""COMPUTED_VALUE"""),"cagaganaggarwal@gmail.com")</f>
        <v>cagaganaggarwal@gmail.com</v>
      </c>
      <c r="H2182" s="17"/>
    </row>
    <row r="2183">
      <c r="A2183" s="17" t="str">
        <f>IFERROR(__xludf.DUMMYFUNCTION("""COMPUTED_VALUE"""),"FINOVA CAPITAL")</f>
        <v>FINOVA CAPITAL</v>
      </c>
      <c r="B2183" s="17" t="str">
        <f>IFERROR(__xludf.DUMMYFUNCTION("""COMPUTED_VALUE"""),"Ravi Sharma")</f>
        <v>Ravi Sharma</v>
      </c>
      <c r="C2183" s="17" t="str">
        <f>IFERROR(__xludf.DUMMYFUNCTION("""COMPUTED_VALUE"""),"CFO")</f>
        <v>CFO</v>
      </c>
      <c r="D2183" s="27" t="str">
        <f>IFERROR(__xludf.DUMMYFUNCTION("""COMPUTED_VALUE"""),"https://www.linkedin.com/in/caravisharma/?originalSubdomain=in")</f>
        <v>https://www.linkedin.com/in/caravisharma/?originalSubdomain=in</v>
      </c>
      <c r="E2183" s="17" t="str">
        <f>IFERROR(__xludf.DUMMYFUNCTION("""COMPUTED_VALUE"""),"ravi@finova.in")</f>
        <v>ravi@finova.in</v>
      </c>
      <c r="F2183" s="17"/>
      <c r="G2183" s="17"/>
      <c r="H2183" s="17"/>
    </row>
    <row r="2184">
      <c r="A2184" s="17" t="str">
        <f>IFERROR(__xludf.DUMMYFUNCTION("""COMPUTED_VALUE"""),"CREDABLE")</f>
        <v>CREDABLE</v>
      </c>
      <c r="B2184" s="17" t="str">
        <f>IFERROR(__xludf.DUMMYFUNCTION("""COMPUTED_VALUE"""),"Ketan Mehta")</f>
        <v>Ketan Mehta</v>
      </c>
      <c r="C2184" s="17" t="str">
        <f>IFERROR(__xludf.DUMMYFUNCTION("""COMPUTED_VALUE"""),"CFO")</f>
        <v>CFO</v>
      </c>
      <c r="D2184" s="27" t="str">
        <f>IFERROR(__xludf.DUMMYFUNCTION("""COMPUTED_VALUE"""),"https://www.linkedin.com/in/ketan-mehta-5a462b16b/")</f>
        <v>https://www.linkedin.com/in/ketan-mehta-5a462b16b/</v>
      </c>
      <c r="E2184" s="17" t="str">
        <f>IFERROR(__xludf.DUMMYFUNCTION("""COMPUTED_VALUE"""),"ketan.mehta@credable.in")</f>
        <v>ketan.mehta@credable.in</v>
      </c>
      <c r="F2184" s="17"/>
      <c r="G2184" s="17"/>
      <c r="H2184" s="17"/>
    </row>
    <row r="2185">
      <c r="A2185" s="17" t="str">
        <f>IFERROR(__xludf.DUMMYFUNCTION("""COMPUTED_VALUE"""),"Banks")</f>
        <v>Banks</v>
      </c>
      <c r="B2185" s="17"/>
      <c r="C2185" s="17" t="str">
        <f>IFERROR(__xludf.DUMMYFUNCTION("""COMPUTED_VALUE"""),"CFO")</f>
        <v>CFO</v>
      </c>
      <c r="D2185" s="17"/>
      <c r="E2185" s="17"/>
      <c r="F2185" s="17"/>
      <c r="G2185" s="17"/>
      <c r="H2185" s="17"/>
    </row>
    <row r="2186">
      <c r="A2186" s="17" t="str">
        <f>IFERROR(__xludf.DUMMYFUNCTION("""COMPUTED_VALUE"""),"HDFC Bank")</f>
        <v>HDFC Bank</v>
      </c>
      <c r="B2186" s="17" t="str">
        <f>IFERROR(__xludf.DUMMYFUNCTION("""COMPUTED_VALUE"""),"Srinivasan Vaidyanathan")</f>
        <v>Srinivasan Vaidyanathan</v>
      </c>
      <c r="C2186" s="17" t="str">
        <f>IFERROR(__xludf.DUMMYFUNCTION("""COMPUTED_VALUE"""),"CFO")</f>
        <v>CFO</v>
      </c>
      <c r="D2186" s="27" t="str">
        <f>IFERROR(__xludf.DUMMYFUNCTION("""COMPUTED_VALUE"""),"https://www.linkedin.com/in/srinivasan-vaidyanathan-1027735/")</f>
        <v>https://www.linkedin.com/in/srinivasan-vaidyanathan-1027735/</v>
      </c>
      <c r="E2186" s="17" t="str">
        <f>IFERROR(__xludf.DUMMYFUNCTION("""COMPUTED_VALUE"""),"srini.vasan@hdfcbank.com")</f>
        <v>srini.vasan@hdfcbank.com</v>
      </c>
      <c r="F2186" s="17"/>
      <c r="G2186" s="17"/>
      <c r="H2186" s="17"/>
    </row>
    <row r="2187">
      <c r="A2187" s="17" t="str">
        <f>IFERROR(__xludf.DUMMYFUNCTION("""COMPUTED_VALUE"""),"Kotak Mahindra Bank")</f>
        <v>Kotak Mahindra Bank</v>
      </c>
      <c r="B2187" s="17" t="str">
        <f>IFERROR(__xludf.DUMMYFUNCTION("""COMPUTED_VALUE"""),"Devang Gheewalla")</f>
        <v>Devang Gheewalla</v>
      </c>
      <c r="C2187" s="17" t="str">
        <f>IFERROR(__xludf.DUMMYFUNCTION("""COMPUTED_VALUE"""),"CFO")</f>
        <v>CFO</v>
      </c>
      <c r="D2187" s="27" t="str">
        <f>IFERROR(__xludf.DUMMYFUNCTION("""COMPUTED_VALUE"""),"https://www.linkedin.com/in/devang-gheewalla-a9184a323/")</f>
        <v>https://www.linkedin.com/in/devang-gheewalla-a9184a323/</v>
      </c>
      <c r="E2187" s="17" t="str">
        <f>IFERROR(__xludf.DUMMYFUNCTION("""COMPUTED_VALUE"""),"devang.gheewalla@kotak.com")</f>
        <v>devang.gheewalla@kotak.com</v>
      </c>
      <c r="F2187" s="17"/>
      <c r="G2187" s="17"/>
      <c r="H2187" s="17"/>
    </row>
    <row r="2188">
      <c r="A2188" s="17" t="str">
        <f>IFERROR(__xludf.DUMMYFUNCTION("""COMPUTED_VALUE"""),"Punjab National Bank")</f>
        <v>Punjab National Bank</v>
      </c>
      <c r="B2188" s="17" t="str">
        <f>IFERROR(__xludf.DUMMYFUNCTION("""COMPUTED_VALUE"""),"Dilip Kumar Jain")</f>
        <v>Dilip Kumar Jain</v>
      </c>
      <c r="C2188" s="17" t="str">
        <f>IFERROR(__xludf.DUMMYFUNCTION("""COMPUTED_VALUE"""),"CFO")</f>
        <v>CFO</v>
      </c>
      <c r="D2188" s="27" t="str">
        <f>IFERROR(__xludf.DUMMYFUNCTION("""COMPUTED_VALUE"""),"https://www.linkedin.com/in/dilip-kumar-jain-3ba2bb1a5/")</f>
        <v>https://www.linkedin.com/in/dilip-kumar-jain-3ba2bb1a5/</v>
      </c>
      <c r="E2188" s="17" t="str">
        <f>IFERROR(__xludf.DUMMYFUNCTION("""COMPUTED_VALUE"""),"jaindk@pnb.co.in")</f>
        <v>jaindk@pnb.co.in</v>
      </c>
      <c r="F2188" s="17"/>
      <c r="G2188" s="17"/>
      <c r="H2188" s="17"/>
    </row>
    <row r="2189">
      <c r="A2189" s="17" t="str">
        <f>IFERROR(__xludf.DUMMYFUNCTION("""COMPUTED_VALUE"""),"Bank of Baroda")</f>
        <v>Bank of Baroda</v>
      </c>
      <c r="B2189" s="17" t="str">
        <f>IFERROR(__xludf.DUMMYFUNCTION("""COMPUTED_VALUE"""),"Debadatta Chand")</f>
        <v>Debadatta Chand</v>
      </c>
      <c r="C2189" s="17" t="str">
        <f>IFERROR(__xludf.DUMMYFUNCTION("""COMPUTED_VALUE"""),"CFO")</f>
        <v>CFO</v>
      </c>
      <c r="D2189" s="27" t="str">
        <f>IFERROR(__xludf.DUMMYFUNCTION("""COMPUTED_VALUE"""),"https://www.linkedin.com/in/dr-debadatta-chand-0208b711a/?original_referer=https%3A%2F%2Fwww.google.com%2F")</f>
        <v>https://www.linkedin.com/in/dr-debadatta-chand-0208b711a/?original_referer=https%3A%2F%2Fwww.google.com%2F</v>
      </c>
      <c r="E2189" s="17" t="str">
        <f>IFERROR(__xludf.DUMMYFUNCTION("""COMPUTED_VALUE"""),"ed.dc@bankofbaroda.com")</f>
        <v>ed.dc@bankofbaroda.com</v>
      </c>
      <c r="F2189" s="17"/>
      <c r="G2189" s="17"/>
      <c r="H2189" s="17"/>
    </row>
    <row r="2190">
      <c r="A2190" s="17" t="str">
        <f>IFERROR(__xludf.DUMMYFUNCTION("""COMPUTED_VALUE"""),"IndusInd Bank")</f>
        <v>IndusInd Bank</v>
      </c>
      <c r="B2190" s="17" t="str">
        <f>IFERROR(__xludf.DUMMYFUNCTION("""COMPUTED_VALUE"""),"Gobind Jain")</f>
        <v>Gobind Jain</v>
      </c>
      <c r="C2190" s="17" t="str">
        <f>IFERROR(__xludf.DUMMYFUNCTION("""COMPUTED_VALUE"""),"Ex-CFO")</f>
        <v>Ex-CFO</v>
      </c>
      <c r="D2190" s="27" t="str">
        <f>IFERROR(__xludf.DUMMYFUNCTION("""COMPUTED_VALUE"""),"https://www.linkedin.com/in/gobindjain/")</f>
        <v>https://www.linkedin.com/in/gobindjain/</v>
      </c>
      <c r="E2190" s="17" t="str">
        <f>IFERROR(__xludf.DUMMYFUNCTION("""COMPUTED_VALUE"""),"gobind.jain@indusind.com")</f>
        <v>gobind.jain@indusind.com</v>
      </c>
      <c r="F2190" s="17"/>
      <c r="G2190" s="17"/>
      <c r="H2190" s="17"/>
    </row>
    <row r="2191">
      <c r="A2191" s="17" t="str">
        <f>IFERROR(__xludf.DUMMYFUNCTION("""COMPUTED_VALUE"""),"Union Bank of India")</f>
        <v>Union Bank of India</v>
      </c>
      <c r="B2191" s="17" t="str">
        <f>IFERROR(__xludf.DUMMYFUNCTION("""COMPUTED_VALUE"""),"Avinash Prabhu")</f>
        <v>Avinash Prabhu</v>
      </c>
      <c r="C2191" s="17" t="str">
        <f>IFERROR(__xludf.DUMMYFUNCTION("""COMPUTED_VALUE"""),"CFO")</f>
        <v>CFO</v>
      </c>
      <c r="D2191" s="27" t="str">
        <f>IFERROR(__xludf.DUMMYFUNCTION("""COMPUTED_VALUE"""),"https://www.linkedin.com/in/avinash-prabhu-89838b49/")</f>
        <v>https://www.linkedin.com/in/avinash-prabhu-89838b49/</v>
      </c>
      <c r="E2191" s="17" t="str">
        <f>IFERROR(__xludf.DUMMYFUNCTION("""COMPUTED_VALUE"""),"avinash.prabhu@db.com")</f>
        <v>avinash.prabhu@db.com</v>
      </c>
      <c r="F2191" s="17"/>
      <c r="G2191" s="17"/>
      <c r="H2191" s="17"/>
    </row>
    <row r="2192">
      <c r="A2192" s="17" t="str">
        <f>IFERROR(__xludf.DUMMYFUNCTION("""COMPUTED_VALUE"""),"Bajaj Finance")</f>
        <v>Bajaj Finance</v>
      </c>
      <c r="B2192" s="17" t="str">
        <f>IFERROR(__xludf.DUMMYFUNCTION("""COMPUTED_VALUE"""),"Sandeep Jain")</f>
        <v>Sandeep Jain</v>
      </c>
      <c r="C2192" s="17"/>
      <c r="D2192" s="27" t="str">
        <f>IFERROR(__xludf.DUMMYFUNCTION("""COMPUTED_VALUE"""),"https://www.linkedin.com/in/sandeep-jain-80141317/")</f>
        <v>https://www.linkedin.com/in/sandeep-jain-80141317/</v>
      </c>
      <c r="E2192" s="17" t="str">
        <f>IFERROR(__xludf.DUMMYFUNCTION("""COMPUTED_VALUE"""),"casvjain@gmail.com")</f>
        <v>casvjain@gmail.com</v>
      </c>
      <c r="F2192" s="17"/>
      <c r="G2192" s="17"/>
      <c r="H2192" s="17"/>
    </row>
    <row r="2193">
      <c r="A2193" s="17" t="str">
        <f>IFERROR(__xludf.DUMMYFUNCTION("""COMPUTED_VALUE"""),"IDFC FIRST Bank")</f>
        <v>IDFC FIRST Bank</v>
      </c>
      <c r="B2193" s="17" t="str">
        <f>IFERROR(__xludf.DUMMYFUNCTION("""COMPUTED_VALUE"""),"Sudhanshu Jain")</f>
        <v>Sudhanshu Jain</v>
      </c>
      <c r="C2193" s="17" t="str">
        <f>IFERROR(__xludf.DUMMYFUNCTION("""COMPUTED_VALUE"""),"CFO")</f>
        <v>CFO</v>
      </c>
      <c r="D2193" s="27" t="str">
        <f>IFERROR(__xludf.DUMMYFUNCTION("""COMPUTED_VALUE"""),"https://www.linkedin.com/in/sudhanshu-jain-bba59634/?originalSubdomain=in")</f>
        <v>https://www.linkedin.com/in/sudhanshu-jain-bba59634/?originalSubdomain=in</v>
      </c>
      <c r="E2193" s="17" t="str">
        <f>IFERROR(__xludf.DUMMYFUNCTION("""COMPUTED_VALUE"""),"sudhanshujain79@gmail.com")</f>
        <v>sudhanshujain79@gmail.com</v>
      </c>
      <c r="F2193" s="17"/>
      <c r="G2193" s="17"/>
      <c r="H2193" s="17"/>
    </row>
    <row r="2194">
      <c r="A2194" s="17" t="str">
        <f>IFERROR(__xludf.DUMMYFUNCTION("""COMPUTED_VALUE"""),"Yes Bank")</f>
        <v>Yes Bank</v>
      </c>
      <c r="B2194" s="17" t="str">
        <f>IFERROR(__xludf.DUMMYFUNCTION("""COMPUTED_VALUE"""),"Niranjan Barodkar")</f>
        <v>Niranjan Barodkar</v>
      </c>
      <c r="C2194" s="17" t="str">
        <f>IFERROR(__xludf.DUMMYFUNCTION("""COMPUTED_VALUE"""),"CFO")</f>
        <v>CFO</v>
      </c>
      <c r="D2194" s="27" t="str">
        <f>IFERROR(__xludf.DUMMYFUNCTION("""COMPUTED_VALUE"""),"https://www.linkedin.com/in/niranjan-banodkar-a8b0666/?originalSubdomain=in")</f>
        <v>https://www.linkedin.com/in/niranjan-banodkar-a8b0666/?originalSubdomain=in</v>
      </c>
      <c r="E2194" s="17" t="str">
        <f>IFERROR(__xludf.DUMMYFUNCTION("""COMPUTED_VALUE"""),"niranjan.banodkar@yesbank.in")</f>
        <v>niranjan.banodkar@yesbank.in</v>
      </c>
      <c r="F2194" s="17"/>
      <c r="G2194" s="17"/>
      <c r="H2194" s="17"/>
    </row>
    <row r="2195">
      <c r="A2195" s="17" t="str">
        <f>IFERROR(__xludf.DUMMYFUNCTION("""COMPUTED_VALUE"""),"Federal Bank")</f>
        <v>Federal Bank</v>
      </c>
      <c r="B2195" s="17" t="str">
        <f>IFERROR(__xludf.DUMMYFUNCTION("""COMPUTED_VALUE"""),"Manian KVS")</f>
        <v>Manian KVS</v>
      </c>
      <c r="C2195" s="17" t="str">
        <f>IFERROR(__xludf.DUMMYFUNCTION("""COMPUTED_VALUE"""),"MD and CEO")</f>
        <v>MD and CEO</v>
      </c>
      <c r="D2195" s="27" t="str">
        <f>IFERROR(__xludf.DUMMYFUNCTION("""COMPUTED_VALUE"""),"http://linkedin.com/in/manian-kvs-6798b5/")</f>
        <v>http://linkedin.com/in/manian-kvs-6798b5/</v>
      </c>
      <c r="E2195" s="17" t="str">
        <f>IFERROR(__xludf.DUMMYFUNCTION("""COMPUTED_VALUE"""),"kvs.manian@federalbank.co.in")</f>
        <v>kvs.manian@federalbank.co.in</v>
      </c>
      <c r="F2195" s="17"/>
      <c r="G2195" s="17"/>
      <c r="H2195" s="17"/>
    </row>
    <row r="2196">
      <c r="A2196" s="17" t="str">
        <f>IFERROR(__xludf.DUMMYFUNCTION("""COMPUTED_VALUE"""),"Manappuram Finance")</f>
        <v>Manappuram Finance</v>
      </c>
      <c r="B2196" s="17" t="str">
        <f>IFERROR(__xludf.DUMMYFUNCTION("""COMPUTED_VALUE"""),"Nandakumar")</f>
        <v>Nandakumar</v>
      </c>
      <c r="C2196" s="17" t="str">
        <f>IFERROR(__xludf.DUMMYFUNCTION("""COMPUTED_VALUE"""),"MD and CEO")</f>
        <v>MD and CEO</v>
      </c>
      <c r="D2196" s="27" t="str">
        <f>IFERROR(__xludf.DUMMYFUNCTION("""COMPUTED_VALUE"""),"https://www.linkedin.com/in/v-p-nandakumar/?originalSubdomain=in")</f>
        <v>https://www.linkedin.com/in/v-p-nandakumar/?originalSubdomain=in</v>
      </c>
      <c r="E2196" s="17" t="str">
        <f>IFERROR(__xludf.DUMMYFUNCTION("""COMPUTED_VALUE"""),"chairman@manappuram.com")</f>
        <v>chairman@manappuram.com</v>
      </c>
      <c r="F2196" s="17"/>
      <c r="G2196" s="17"/>
      <c r="H2196" s="17"/>
    </row>
    <row r="2197">
      <c r="A2197" s="17" t="str">
        <f>IFERROR(__xludf.DUMMYFUNCTION("""COMPUTED_VALUE"""),"Shriram Finance")</f>
        <v>Shriram Finance</v>
      </c>
      <c r="B2197" s="17"/>
      <c r="C2197" s="17"/>
      <c r="D2197" s="17"/>
      <c r="E2197" s="17"/>
      <c r="F2197" s="17"/>
      <c r="G2197" s="17"/>
      <c r="H2197" s="17"/>
    </row>
    <row r="2198">
      <c r="A2198" s="17" t="str">
        <f>IFERROR(__xludf.DUMMYFUNCTION("""COMPUTED_VALUE"""),"Piramal Enterprises")</f>
        <v>Piramal Enterprises</v>
      </c>
      <c r="B2198" s="17"/>
      <c r="C2198" s="17"/>
      <c r="D2198" s="17"/>
      <c r="E2198" s="17"/>
      <c r="F2198" s="17"/>
      <c r="G2198" s="17"/>
      <c r="H2198" s="17"/>
    </row>
    <row r="2199">
      <c r="A2199" s="17" t="str">
        <f>IFERROR(__xludf.DUMMYFUNCTION("""COMPUTED_VALUE"""),"LIC")</f>
        <v>LIC</v>
      </c>
      <c r="B2199" s="17"/>
      <c r="C2199" s="17"/>
      <c r="D2199" s="17"/>
      <c r="E2199" s="17"/>
      <c r="F2199" s="17"/>
      <c r="G2199" s="17"/>
      <c r="H2199" s="17"/>
    </row>
    <row r="2200">
      <c r="A2200" s="17" t="str">
        <f>IFERROR(__xludf.DUMMYFUNCTION("""COMPUTED_VALUE"""),"SBI Life Insurance")</f>
        <v>SBI Life Insurance</v>
      </c>
      <c r="B2200" s="17" t="str">
        <f>IFERROR(__xludf.DUMMYFUNCTION("""COMPUTED_VALUE"""),"Sagramjit Sarangi")</f>
        <v>Sagramjit Sarangi</v>
      </c>
      <c r="C2200" s="17" t="str">
        <f>IFERROR(__xludf.DUMMYFUNCTION("""COMPUTED_VALUE"""),"President and CFO")</f>
        <v>President and CFO</v>
      </c>
      <c r="D2200" s="27" t="str">
        <f>IFERROR(__xludf.DUMMYFUNCTION("""COMPUTED_VALUE"""),"https://www.linkedin.com/in/sangramjit-sarangi-0b762462/?originalSubdomain=in")</f>
        <v>https://www.linkedin.com/in/sangramjit-sarangi-0b762462/?originalSubdomain=in</v>
      </c>
      <c r="E2200" s="17" t="str">
        <f>IFERROR(__xludf.DUMMYFUNCTION("""COMPUTED_VALUE"""),"sangramjit.sarangi@sbilife.co.in")</f>
        <v>sangramjit.sarangi@sbilife.co.in</v>
      </c>
      <c r="F2200" s="17"/>
      <c r="G2200" s="17"/>
      <c r="H2200" s="17"/>
    </row>
    <row r="2201">
      <c r="A2201" s="17" t="str">
        <f>IFERROR(__xludf.DUMMYFUNCTION("""COMPUTED_VALUE"""),"Company name ")</f>
        <v>Company name </v>
      </c>
      <c r="B2201" s="17" t="str">
        <f>IFERROR(__xludf.DUMMYFUNCTION("""COMPUTED_VALUE"""),"Name")</f>
        <v>Name</v>
      </c>
      <c r="C2201" s="17" t="str">
        <f>IFERROR(__xludf.DUMMYFUNCTION("""COMPUTED_VALUE"""),"Designation")</f>
        <v>Designation</v>
      </c>
      <c r="D2201" s="17" t="str">
        <f>IFERROR(__xludf.DUMMYFUNCTION("""COMPUTED_VALUE"""),"Linkedin ID")</f>
        <v>Linkedin ID</v>
      </c>
      <c r="E2201" s="17" t="str">
        <f>IFERROR(__xludf.DUMMYFUNCTION("""COMPUTED_VALUE"""),"Contact No.")</f>
        <v>Contact No.</v>
      </c>
      <c r="F2201" s="17" t="str">
        <f>IFERROR(__xludf.DUMMYFUNCTION("""COMPUTED_VALUE"""),"Email")</f>
        <v>Email</v>
      </c>
      <c r="G2201" s="17" t="str">
        <f>IFERROR(__xludf.DUMMYFUNCTION("""COMPUTED_VALUE"""),"Email 2")</f>
        <v>Email 2</v>
      </c>
      <c r="H2201" s="17"/>
    </row>
    <row r="2202">
      <c r="A2202" s="17" t="str">
        <f>IFERROR(__xludf.DUMMYFUNCTION("""COMPUTED_VALUE"""),"Flipkart")</f>
        <v>Flipkart</v>
      </c>
      <c r="B2202" s="17" t="str">
        <f>IFERROR(__xludf.DUMMYFUNCTION("""COMPUTED_VALUE"""),"Pratik Shetty")</f>
        <v>Pratik Shetty</v>
      </c>
      <c r="C2202" s="17" t="str">
        <f>IFERROR(__xludf.DUMMYFUNCTION("""COMPUTED_VALUE"""),"CMO")</f>
        <v>CMO</v>
      </c>
      <c r="D2202" s="27" t="str">
        <f>IFERROR(__xludf.DUMMYFUNCTION("""COMPUTED_VALUE"""),"http://linkedin.com/in/pratikshetty/?originalSubdomain=in")</f>
        <v>http://linkedin.com/in/pratikshetty/?originalSubdomain=in</v>
      </c>
      <c r="E2202" s="17" t="str">
        <f>IFERROR(__xludf.DUMMYFUNCTION("""COMPUTED_VALUE"""),"919769472294")</f>
        <v>919769472294</v>
      </c>
      <c r="F2202" s="17" t="str">
        <f>IFERROR(__xludf.DUMMYFUNCTION("""COMPUTED_VALUE"""),"pratikshetty@gmail.com")</f>
        <v>pratikshetty@gmail.com</v>
      </c>
      <c r="G2202" s="17"/>
      <c r="H2202" s="17"/>
    </row>
    <row r="2203">
      <c r="A2203" s="17" t="str">
        <f>IFERROR(__xludf.DUMMYFUNCTION("""COMPUTED_VALUE"""),"Swiggy")</f>
        <v>Swiggy</v>
      </c>
      <c r="B2203" s="17" t="str">
        <f>IFERROR(__xludf.DUMMYFUNCTION("""COMPUTED_VALUE"""),"Abhishek Shetty")</f>
        <v>Abhishek Shetty</v>
      </c>
      <c r="C2203" s="17" t="str">
        <f>IFERROR(__xludf.DUMMYFUNCTION("""COMPUTED_VALUE"""),"CMO")</f>
        <v>CMO</v>
      </c>
      <c r="D2203" s="27" t="str">
        <f>IFERROR(__xludf.DUMMYFUNCTION("""COMPUTED_VALUE"""),"https://www.linkedin.com/in/abhishekshettyisb/?originalSubdomain=in")</f>
        <v>https://www.linkedin.com/in/abhishekshettyisb/?originalSubdomain=in</v>
      </c>
      <c r="E2203" s="17" t="str">
        <f>IFERROR(__xludf.DUMMYFUNCTION("""COMPUTED_VALUE"""),"919930144759")</f>
        <v>919930144759</v>
      </c>
      <c r="F2203" s="17" t="str">
        <f>IFERROR(__xludf.DUMMYFUNCTION("""COMPUTED_VALUE"""),"abhi10486@gmail.com")</f>
        <v>abhi10486@gmail.com</v>
      </c>
      <c r="G2203" s="17"/>
      <c r="H2203" s="17"/>
    </row>
    <row r="2204">
      <c r="A2204" s="17" t="str">
        <f>IFERROR(__xludf.DUMMYFUNCTION("""COMPUTED_VALUE"""),"Zomato")</f>
        <v>Zomato</v>
      </c>
      <c r="B2204" s="17" t="str">
        <f>IFERROR(__xludf.DUMMYFUNCTION("""COMPUTED_VALUE"""),"Sahibjeet Singh Sawhney")</f>
        <v>Sahibjeet Singh Sawhney</v>
      </c>
      <c r="C2204" s="17" t="str">
        <f>IFERROR(__xludf.DUMMYFUNCTION("""COMPUTED_VALUE"""),"CMO")</f>
        <v>CMO</v>
      </c>
      <c r="D2204" s="27" t="str">
        <f>IFERROR(__xludf.DUMMYFUNCTION("""COMPUTED_VALUE"""),"https://www.linkedin.com/in/sahibjeet-singh-sawhney/?originalSubdomain=in")</f>
        <v>https://www.linkedin.com/in/sahibjeet-singh-sawhney/?originalSubdomain=in</v>
      </c>
      <c r="E2204" s="17" t="str">
        <f>IFERROR(__xludf.DUMMYFUNCTION("""COMPUTED_VALUE"""),"74117 08490")</f>
        <v>74117 08490</v>
      </c>
      <c r="F2204" s="17" t="str">
        <f>IFERROR(__xludf.DUMMYFUNCTION("""COMPUTED_VALUE"""),"sahib@zomato.com")</f>
        <v>sahib@zomato.com</v>
      </c>
      <c r="G2204" s="17" t="str">
        <f>IFERROR(__xludf.DUMMYFUNCTION("""COMPUTED_VALUE"""),"sahibjeetsawhney@gmail.com")</f>
        <v>sahibjeetsawhney@gmail.com</v>
      </c>
      <c r="H2204" s="17"/>
    </row>
    <row r="2205">
      <c r="A2205" s="17" t="str">
        <f>IFERROR(__xludf.DUMMYFUNCTION("""COMPUTED_VALUE"""),"Dream11")</f>
        <v>Dream11</v>
      </c>
      <c r="B2205" s="17" t="str">
        <f>IFERROR(__xludf.DUMMYFUNCTION("""COMPUTED_VALUE"""),"Vikrant Mudaliar")</f>
        <v>Vikrant Mudaliar</v>
      </c>
      <c r="C2205" s="17" t="str">
        <f>IFERROR(__xludf.DUMMYFUNCTION("""COMPUTED_VALUE"""),"CMO")</f>
        <v>CMO</v>
      </c>
      <c r="D2205" s="27" t="str">
        <f>IFERROR(__xludf.DUMMYFUNCTION("""COMPUTED_VALUE"""),"https://www.linkedin.com/in/vikrantmudaliar/?originalSubdomain=in")</f>
        <v>https://www.linkedin.com/in/vikrantmudaliar/?originalSubdomain=in</v>
      </c>
      <c r="E2205" s="17" t="str">
        <f>IFERROR(__xludf.DUMMYFUNCTION("""COMPUTED_VALUE"""),"98115 22997")</f>
        <v>98115 22997</v>
      </c>
      <c r="F2205" s="17" t="str">
        <f>IFERROR(__xludf.DUMMYFUNCTION("""COMPUTED_VALUE"""),"vikrant@dream11.com")</f>
        <v>vikrant@dream11.com</v>
      </c>
      <c r="G2205" s="17"/>
      <c r="H2205" s="17"/>
    </row>
    <row r="2206">
      <c r="A2206" s="17" t="str">
        <f>IFERROR(__xludf.DUMMYFUNCTION("""COMPUTED_VALUE"""),"CoinDCX")</f>
        <v>CoinDCX</v>
      </c>
      <c r="B2206" s="17" t="str">
        <f>IFERROR(__xludf.DUMMYFUNCTION("""COMPUTED_VALUE"""),"Prashant Verma")</f>
        <v>Prashant Verma</v>
      </c>
      <c r="C2206" s="17" t="str">
        <f>IFERROR(__xludf.DUMMYFUNCTION("""COMPUTED_VALUE"""),"CMO")</f>
        <v>CMO</v>
      </c>
      <c r="D2206" s="27" t="str">
        <f>IFERROR(__xludf.DUMMYFUNCTION("""COMPUTED_VALUE"""),"https://www.linkedin.com/in/5prashantv/?originalSubdomain=in")</f>
        <v>https://www.linkedin.com/in/5prashantv/?originalSubdomain=in</v>
      </c>
      <c r="E2206" s="17" t="str">
        <f>IFERROR(__xludf.DUMMYFUNCTION("""COMPUTED_VALUE"""),"919920053120")</f>
        <v>919920053120</v>
      </c>
      <c r="F2206" s="17" t="str">
        <f>IFERROR(__xludf.DUMMYFUNCTION("""COMPUTED_VALUE"""),"prashant.verma@coindcx.com")</f>
        <v>prashant.verma@coindcx.com</v>
      </c>
      <c r="G2206" s="17" t="str">
        <f>IFERROR(__xludf.DUMMYFUNCTION("""COMPUTED_VALUE"""),"5prashantv@iima.ac.in")</f>
        <v>5prashantv@iima.ac.in</v>
      </c>
      <c r="H2206" s="17"/>
    </row>
    <row r="2207">
      <c r="A2207" s="17" t="str">
        <f>IFERROR(__xludf.DUMMYFUNCTION("""COMPUTED_VALUE"""),"PhonePe")</f>
        <v>PhonePe</v>
      </c>
      <c r="B2207" s="17" t="str">
        <f>IFERROR(__xludf.DUMMYFUNCTION("""COMPUTED_VALUE"""),"Amit Doshi")</f>
        <v>Amit Doshi</v>
      </c>
      <c r="C2207" s="17" t="str">
        <f>IFERROR(__xludf.DUMMYFUNCTION("""COMPUTED_VALUE"""),"CMO")</f>
        <v>CMO</v>
      </c>
      <c r="D2207" s="27" t="str">
        <f>IFERROR(__xludf.DUMMYFUNCTION("""COMPUTED_VALUE"""),"https://www.linkedin.com/in/doshiamitk/?originalSubdomain=in")</f>
        <v>https://www.linkedin.com/in/doshiamitk/?originalSubdomain=in</v>
      </c>
      <c r="E2207" s="17" t="str">
        <f>IFERROR(__xludf.DUMMYFUNCTION("""COMPUTED_VALUE"""),"919900151285")</f>
        <v>919900151285</v>
      </c>
      <c r="F2207" s="17" t="str">
        <f>IFERROR(__xludf.DUMMYFUNCTION("""COMPUTED_VALUE"""),"amit.doshi@phonepe.com")</f>
        <v>amit.doshi@phonepe.com</v>
      </c>
      <c r="G2207" s="17" t="str">
        <f>IFERROR(__xludf.DUMMYFUNCTION("""COMPUTED_VALUE"""),"amitdoshiin@gmail.com")</f>
        <v>amitdoshiin@gmail.com</v>
      </c>
      <c r="H2207" s="17"/>
    </row>
    <row r="2208">
      <c r="A2208" s="17" t="str">
        <f>IFERROR(__xludf.DUMMYFUNCTION("""COMPUTED_VALUE"""),"Paytm")</f>
        <v>Paytm</v>
      </c>
      <c r="B2208" s="17" t="str">
        <f>IFERROR(__xludf.DUMMYFUNCTION("""COMPUTED_VALUE"""),"Sidharth Shakdher")</f>
        <v>Sidharth Shakdher</v>
      </c>
      <c r="C2208" s="17" t="str">
        <f>IFERROR(__xludf.DUMMYFUNCTION("""COMPUTED_VALUE"""),"CMO")</f>
        <v>CMO</v>
      </c>
      <c r="D2208" s="27" t="str">
        <f>IFERROR(__xludf.DUMMYFUNCTION("""COMPUTED_VALUE"""),"https://www.linkedin.com/in/sidharths/")</f>
        <v>https://www.linkedin.com/in/sidharths/</v>
      </c>
      <c r="E2208" s="17"/>
      <c r="F2208" s="17" t="str">
        <f>IFERROR(__xludf.DUMMYFUNCTION("""COMPUTED_VALUE"""),"sidharth.shakdher@paytm.com")</f>
        <v>sidharth.shakdher@paytm.com</v>
      </c>
      <c r="G2208" s="17"/>
      <c r="H2208" s="17"/>
    </row>
    <row r="2209">
      <c r="A2209" s="17" t="str">
        <f>IFERROR(__xludf.DUMMYFUNCTION("""COMPUTED_VALUE"""),"Unacademy")</f>
        <v>Unacademy</v>
      </c>
      <c r="B2209" s="17" t="str">
        <f>IFERROR(__xludf.DUMMYFUNCTION("""COMPUTED_VALUE"""),"Shweta Sivasankaran")</f>
        <v>Shweta Sivasankaran</v>
      </c>
      <c r="C2209" s="17" t="str">
        <f>IFERROR(__xludf.DUMMYFUNCTION("""COMPUTED_VALUE"""),"Vice President of Marketing")</f>
        <v>Vice President of Marketing</v>
      </c>
      <c r="D2209" s="27" t="str">
        <f>IFERROR(__xludf.DUMMYFUNCTION("""COMPUTED_VALUE"""),"https://www.linkedin.com/in/shweta-sivasankaran-3a03315b/overlay/contact-info/?lipi=urn%3Ali%3Apage%3Ad_flagship3_profile_view_base%3BELglE6XHRuSd1iOV0sf7DA%3D%3D")</f>
        <v>https://www.linkedin.com/in/shweta-sivasankaran-3a03315b/overlay/contact-info/?lipi=urn%3Ali%3Apage%3Ad_flagship3_profile_view_base%3BELglE6XHRuSd1iOV0sf7DA%3D%3D</v>
      </c>
      <c r="E2209" s="17" t="str">
        <f>IFERROR(__xludf.DUMMYFUNCTION("""COMPUTED_VALUE"""),"919703183225")</f>
        <v>919703183225</v>
      </c>
      <c r="F2209" s="17" t="str">
        <f>IFERROR(__xludf.DUMMYFUNCTION("""COMPUTED_VALUE"""),"shwetasivasankaran@gmail.com, shweta.sivasankaran@unacademy.com")</f>
        <v>shwetasivasankaran@gmail.com, shweta.sivasankaran@unacademy.com</v>
      </c>
      <c r="G2209" s="17"/>
      <c r="H2209" s="17"/>
    </row>
    <row r="2210">
      <c r="A2210" s="17" t="str">
        <f>IFERROR(__xludf.DUMMYFUNCTION("""COMPUTED_VALUE"""),"Mamaearth")</f>
        <v>Mamaearth</v>
      </c>
      <c r="B2210" s="17" t="str">
        <f>IFERROR(__xludf.DUMMYFUNCTION("""COMPUTED_VALUE"""),"Anuja Mishra")</f>
        <v>Anuja Mishra</v>
      </c>
      <c r="C2210" s="17" t="str">
        <f>IFERROR(__xludf.DUMMYFUNCTION("""COMPUTED_VALUE"""),"CMO")</f>
        <v>CMO</v>
      </c>
      <c r="D2210" s="17"/>
      <c r="E2210" s="17"/>
      <c r="F2210" s="17"/>
      <c r="G2210" s="17"/>
      <c r="H2210" s="17"/>
    </row>
    <row r="2211">
      <c r="A2211" s="17" t="str">
        <f>IFERROR(__xludf.DUMMYFUNCTION("""COMPUTED_VALUE"""),"PhysicsWallah")</f>
        <v>PhysicsWallah</v>
      </c>
      <c r="B2211" s="17" t="str">
        <f>IFERROR(__xludf.DUMMYFUNCTION("""COMPUTED_VALUE"""),"Satish Sharma")</f>
        <v>Satish Sharma</v>
      </c>
      <c r="C2211" s="17" t="str">
        <f>IFERROR(__xludf.DUMMYFUNCTION("""COMPUTED_VALUE"""),"CMO")</f>
        <v>CMO</v>
      </c>
      <c r="D2211" s="27" t="str">
        <f>IFERROR(__xludf.DUMMYFUNCTION("""COMPUTED_VALUE"""),"https://www.linkedin.com/in/satishsharmafromunyscape/?originalSubdomain=in")</f>
        <v>https://www.linkedin.com/in/satishsharmafromunyscape/?originalSubdomain=in</v>
      </c>
      <c r="E2211" s="17" t="str">
        <f>IFERROR(__xludf.DUMMYFUNCTION("""COMPUTED_VALUE"""),"919810411046")</f>
        <v>919810411046</v>
      </c>
      <c r="F2211" s="17" t="str">
        <f>IFERROR(__xludf.DUMMYFUNCTION("""COMPUTED_VALUE"""),"satish.sharma@pw.live")</f>
        <v>satish.sharma@pw.live</v>
      </c>
      <c r="G2211" s="17" t="str">
        <f>IFERROR(__xludf.DUMMYFUNCTION("""COMPUTED_VALUE"""),"satsha1977@gmail.com")</f>
        <v>satsha1977@gmail.com</v>
      </c>
      <c r="H2211" s="17"/>
    </row>
    <row r="2212">
      <c r="A2212" s="17" t="str">
        <f>IFERROR(__xludf.DUMMYFUNCTION("""COMPUTED_VALUE"""),"Zepto")</f>
        <v>Zepto</v>
      </c>
      <c r="B2212" s="17" t="str">
        <f>IFERROR(__xludf.DUMMYFUNCTION("""COMPUTED_VALUE"""),"Chandan Mendiratta")</f>
        <v>Chandan Mendiratta</v>
      </c>
      <c r="C2212" s="17" t="str">
        <f>IFERROR(__xludf.DUMMYFUNCTION("""COMPUTED_VALUE"""),"Chief Brand Officer")</f>
        <v>Chief Brand Officer</v>
      </c>
      <c r="D2212" s="27" t="str">
        <f>IFERROR(__xludf.DUMMYFUNCTION("""COMPUTED_VALUE"""),"https://www.linkedin.com/in/cmendi/?originalSubdomain=in")</f>
        <v>https://www.linkedin.com/in/cmendi/?originalSubdomain=in</v>
      </c>
      <c r="E2212" s="17" t="str">
        <f>IFERROR(__xludf.DUMMYFUNCTION("""COMPUTED_VALUE"""),"98183 63688")</f>
        <v>98183 63688</v>
      </c>
      <c r="F2212" s="17" t="str">
        <f>IFERROR(__xludf.DUMMYFUNCTION("""COMPUTED_VALUE"""),"chandan@zeptonow.com")</f>
        <v>chandan@zeptonow.com</v>
      </c>
      <c r="G2212" s="17"/>
      <c r="H2212" s="17"/>
    </row>
    <row r="2213">
      <c r="A2213" s="17" t="str">
        <f>IFERROR(__xludf.DUMMYFUNCTION("""COMPUTED_VALUE"""),"Digit Insurance")</f>
        <v>Digit Insurance</v>
      </c>
      <c r="B2213" s="17" t="str">
        <f>IFERROR(__xludf.DUMMYFUNCTION("""COMPUTED_VALUE"""),"Vivek Chaturvedi")</f>
        <v>Vivek Chaturvedi</v>
      </c>
      <c r="C2213" s="17" t="str">
        <f>IFERROR(__xludf.DUMMYFUNCTION("""COMPUTED_VALUE"""),"CMO")</f>
        <v>CMO</v>
      </c>
      <c r="D2213" s="27" t="str">
        <f>IFERROR(__xludf.DUMMYFUNCTION("""COMPUTED_VALUE"""),"https://www.linkedin.com/in/vivekchaturvedi17/?originalSubdomain=in")</f>
        <v>https://www.linkedin.com/in/vivekchaturvedi17/?originalSubdomain=in</v>
      </c>
      <c r="E2213" s="17"/>
      <c r="F2213" s="17" t="str">
        <f>IFERROR(__xludf.DUMMYFUNCTION("""COMPUTED_VALUE"""),"vivek.chaturvedi@godigit.com")</f>
        <v>vivek.chaturvedi@godigit.com</v>
      </c>
      <c r="G2213" s="17"/>
      <c r="H2213" s="17"/>
    </row>
    <row r="2214">
      <c r="A2214" s="17" t="str">
        <f>IFERROR(__xludf.DUMMYFUNCTION("""COMPUTED_VALUE"""),"Acko")</f>
        <v>Acko</v>
      </c>
      <c r="B2214" s="17" t="str">
        <f>IFERROR(__xludf.DUMMYFUNCTION("""COMPUTED_VALUE"""),"Ashish Mishra")</f>
        <v>Ashish Mishra</v>
      </c>
      <c r="C2214" s="17" t="str">
        <f>IFERROR(__xludf.DUMMYFUNCTION("""COMPUTED_VALUE"""),"CMO")</f>
        <v>CMO</v>
      </c>
      <c r="D2214" s="27" t="str">
        <f>IFERROR(__xludf.DUMMYFUNCTION("""COMPUTED_VALUE"""),"https://www.linkedin.com/in/ashish-mishra-mktgathsbc/?originalSubdomain=in")</f>
        <v>https://www.linkedin.com/in/ashish-mishra-mktgathsbc/?originalSubdomain=in</v>
      </c>
      <c r="E2214" s="17"/>
      <c r="F2214" s="17" t="str">
        <f>IFERROR(__xludf.DUMMYFUNCTION("""COMPUTED_VALUE"""),"ashish.mishra@acko.tech")</f>
        <v>ashish.mishra@acko.tech</v>
      </c>
      <c r="G2214" s="17" t="str">
        <f>IFERROR(__xludf.DUMMYFUNCTION("""COMPUTED_VALUE"""),"ashish.mishra14@gmail.com")</f>
        <v>ashish.mishra14@gmail.com</v>
      </c>
      <c r="H2214" s="17"/>
    </row>
    <row r="2215">
      <c r="A2215" s="17" t="str">
        <f>IFERROR(__xludf.DUMMYFUNCTION("""COMPUTED_VALUE"""),"Urban Company")</f>
        <v>Urban Company</v>
      </c>
      <c r="B2215" s="17" t="str">
        <f>IFERROR(__xludf.DUMMYFUNCTION("""COMPUTED_VALUE"""),"Rahul Teotia")</f>
        <v>Rahul Teotia</v>
      </c>
      <c r="C2215" s="17" t="str">
        <f>IFERROR(__xludf.DUMMYFUNCTION("""COMPUTED_VALUE"""),"CMO")</f>
        <v>CMO</v>
      </c>
      <c r="D2215" s="27" t="str">
        <f>IFERROR(__xludf.DUMMYFUNCTION("""COMPUTED_VALUE"""),"https://www.linkedin.com/in/rahul-teotia-48520413/?originalSubdomain=in")</f>
        <v>https://www.linkedin.com/in/rahul-teotia-48520413/?originalSubdomain=in</v>
      </c>
      <c r="E2215" s="17"/>
      <c r="F2215" s="17" t="str">
        <f>IFERROR(__xludf.DUMMYFUNCTION("""COMPUTED_VALUE"""),"rahulteotia@urbancompany.com")</f>
        <v>rahulteotia@urbancompany.com</v>
      </c>
      <c r="G2215" s="17" t="str">
        <f>IFERROR(__xludf.DUMMYFUNCTION("""COMPUTED_VALUE"""),"teodce@gmail.com")</f>
        <v>teodce@gmail.com</v>
      </c>
      <c r="H2215" s="17"/>
    </row>
    <row r="2216">
      <c r="A2216" s="17" t="str">
        <f>IFERROR(__xludf.DUMMYFUNCTION("""COMPUTED_VALUE"""),"Info Edge (Naukri/JeevanSathi)")</f>
        <v>Info Edge (Naukri/JeevanSathi)</v>
      </c>
      <c r="B2216" s="17" t="str">
        <f>IFERROR(__xludf.DUMMYFUNCTION("""COMPUTED_VALUE"""),"Sumeet Singh")</f>
        <v>Sumeet Singh</v>
      </c>
      <c r="C2216" s="17" t="str">
        <f>IFERROR(__xludf.DUMMYFUNCTION("""COMPUTED_VALUE"""),"CMO")</f>
        <v>CMO</v>
      </c>
      <c r="D2216" s="27" t="str">
        <f>IFERROR(__xludf.DUMMYFUNCTION("""COMPUTED_VALUE"""),"https://www.linkedin.com/in/sumeet-singh-99bb103/?originalSubdomain=in")</f>
        <v>https://www.linkedin.com/in/sumeet-singh-99bb103/?originalSubdomain=in</v>
      </c>
      <c r="E2216" s="17"/>
      <c r="F2216" s="17" t="str">
        <f>IFERROR(__xludf.DUMMYFUNCTION("""COMPUTED_VALUE"""),"sumeet.singh@infoedge.com")</f>
        <v>sumeet.singh@infoedge.com</v>
      </c>
      <c r="G2216" s="17"/>
      <c r="H2216" s="17"/>
    </row>
    <row r="2217">
      <c r="A2217" s="17" t="str">
        <f>IFERROR(__xludf.DUMMYFUNCTION("""COMPUTED_VALUE"""),"upGrad")</f>
        <v>upGrad</v>
      </c>
      <c r="B2217" s="17" t="str">
        <f>IFERROR(__xludf.DUMMYFUNCTION("""COMPUTED_VALUE"""),"Mayank Kumar")</f>
        <v>Mayank Kumar</v>
      </c>
      <c r="C2217" s="17" t="str">
        <f>IFERROR(__xludf.DUMMYFUNCTION("""COMPUTED_VALUE"""),"CMO")</f>
        <v>CMO</v>
      </c>
      <c r="D2217" s="27" t="str">
        <f>IFERROR(__xludf.DUMMYFUNCTION("""COMPUTED_VALUE"""),"https://www.linkedin.com/in/mayank-kumar-5573243/?originalSubdomain=in")</f>
        <v>https://www.linkedin.com/in/mayank-kumar-5573243/?originalSubdomain=in</v>
      </c>
      <c r="E2217" s="17"/>
      <c r="F2217" s="17" t="str">
        <f>IFERROR(__xludf.DUMMYFUNCTION("""COMPUTED_VALUE"""),"mayank@upgrad.com")</f>
        <v>mayank@upgrad.com</v>
      </c>
      <c r="G2217" s="17" t="str">
        <f>IFERROR(__xludf.DUMMYFUNCTION("""COMPUTED_VALUE"""),"mayank_kmr@yahoo.com")</f>
        <v>mayank_kmr@yahoo.com</v>
      </c>
      <c r="H2217" s="17"/>
    </row>
    <row r="2218">
      <c r="A2218" s="17" t="str">
        <f>IFERROR(__xludf.DUMMYFUNCTION("""COMPUTED_VALUE"""),"Meesho")</f>
        <v>Meesho</v>
      </c>
      <c r="B2218" s="17" t="str">
        <f>IFERROR(__xludf.DUMMYFUNCTION("""COMPUTED_VALUE"""),"Megha Agarwal")</f>
        <v>Megha Agarwal</v>
      </c>
      <c r="C2218" s="17" t="str">
        <f>IFERROR(__xludf.DUMMYFUNCTION("""COMPUTED_VALUE"""),"CMO")</f>
        <v>CMO</v>
      </c>
      <c r="D2218" s="17"/>
      <c r="E2218" s="17"/>
      <c r="F2218" s="17"/>
      <c r="G2218" s="17"/>
      <c r="H2218" s="17"/>
    </row>
    <row r="2219">
      <c r="A2219" s="17" t="str">
        <f>IFERROR(__xludf.DUMMYFUNCTION("""COMPUTED_VALUE"""),"Byju's")</f>
        <v>Byju's</v>
      </c>
      <c r="B2219" s="17" t="str">
        <f>IFERROR(__xludf.DUMMYFUNCTION("""COMPUTED_VALUE"""),"Zeenat Khan")</f>
        <v>Zeenat Khan</v>
      </c>
      <c r="C2219" s="17" t="str">
        <f>IFERROR(__xludf.DUMMYFUNCTION("""COMPUTED_VALUE"""),"Marketing Director")</f>
        <v>Marketing Director</v>
      </c>
      <c r="D2219" s="27" t="str">
        <f>IFERROR(__xludf.DUMMYFUNCTION("""COMPUTED_VALUE"""),"https://www.linkedin.com/in/zeenat-khan-b83491239/overlay/contact-info/?lipi=urn%3Ali%3Apage%3Ad_flagship3_profile_view_base%3Br0Tg0z%2BvSS2zuWWAGDZEzA%3D%3D")</f>
        <v>https://www.linkedin.com/in/zeenat-khan-b83491239/overlay/contact-info/?lipi=urn%3Ali%3Apage%3Ad_flagship3_profile_view_base%3Br0Tg0z%2BvSS2zuWWAGDZEzA%3D%3D</v>
      </c>
      <c r="E2219" s="17"/>
      <c r="F2219" s="17" t="str">
        <f>IFERROR(__xludf.DUMMYFUNCTION("""COMPUTED_VALUE"""),"zeenat.khan@byjus.com, zeenat.khan0093@outlook.com")</f>
        <v>zeenat.khan@byjus.com, zeenat.khan0093@outlook.com</v>
      </c>
      <c r="G2219" s="17"/>
      <c r="H2219" s="17"/>
    </row>
    <row r="2220">
      <c r="A2220" s="17" t="str">
        <f>IFERROR(__xludf.DUMMYFUNCTION("""COMPUTED_VALUE"""),"Ather")</f>
        <v>Ather</v>
      </c>
      <c r="B2220" s="17" t="str">
        <f>IFERROR(__xludf.DUMMYFUNCTION("""COMPUTED_VALUE"""),"Saurabh Sharma")</f>
        <v>Saurabh Sharma</v>
      </c>
      <c r="C2220" s="17" t="str">
        <f>IFERROR(__xludf.DUMMYFUNCTION("""COMPUTED_VALUE"""),"Head of Marketing")</f>
        <v>Head of Marketing</v>
      </c>
      <c r="D2220" s="27" t="str">
        <f>IFERROR(__xludf.DUMMYFUNCTION("""COMPUTED_VALUE"""),"https://www.linkedin.com/in/saurabh-sharma-9b9b2715?utm_source=share&amp;utm_campaign=share_via&amp;utm_content=profile&amp;utm_medium=android_app")</f>
        <v>https://www.linkedin.com/in/saurabh-sharma-9b9b2715?utm_source=share&amp;utm_campaign=share_via&amp;utm_content=profile&amp;utm_medium=android_app</v>
      </c>
      <c r="E2220" s="17" t="str">
        <f>IFERROR(__xludf.DUMMYFUNCTION("""COMPUTED_VALUE"""),"96992 91270")</f>
        <v>96992 91270</v>
      </c>
      <c r="F2220" s="17" t="str">
        <f>IFERROR(__xludf.DUMMYFUNCTION("""COMPUTED_VALUE"""),"saurabh.sharma@atherenergy.com")</f>
        <v>saurabh.sharma@atherenergy.com</v>
      </c>
      <c r="G2220" s="17"/>
      <c r="H2220" s="17"/>
    </row>
    <row r="2221">
      <c r="A2221" s="17" t="str">
        <f>IFERROR(__xludf.DUMMYFUNCTION("""COMPUTED_VALUE"""),"InCred")</f>
        <v>InCred</v>
      </c>
      <c r="B2221" s="17" t="str">
        <f>IFERROR(__xludf.DUMMYFUNCTION("""COMPUTED_VALUE"""),"Radhika Zingade Bhattacharya")</f>
        <v>Radhika Zingade Bhattacharya</v>
      </c>
      <c r="C2221" s="17" t="str">
        <f>IFERROR(__xludf.DUMMYFUNCTION("""COMPUTED_VALUE"""),"Group Marketing Head")</f>
        <v>Group Marketing Head</v>
      </c>
      <c r="D2221" s="27" t="str">
        <f>IFERROR(__xludf.DUMMYFUNCTION("""COMPUTED_VALUE"""),"https://www.linkedin.com/in/radhikaz?utm_source=share&amp;utm_campaign=share_via&amp;utm_content=profile&amp;utm_medium=android_app")</f>
        <v>https://www.linkedin.com/in/radhikaz?utm_source=share&amp;utm_campaign=share_via&amp;utm_content=profile&amp;utm_medium=android_app</v>
      </c>
      <c r="E2221" s="17"/>
      <c r="F2221" s="17" t="str">
        <f>IFERROR(__xludf.DUMMYFUNCTION("""COMPUTED_VALUE"""),"radhika.zingade@incred.com")</f>
        <v>radhika.zingade@incred.com</v>
      </c>
      <c r="G2221" s="17"/>
      <c r="H2221" s="17"/>
    </row>
    <row r="2222">
      <c r="A2222" s="17" t="str">
        <f>IFERROR(__xludf.DUMMYFUNCTION("""COMPUTED_VALUE"""),"1MG (Tata 1mg)")</f>
        <v>1MG (Tata 1mg)</v>
      </c>
      <c r="B2222" s="17" t="str">
        <f>IFERROR(__xludf.DUMMYFUNCTION("""COMPUTED_VALUE"""),"Shruti Agarwal")</f>
        <v>Shruti Agarwal</v>
      </c>
      <c r="C2222" s="17" t="str">
        <f>IFERROR(__xludf.DUMMYFUNCTION("""COMPUTED_VALUE"""),"Marketing Director")</f>
        <v>Marketing Director</v>
      </c>
      <c r="D2222" s="27" t="str">
        <f>IFERROR(__xludf.DUMMYFUNCTION("""COMPUTED_VALUE"""),"https://www.linkedin.com/in/shruti-agrawal-iimcal/?originalSubdomain=in")</f>
        <v>https://www.linkedin.com/in/shruti-agrawal-iimcal/?originalSubdomain=in</v>
      </c>
      <c r="E2222" s="17" t="str">
        <f>IFERROR(__xludf.DUMMYFUNCTION("""COMPUTED_VALUE"""),"918691899987")</f>
        <v>918691899987</v>
      </c>
      <c r="F2222" s="17" t="str">
        <f>IFERROR(__xludf.DUMMYFUNCTION("""COMPUTED_VALUE"""),"shruti.agrawal@1mg.com")</f>
        <v>shruti.agrawal@1mg.com</v>
      </c>
      <c r="G2222" s="17" t="str">
        <f>IFERROR(__xludf.DUMMYFUNCTION("""COMPUTED_VALUE"""),"shrutilsr@gmail.com")</f>
        <v>shrutilsr@gmail.com</v>
      </c>
      <c r="H2222" s="17"/>
    </row>
    <row r="2223">
      <c r="A2223" s="17" t="str">
        <f>IFERROR(__xludf.DUMMYFUNCTION("""COMPUTED_VALUE"""),"5ire")</f>
        <v>5ire</v>
      </c>
      <c r="B2223" s="17" t="str">
        <f>IFERROR(__xludf.DUMMYFUNCTION("""COMPUTED_VALUE"""),"Utkarsh Amitabh")</f>
        <v>Utkarsh Amitabh</v>
      </c>
      <c r="C2223" s="17" t="str">
        <f>IFERROR(__xludf.DUMMYFUNCTION("""COMPUTED_VALUE"""),"Chief Marketing Officer")</f>
        <v>Chief Marketing Officer</v>
      </c>
      <c r="D2223" s="27" t="str">
        <f>IFERROR(__xludf.DUMMYFUNCTION("""COMPUTED_VALUE"""),"https://www.linkedin.com/in/utkarshamitabh/details/experience/")</f>
        <v>https://www.linkedin.com/in/utkarshamitabh/details/experience/</v>
      </c>
      <c r="E2223" s="17"/>
      <c r="F2223" s="17" t="str">
        <f>IFERROR(__xludf.DUMMYFUNCTION("""COMPUTED_VALUE"""),"utkarsh@networkcapital.co.za")</f>
        <v>utkarsh@networkcapital.co.za</v>
      </c>
      <c r="G2223" s="17" t="str">
        <f>IFERROR(__xludf.DUMMYFUNCTION("""COMPUTED_VALUE"""),"uamitabh@gmail.com")</f>
        <v>uamitabh@gmail.com</v>
      </c>
      <c r="H2223" s="17"/>
    </row>
    <row r="2224">
      <c r="A2224" s="17" t="str">
        <f>IFERROR(__xludf.DUMMYFUNCTION("""COMPUTED_VALUE"""),"Amagi")</f>
        <v>Amagi</v>
      </c>
      <c r="B2224" s="17" t="str">
        <f>IFERROR(__xludf.DUMMYFUNCTION("""COMPUTED_VALUE"""),"Sanjay Kirimanjeshwar")</f>
        <v>Sanjay Kirimanjeshwar</v>
      </c>
      <c r="C2224" s="17" t="str">
        <f>IFERROR(__xludf.DUMMYFUNCTION("""COMPUTED_VALUE"""),"Vice President - Corporate Marketing")</f>
        <v>Vice President - Corporate Marketing</v>
      </c>
      <c r="D2224" s="27" t="str">
        <f>IFERROR(__xludf.DUMMYFUNCTION("""COMPUTED_VALUE"""),"https://www.linkedin.com/in/sanjay-kirimanjeshwar-464575/")</f>
        <v>https://www.linkedin.com/in/sanjay-kirimanjeshwar-464575/</v>
      </c>
      <c r="E2224" s="17"/>
      <c r="F2224" s="17" t="str">
        <f>IFERROR(__xludf.DUMMYFUNCTION("""COMPUTED_VALUE"""),"sanjay@amagi.com")</f>
        <v>sanjay@amagi.com</v>
      </c>
      <c r="G2224" s="17"/>
      <c r="H2224" s="17"/>
    </row>
    <row r="2225">
      <c r="A2225" s="17" t="str">
        <f>IFERROR(__xludf.DUMMYFUNCTION("""COMPUTED_VALUE"""),"BigBasket")</f>
        <v>BigBasket</v>
      </c>
      <c r="B2225" s="17" t="str">
        <f>IFERROR(__xludf.DUMMYFUNCTION("""COMPUTED_VALUE"""),"Vipul Parekh")</f>
        <v>Vipul Parekh</v>
      </c>
      <c r="C2225" s="17" t="str">
        <f>IFERROR(__xludf.DUMMYFUNCTION("""COMPUTED_VALUE"""),"Chief Marketing Officer")</f>
        <v>Chief Marketing Officer</v>
      </c>
      <c r="D2225" s="27" t="str">
        <f>IFERROR(__xludf.DUMMYFUNCTION("""COMPUTED_VALUE"""),"https://www.linkedin.com/in/vipulparekh/?originalSubdomain=in")</f>
        <v>https://www.linkedin.com/in/vipulparekh/?originalSubdomain=in</v>
      </c>
      <c r="E2225" s="17"/>
      <c r="F2225" s="17" t="str">
        <f>IFERROR(__xludf.DUMMYFUNCTION("""COMPUTED_VALUE"""),"vipul@bigbasket.com")</f>
        <v>vipul@bigbasket.com</v>
      </c>
      <c r="G2225" s="17"/>
      <c r="H2225" s="17"/>
    </row>
    <row r="2226">
      <c r="A2226" s="17" t="str">
        <f>IFERROR(__xludf.DUMMYFUNCTION("""COMPUTED_VALUE"""),"BillDesk")</f>
        <v>BillDesk</v>
      </c>
      <c r="B2226" s="17" t="str">
        <f>IFERROR(__xludf.DUMMYFUNCTION("""COMPUTED_VALUE"""),"Anand Panda")</f>
        <v>Anand Panda</v>
      </c>
      <c r="C2226" s="17" t="str">
        <f>IFERROR(__xludf.DUMMYFUNCTION("""COMPUTED_VALUE"""),"Head - Online Business")</f>
        <v>Head - Online Business</v>
      </c>
      <c r="D2226" s="27" t="str">
        <f>IFERROR(__xludf.DUMMYFUNCTION("""COMPUTED_VALUE"""),"https://www.linkedin.com/in/anandpanda/")</f>
        <v>https://www.linkedin.com/in/anandpanda/</v>
      </c>
      <c r="E2226" s="17"/>
      <c r="F2226" s="17" t="str">
        <f>IFERROR(__xludf.DUMMYFUNCTION("""COMPUTED_VALUE"""),"anand.panda@billdesk.com")</f>
        <v>anand.panda@billdesk.com</v>
      </c>
      <c r="G2226" s="17" t="str">
        <f>IFERROR(__xludf.DUMMYFUNCTION("""COMPUTED_VALUE"""),"anand.panda@gmail.com")</f>
        <v>anand.panda@gmail.com</v>
      </c>
      <c r="H2226" s="17"/>
    </row>
    <row r="2227">
      <c r="A2227" s="17" t="str">
        <f>IFERROR(__xludf.DUMMYFUNCTION("""COMPUTED_VALUE"""),"BlackBuck")</f>
        <v>BlackBuck</v>
      </c>
      <c r="B2227" s="17" t="str">
        <f>IFERROR(__xludf.DUMMYFUNCTION("""COMPUTED_VALUE"""),"Chandraprakash")</f>
        <v>Chandraprakash</v>
      </c>
      <c r="C2227" s="17" t="str">
        <f>IFERROR(__xludf.DUMMYFUNCTION("""COMPUTED_VALUE"""),"national sales head")</f>
        <v>national sales head</v>
      </c>
      <c r="D2227" s="27" t="str">
        <f>IFERROR(__xludf.DUMMYFUNCTION("""COMPUTED_VALUE"""),"https://www.linkedin.com/in/chandra-prakash-b5117b8/?originalSubdomain=in")</f>
        <v>https://www.linkedin.com/in/chandra-prakash-b5117b8/?originalSubdomain=in</v>
      </c>
      <c r="E2227" s="17"/>
      <c r="F2227" s="17" t="str">
        <f>IFERROR(__xludf.DUMMYFUNCTION("""COMPUTED_VALUE"""),"chandraprakash19@gmail.com")</f>
        <v>chandraprakash19@gmail.com</v>
      </c>
      <c r="G2227" s="17"/>
      <c r="H2227" s="17"/>
    </row>
    <row r="2228">
      <c r="A2228" s="17" t="str">
        <f>IFERROR(__xludf.DUMMYFUNCTION("""COMPUTED_VALUE"""),"Blinkit")</f>
        <v>Blinkit</v>
      </c>
      <c r="B2228" s="17" t="str">
        <f>IFERROR(__xludf.DUMMYFUNCTION("""COMPUTED_VALUE"""),"Gayatri Mathur")</f>
        <v>Gayatri Mathur</v>
      </c>
      <c r="C2228" s="17" t="str">
        <f>IFERROR(__xludf.DUMMYFUNCTION("""COMPUTED_VALUE"""),"Director, Growth")</f>
        <v>Director, Growth</v>
      </c>
      <c r="D2228" s="27" t="str">
        <f>IFERROR(__xludf.DUMMYFUNCTION("""COMPUTED_VALUE"""),"https://www.linkedin.com/in/gayatrimathur/?originalSubdomain=in")</f>
        <v>https://www.linkedin.com/in/gayatrimathur/?originalSubdomain=in</v>
      </c>
      <c r="E2228" s="17"/>
      <c r="F2228" s="17" t="str">
        <f>IFERROR(__xludf.DUMMYFUNCTION("""COMPUTED_VALUE"""),"gayatri.mathur@blinkit.com")</f>
        <v>gayatri.mathur@blinkit.com</v>
      </c>
      <c r="G2228" s="17"/>
      <c r="H2228" s="17"/>
    </row>
    <row r="2229">
      <c r="A2229" s="17" t="str">
        <f>IFERROR(__xludf.DUMMYFUNCTION("""COMPUTED_VALUE"""),"BrowserStack")</f>
        <v>BrowserStack</v>
      </c>
      <c r="B2229" s="17" t="str">
        <f>IFERROR(__xludf.DUMMYFUNCTION("""COMPUTED_VALUE"""),"Navin Gurnani")</f>
        <v>Navin Gurnani</v>
      </c>
      <c r="C2229" s="17" t="str">
        <f>IFERROR(__xludf.DUMMYFUNCTION("""COMPUTED_VALUE"""),"Marketing Leader")</f>
        <v>Marketing Leader</v>
      </c>
      <c r="D2229" s="27" t="str">
        <f>IFERROR(__xludf.DUMMYFUNCTION("""COMPUTED_VALUE"""),"https://www.linkedin.com/in/navingurnani/?originalSubdomain=in")</f>
        <v>https://www.linkedin.com/in/navingurnani/?originalSubdomain=in</v>
      </c>
      <c r="E2229" s="17"/>
      <c r="F2229" s="17" t="str">
        <f>IFERROR(__xludf.DUMMYFUNCTION("""COMPUTED_VALUE"""),"navin.g@browserstack.com")</f>
        <v>navin.g@browserstack.com</v>
      </c>
      <c r="G2229" s="17"/>
      <c r="H2229" s="17"/>
    </row>
    <row r="2230">
      <c r="A2230" s="17" t="str">
        <f>IFERROR(__xludf.DUMMYFUNCTION("""COMPUTED_VALUE"""),"CarDekho")</f>
        <v>CarDekho</v>
      </c>
      <c r="B2230" s="17" t="str">
        <f>IFERROR(__xludf.DUMMYFUNCTION("""COMPUTED_VALUE"""),"Charu Kishnani")</f>
        <v>Charu Kishnani</v>
      </c>
      <c r="C2230" s="17" t="str">
        <f>IFERROR(__xludf.DUMMYFUNCTION("""COMPUTED_VALUE"""),"Chief Marketing Officer")</f>
        <v>Chief Marketing Officer</v>
      </c>
      <c r="D2230" s="27" t="str">
        <f>IFERROR(__xludf.DUMMYFUNCTION("""COMPUTED_VALUE"""),"https://www.linkedin.com/in/charukishnani/?originalSubdomain=in")</f>
        <v>https://www.linkedin.com/in/charukishnani/?originalSubdomain=in</v>
      </c>
      <c r="E2230" s="17" t="str">
        <f>IFERROR(__xludf.DUMMYFUNCTION("""COMPUTED_VALUE"""),"90015 99555")</f>
        <v>90015 99555</v>
      </c>
      <c r="F2230" s="17" t="str">
        <f>IFERROR(__xludf.DUMMYFUNCTION("""COMPUTED_VALUE"""),"charu.kishnani@girnarsoft.com")</f>
        <v>charu.kishnani@girnarsoft.com</v>
      </c>
      <c r="G2230" s="17"/>
      <c r="H2230" s="17"/>
    </row>
    <row r="2231">
      <c r="A2231" s="17" t="str">
        <f>IFERROR(__xludf.DUMMYFUNCTION("""COMPUTED_VALUE"""),"Cars24")</f>
        <v>Cars24</v>
      </c>
      <c r="B2231" s="17" t="str">
        <f>IFERROR(__xludf.DUMMYFUNCTION("""COMPUTED_VALUE"""),"Gajendra Jangid")</f>
        <v>Gajendra Jangid</v>
      </c>
      <c r="C2231" s="17" t="str">
        <f>IFERROR(__xludf.DUMMYFUNCTION("""COMPUTED_VALUE"""),"Co-Founder &amp; CMO")</f>
        <v>Co-Founder &amp; CMO</v>
      </c>
      <c r="D2231" s="27" t="str">
        <f>IFERROR(__xludf.DUMMYFUNCTION("""COMPUTED_VALUE"""),"https://www.linkedin.com/in/gajendra-jangid-665b3040/?originalSubdomain=in")</f>
        <v>https://www.linkedin.com/in/gajendra-jangid-665b3040/?originalSubdomain=in</v>
      </c>
      <c r="E2231" s="17"/>
      <c r="F2231" s="17" t="str">
        <f>IFERROR(__xludf.DUMMYFUNCTION("""COMPUTED_VALUE"""),"gajendra.jangid@cars24.com")</f>
        <v>gajendra.jangid@cars24.com</v>
      </c>
      <c r="G2231" s="17" t="str">
        <f>IFERROR(__xludf.DUMMYFUNCTION("""COMPUTED_VALUE"""),"jangid@gmail.com")</f>
        <v>jangid@gmail.com</v>
      </c>
      <c r="H2231" s="17"/>
    </row>
    <row r="2232">
      <c r="A2232" s="17" t="str">
        <f>IFERROR(__xludf.DUMMYFUNCTION("""COMPUTED_VALUE"""),"ChargeBee")</f>
        <v>ChargeBee</v>
      </c>
      <c r="B2232" s="17" t="str">
        <f>IFERROR(__xludf.DUMMYFUNCTION("""COMPUTED_VALUE"""),"Guy Marion")</f>
        <v>Guy Marion</v>
      </c>
      <c r="C2232" s="17" t="str">
        <f>IFERROR(__xludf.DUMMYFUNCTION("""COMPUTED_VALUE"""),"Chief Marketing Officer")</f>
        <v>Chief Marketing Officer</v>
      </c>
      <c r="D2232" s="27" t="str">
        <f>IFERROR(__xludf.DUMMYFUNCTION("""COMPUTED_VALUE"""),"https://www.linkedin.com/in/guymarion/")</f>
        <v>https://www.linkedin.com/in/guymarion/</v>
      </c>
      <c r="E2232" s="17"/>
      <c r="F2232" s="17" t="str">
        <f>IFERROR(__xludf.DUMMYFUNCTION("""COMPUTED_VALUE"""),"guy.marion@chargebee.com")</f>
        <v>guy.marion@chargebee.com</v>
      </c>
      <c r="G2232" s="17" t="str">
        <f>IFERROR(__xludf.DUMMYFUNCTION("""COMPUTED_VALUE"""),"guymarion@gmail.com")</f>
        <v>guymarion@gmail.com</v>
      </c>
      <c r="H2232" s="17"/>
    </row>
    <row r="2233">
      <c r="A2233" s="17" t="str">
        <f>IFERROR(__xludf.DUMMYFUNCTION("""COMPUTED_VALUE"""),"CoinSwitch")</f>
        <v>CoinSwitch</v>
      </c>
      <c r="B2233" s="17" t="str">
        <f>IFERROR(__xludf.DUMMYFUNCTION("""COMPUTED_VALUE"""),"Lohit Ramachandra")</f>
        <v>Lohit Ramachandra</v>
      </c>
      <c r="C2233" s="17" t="str">
        <f>IFERROR(__xludf.DUMMYFUNCTION("""COMPUTED_VALUE"""),"Head of marketing")</f>
        <v>Head of marketing</v>
      </c>
      <c r="D2233" s="27" t="str">
        <f>IFERROR(__xludf.DUMMYFUNCTION("""COMPUTED_VALUE"""),"https://www.linkedin.com/in/lohith-ramachandra/?originalSubdomain=in")</f>
        <v>https://www.linkedin.com/in/lohith-ramachandra/?originalSubdomain=in</v>
      </c>
      <c r="E2233" s="17"/>
      <c r="F2233" s="17" t="str">
        <f>IFERROR(__xludf.DUMMYFUNCTION("""COMPUTED_VALUE"""),"lohith.r@coinswitch.co")</f>
        <v>lohith.r@coinswitch.co</v>
      </c>
      <c r="G2233" s="17"/>
      <c r="H2233" s="17"/>
    </row>
    <row r="2234">
      <c r="A2234" s="17" t="str">
        <f>IFERROR(__xludf.DUMMYFUNCTION("""COMPUTED_VALUE"""),"DailyHunt")</f>
        <v>DailyHunt</v>
      </c>
      <c r="B2234" s="17" t="str">
        <f>IFERROR(__xludf.DUMMYFUNCTION("""COMPUTED_VALUE"""),"Samir Vora")</f>
        <v>Samir Vora</v>
      </c>
      <c r="C2234" s="17" t="str">
        <f>IFERROR(__xludf.DUMMYFUNCTION("""COMPUTED_VALUE"""),"CMO")</f>
        <v>CMO</v>
      </c>
      <c r="D2234" s="27" t="str">
        <f>IFERROR(__xludf.DUMMYFUNCTION("""COMPUTED_VALUE"""),"https://www.linkedin.com/in/vorasamir/?originalSubdomain=in")</f>
        <v>https://www.linkedin.com/in/vorasamir/?originalSubdomain=in</v>
      </c>
      <c r="E2234" s="17"/>
      <c r="F2234" s="17" t="str">
        <f>IFERROR(__xludf.DUMMYFUNCTION("""COMPUTED_VALUE"""),"vorasamirj@gmail.com")</f>
        <v>vorasamirj@gmail.com</v>
      </c>
      <c r="G2234" s="17" t="str">
        <f>IFERROR(__xludf.DUMMYFUNCTION("""COMPUTED_VALUE"""),"jeremiaah@gmail.com")</f>
        <v>jeremiaah@gmail.com</v>
      </c>
      <c r="H2234" s="17"/>
    </row>
    <row r="2235">
      <c r="A2235" s="17" t="str">
        <f>IFERROR(__xludf.DUMMYFUNCTION("""COMPUTED_VALUE"""),"DarwinBox")</f>
        <v>DarwinBox</v>
      </c>
      <c r="B2235" s="17" t="str">
        <f>IFERROR(__xludf.DUMMYFUNCTION("""COMPUTED_VALUE"""),"Samrat Krishna")</f>
        <v>Samrat Krishna</v>
      </c>
      <c r="C2235" s="17" t="str">
        <f>IFERROR(__xludf.DUMMYFUNCTION("""COMPUTED_VALUE"""),"Head of marketing")</f>
        <v>Head of marketing</v>
      </c>
      <c r="D2235" s="27" t="str">
        <f>IFERROR(__xludf.DUMMYFUNCTION("""COMPUTED_VALUE"""),"https://www.linkedin.com/in/samratkrishna/")</f>
        <v>https://www.linkedin.com/in/samratkrishna/</v>
      </c>
      <c r="E2235" s="17"/>
      <c r="F2235" s="17" t="str">
        <f>IFERROR(__xludf.DUMMYFUNCTION("""COMPUTED_VALUE"""),"samratvkrishna@gmail.com")</f>
        <v>samratvkrishna@gmail.com</v>
      </c>
      <c r="G2235" s="17"/>
      <c r="H2235" s="17"/>
    </row>
    <row r="2236">
      <c r="A2236" s="17" t="str">
        <f>IFERROR(__xludf.DUMMYFUNCTION("""COMPUTED_VALUE"""),"Delhivery")</f>
        <v>Delhivery</v>
      </c>
      <c r="B2236" s="17" t="str">
        <f>IFERROR(__xludf.DUMMYFUNCTION("""COMPUTED_VALUE"""),"Jitesh haridas")</f>
        <v>Jitesh haridas</v>
      </c>
      <c r="C2236" s="17" t="str">
        <f>IFERROR(__xludf.DUMMYFUNCTION("""COMPUTED_VALUE"""),"SVP - strategy")</f>
        <v>SVP - strategy</v>
      </c>
      <c r="D2236" s="27" t="str">
        <f>IFERROR(__xludf.DUMMYFUNCTION("""COMPUTED_VALUE"""),"https://www.linkedin.com/in/jidesh-haridas/")</f>
        <v>https://www.linkedin.com/in/jidesh-haridas/</v>
      </c>
      <c r="E2236" s="17"/>
      <c r="F2236" s="17" t="str">
        <f>IFERROR(__xludf.DUMMYFUNCTION("""COMPUTED_VALUE"""),"jidesh.haridas@delhivery.com")</f>
        <v>jidesh.haridas@delhivery.com</v>
      </c>
      <c r="G2236" s="17"/>
      <c r="H2236" s="17"/>
    </row>
    <row r="2237">
      <c r="A2237" s="17" t="str">
        <f>IFERROR(__xludf.DUMMYFUNCTION("""COMPUTED_VALUE"""),"Druva")</f>
        <v>Druva</v>
      </c>
      <c r="B2237" s="17" t="str">
        <f>IFERROR(__xludf.DUMMYFUNCTION("""COMPUTED_VALUE"""),"Ranga Rajagopalan")</f>
        <v>Ranga Rajagopalan</v>
      </c>
      <c r="C2237" s="17" t="str">
        <f>IFERROR(__xludf.DUMMYFUNCTION("""COMPUTED_VALUE"""),"Chief Products &amp; Marketing Officer")</f>
        <v>Chief Products &amp; Marketing Officer</v>
      </c>
      <c r="D2237" s="27" t="str">
        <f>IFERROR(__xludf.DUMMYFUNCTION("""COMPUTED_VALUE"""),"https://www.linkedin.com/in/rangaraajrajagopalan/")</f>
        <v>https://www.linkedin.com/in/rangaraajrajagopalan/</v>
      </c>
      <c r="E2237" s="17"/>
      <c r="F2237" s="17" t="str">
        <f>IFERROR(__xludf.DUMMYFUNCTION("""COMPUTED_VALUE"""),"ranga.rajagopalan@druva.com")</f>
        <v>ranga.rajagopalan@druva.com</v>
      </c>
      <c r="G2237" s="17" t="str">
        <f>IFERROR(__xludf.DUMMYFUNCTION("""COMPUTED_VALUE"""),"rrangaraaj@gmail.com")</f>
        <v>rrangaraaj@gmail.com</v>
      </c>
      <c r="H2237" s="17"/>
    </row>
    <row r="2238">
      <c r="A2238" s="17" t="str">
        <f>IFERROR(__xludf.DUMMYFUNCTION("""COMPUTED_VALUE"""),"EaseMyTrip")</f>
        <v>EaseMyTrip</v>
      </c>
      <c r="B2238" s="17" t="str">
        <f>IFERROR(__xludf.DUMMYFUNCTION("""COMPUTED_VALUE"""),"Manmeet Ahluwalia")</f>
        <v>Manmeet Ahluwalia</v>
      </c>
      <c r="C2238" s="17" t="str">
        <f>IFERROR(__xludf.DUMMYFUNCTION("""COMPUTED_VALUE"""),"Chief Marketing Officer")</f>
        <v>Chief Marketing Officer</v>
      </c>
      <c r="D2238" s="27" t="str">
        <f>IFERROR(__xludf.DUMMYFUNCTION("""COMPUTED_VALUE"""),"https://www.linkedin.com/in/manmeetahluwalia/?originalSubdomain=in")</f>
        <v>https://www.linkedin.com/in/manmeetahluwalia/?originalSubdomain=in</v>
      </c>
      <c r="E2238" s="17"/>
      <c r="F2238" s="17" t="str">
        <f>IFERROR(__xludf.DUMMYFUNCTION("""COMPUTED_VALUE"""),"manmeet.ahluwalia@easemytrip.com")</f>
        <v>manmeet.ahluwalia@easemytrip.com</v>
      </c>
      <c r="G2238" s="17"/>
      <c r="H2238" s="17"/>
    </row>
    <row r="2239">
      <c r="A2239" s="17" t="str">
        <f>IFERROR(__xludf.DUMMYFUNCTION("""COMPUTED_VALUE"""),"ElasticRun")</f>
        <v>ElasticRun</v>
      </c>
      <c r="B2239" s="17" t="str">
        <f>IFERROR(__xludf.DUMMYFUNCTION("""COMPUTED_VALUE"""),"Sandeep Deshmukh")</f>
        <v>Sandeep Deshmukh</v>
      </c>
      <c r="C2239" s="17" t="str">
        <f>IFERROR(__xludf.DUMMYFUNCTION("""COMPUTED_VALUE"""),"CEO (Leads Strategy)")</f>
        <v>CEO (Leads Strategy)</v>
      </c>
      <c r="D2239" s="27" t="str">
        <f>IFERROR(__xludf.DUMMYFUNCTION("""COMPUTED_VALUE"""),"https://www.linkedin.com/in/deshmukhss/")</f>
        <v>https://www.linkedin.com/in/deshmukhss/</v>
      </c>
      <c r="E2239" s="17"/>
      <c r="F2239" s="17" t="str">
        <f>IFERROR(__xludf.DUMMYFUNCTION("""COMPUTED_VALUE"""),"deshmukh.sandeep@elastic.run")</f>
        <v>deshmukh.sandeep@elastic.run</v>
      </c>
      <c r="G2239" s="17" t="str">
        <f>IFERROR(__xludf.DUMMYFUNCTION("""COMPUTED_VALUE"""),"san_instru@yahoo.com")</f>
        <v>san_instru@yahoo.com</v>
      </c>
      <c r="H2239" s="17"/>
    </row>
    <row r="2240">
      <c r="A2240" s="17" t="str">
        <f>IFERROR(__xludf.DUMMYFUNCTION("""COMPUTED_VALUE"""),"FirstCry")</f>
        <v>FirstCry</v>
      </c>
      <c r="B2240" s="17" t="str">
        <f>IFERROR(__xludf.DUMMYFUNCTION("""COMPUTED_VALUE"""),"Anuj Jain")</f>
        <v>Anuj Jain</v>
      </c>
      <c r="C2240" s="17" t="str">
        <f>IFERROR(__xludf.DUMMYFUNCTION("""COMPUTED_VALUE"""),"Sr. Vice President - Marketing")</f>
        <v>Sr. Vice President - Marketing</v>
      </c>
      <c r="D2240" s="27" t="str">
        <f>IFERROR(__xludf.DUMMYFUNCTION("""COMPUTED_VALUE"""),"https://www.linkedin.com/in/anuj19/?originalSubdomain=in")</f>
        <v>https://www.linkedin.com/in/anuj19/?originalSubdomain=in</v>
      </c>
      <c r="E2240" s="17"/>
      <c r="F2240" s="17" t="str">
        <f>IFERROR(__xludf.DUMMYFUNCTION("""COMPUTED_VALUE"""),"anuj.jainn@gmail.com")</f>
        <v>anuj.jainn@gmail.com</v>
      </c>
      <c r="G2240" s="17"/>
      <c r="H2240" s="17"/>
    </row>
    <row r="2241">
      <c r="A2241" s="17" t="str">
        <f>IFERROR(__xludf.DUMMYFUNCTION("""COMPUTED_VALUE"""),"Freshworks")</f>
        <v>Freshworks</v>
      </c>
      <c r="B2241" s="17" t="str">
        <f>IFERROR(__xludf.DUMMYFUNCTION("""COMPUTED_VALUE"""),"Mika Yamamoto")</f>
        <v>Mika Yamamoto</v>
      </c>
      <c r="C2241" s="17" t="str">
        <f>IFERROR(__xludf.DUMMYFUNCTION("""COMPUTED_VALUE"""),"Chief Customer &amp; Marketing Officer")</f>
        <v>Chief Customer &amp; Marketing Officer</v>
      </c>
      <c r="D2241" s="27" t="str">
        <f>IFERROR(__xludf.DUMMYFUNCTION("""COMPUTED_VALUE"""),"https://www.linkedin.com/in/mikayamamoto/")</f>
        <v>https://www.linkedin.com/in/mikayamamoto/</v>
      </c>
      <c r="E2241" s="17"/>
      <c r="F2241" s="17" t="str">
        <f>IFERROR(__xludf.DUMMYFUNCTION("""COMPUTED_VALUE"""),"mika.yamamoto@freshworks.com")</f>
        <v>mika.yamamoto@freshworks.com</v>
      </c>
      <c r="G2241" s="17"/>
      <c r="H2241" s="17"/>
    </row>
    <row r="2242">
      <c r="A2242" s="17" t="str">
        <f>IFERROR(__xludf.DUMMYFUNCTION("""COMPUTED_VALUE"""),"Games24x7")</f>
        <v>Games24x7</v>
      </c>
      <c r="B2242" s="17" t="str">
        <f>IFERROR(__xludf.DUMMYFUNCTION("""COMPUTED_VALUE"""),"Saroj panigrahi")</f>
        <v>Saroj panigrahi</v>
      </c>
      <c r="C2242" s="17" t="str">
        <f>IFERROR(__xludf.DUMMYFUNCTION("""COMPUTED_VALUE"""),"COO")</f>
        <v>COO</v>
      </c>
      <c r="D2242" s="27" t="str">
        <f>IFERROR(__xludf.DUMMYFUNCTION("""COMPUTED_VALUE"""),"https://www.linkedin.com/in/saroj-panigrahi-831a9113/")</f>
        <v>https://www.linkedin.com/in/saroj-panigrahi-831a9113/</v>
      </c>
      <c r="E2242" s="17"/>
      <c r="F2242" s="17" t="str">
        <f>IFERROR(__xludf.DUMMYFUNCTION("""COMPUTED_VALUE"""),"saroj.panigrahi@games24x7.com")</f>
        <v>saroj.panigrahi@games24x7.com</v>
      </c>
      <c r="G2242" s="17"/>
      <c r="H2242" s="17"/>
    </row>
    <row r="2243">
      <c r="A2243" s="17" t="str">
        <f>IFERROR(__xludf.DUMMYFUNCTION("""COMPUTED_VALUE"""),"Groww")</f>
        <v>Groww</v>
      </c>
      <c r="B2243" s="17" t="str">
        <f>IFERROR(__xludf.DUMMYFUNCTION("""COMPUTED_VALUE"""),"Pooja Sharma")</f>
        <v>Pooja Sharma</v>
      </c>
      <c r="C2243" s="17" t="str">
        <f>IFERROR(__xludf.DUMMYFUNCTION("""COMPUTED_VALUE"""),"Chief Marketing Officer")</f>
        <v>Chief Marketing Officer</v>
      </c>
      <c r="D2243" s="27" t="str">
        <f>IFERROR(__xludf.DUMMYFUNCTION("""COMPUTED_VALUE"""),"https://www.linkedin.com/in/pooja-sharma-59404825/")</f>
        <v>https://www.linkedin.com/in/pooja-sharma-59404825/</v>
      </c>
      <c r="E2243" s="17" t="str">
        <f>IFERROR(__xludf.DUMMYFUNCTION("""COMPUTED_VALUE"""),"90400 70441")</f>
        <v>90400 70441</v>
      </c>
      <c r="F2243" s="17" t="str">
        <f>IFERROR(__xludf.DUMMYFUNCTION("""COMPUTED_VALUE"""),"pooja.sharma@groww.in")</f>
        <v>pooja.sharma@groww.in</v>
      </c>
      <c r="G2243" s="17"/>
      <c r="H2243" s="17"/>
    </row>
    <row r="2244">
      <c r="A2244" s="17" t="str">
        <f>IFERROR(__xludf.DUMMYFUNCTION("""COMPUTED_VALUE"""),"Gupshup")</f>
        <v>Gupshup</v>
      </c>
      <c r="B2244" s="17" t="str">
        <f>IFERROR(__xludf.DUMMYFUNCTION("""COMPUTED_VALUE"""),"Vartika Verma")</f>
        <v>Vartika Verma</v>
      </c>
      <c r="C2244" s="17" t="str">
        <f>IFERROR(__xludf.DUMMYFUNCTION("""COMPUTED_VALUE"""),"Sr. Director - Global Marketing")</f>
        <v>Sr. Director - Global Marketing</v>
      </c>
      <c r="D2244" s="27" t="str">
        <f>IFERROR(__xludf.DUMMYFUNCTION("""COMPUTED_VALUE"""),"https://www.linkedin.com/in/vartikaverma/?originalSubdomain=in")</f>
        <v>https://www.linkedin.com/in/vartikaverma/?originalSubdomain=in</v>
      </c>
      <c r="E2244" s="17" t="str">
        <f>IFERROR(__xludf.DUMMYFUNCTION("""COMPUTED_VALUE"""),"97179 47775")</f>
        <v>97179 47775</v>
      </c>
      <c r="F2244" s="17" t="str">
        <f>IFERROR(__xludf.DUMMYFUNCTION("""COMPUTED_VALUE"""),"vartika.verma@gupshup.io")</f>
        <v>vartika.verma@gupshup.io</v>
      </c>
      <c r="G2244" s="17" t="str">
        <f>IFERROR(__xludf.DUMMYFUNCTION("""COMPUTED_VALUE"""),"vartikaverma@gmail.com")</f>
        <v>vartikaverma@gmail.com</v>
      </c>
      <c r="H2244" s="17"/>
    </row>
    <row r="2245">
      <c r="A2245" s="17" t="str">
        <f>IFERROR(__xludf.DUMMYFUNCTION("""COMPUTED_VALUE"""),"Hike")</f>
        <v>Hike</v>
      </c>
      <c r="B2245" s="17" t="str">
        <f>IFERROR(__xludf.DUMMYFUNCTION("""COMPUTED_VALUE"""),"Neha Kaura")</f>
        <v>Neha Kaura</v>
      </c>
      <c r="C2245" s="17" t="str">
        <f>IFERROR(__xludf.DUMMYFUNCTION("""COMPUTED_VALUE"""),"EX- cmo")</f>
        <v>EX- cmo</v>
      </c>
      <c r="D2245" s="27" t="str">
        <f>IFERROR(__xludf.DUMMYFUNCTION("""COMPUTED_VALUE"""),"https://www.linkedin.com/in/nehhamkaura/")</f>
        <v>https://www.linkedin.com/in/nehhamkaura/</v>
      </c>
      <c r="E2245" s="17"/>
      <c r="F2245" s="17" t="str">
        <f>IFERROR(__xludf.DUMMYFUNCTION("""COMPUTED_VALUE"""),"neha@hikeup.com")</f>
        <v>neha@hikeup.com</v>
      </c>
      <c r="G2245" s="17"/>
      <c r="H2245" s="17"/>
    </row>
    <row r="2246">
      <c r="A2246" s="17" t="str">
        <f>IFERROR(__xludf.DUMMYFUNCTION("""COMPUTED_VALUE"""),"IndiaMART")</f>
        <v>IndiaMART</v>
      </c>
      <c r="B2246" s="17" t="str">
        <f>IFERROR(__xludf.DUMMYFUNCTION("""COMPUTED_VALUE"""),"Robin Samuel")</f>
        <v>Robin Samuel</v>
      </c>
      <c r="C2246" s="17" t="str">
        <f>IFERROR(__xludf.DUMMYFUNCTION("""COMPUTED_VALUE"""),"marketing head")</f>
        <v>marketing head</v>
      </c>
      <c r="D2246" s="27" t="str">
        <f>IFERROR(__xludf.DUMMYFUNCTION("""COMPUTED_VALUE"""),"https://www.linkedin.com/in/robinsamuel/")</f>
        <v>https://www.linkedin.com/in/robinsamuel/</v>
      </c>
      <c r="E2246" s="17"/>
      <c r="F2246" s="17" t="str">
        <f>IFERROR(__xludf.DUMMYFUNCTION("""COMPUTED_VALUE"""),"robin.samuel@indiamart.com")</f>
        <v>robin.samuel@indiamart.com</v>
      </c>
      <c r="G2246" s="17"/>
      <c r="H2246" s="17"/>
    </row>
    <row r="2247">
      <c r="A2247" s="17" t="str">
        <f>IFERROR(__xludf.DUMMYFUNCTION("""COMPUTED_VALUE"""),"Infra.Market")</f>
        <v>Infra.Market</v>
      </c>
      <c r="B2247" s="17" t="str">
        <f>IFERROR(__xludf.DUMMYFUNCTION("""COMPUTED_VALUE"""),"Abhijeet Jhawar")</f>
        <v>Abhijeet Jhawar</v>
      </c>
      <c r="C2247" s="17" t="str">
        <f>IFERROR(__xludf.DUMMYFUNCTION("""COMPUTED_VALUE"""),"CMO")</f>
        <v>CMO</v>
      </c>
      <c r="D2247" s="27" t="str">
        <f>IFERROR(__xludf.DUMMYFUNCTION("""COMPUTED_VALUE"""),"https://www.linkedin.com/in/abhijeetjhawar/")</f>
        <v>https://www.linkedin.com/in/abhijeetjhawar/</v>
      </c>
      <c r="E2247" s="17"/>
      <c r="F2247" s="17" t="str">
        <f>IFERROR(__xludf.DUMMYFUNCTION("""COMPUTED_VALUE"""),"abhijeet.jhawar@infra.market")</f>
        <v>abhijeet.jhawar@infra.market</v>
      </c>
      <c r="G2247" s="17"/>
      <c r="H2247" s="17"/>
    </row>
    <row r="2248">
      <c r="A2248" s="17" t="str">
        <f>IFERROR(__xludf.DUMMYFUNCTION("""COMPUTED_VALUE"""),"InMobi")</f>
        <v>InMobi</v>
      </c>
      <c r="B2248" s="17" t="str">
        <f>IFERROR(__xludf.DUMMYFUNCTION("""COMPUTED_VALUE"""),"Bikash Chowdhury")</f>
        <v>Bikash Chowdhury</v>
      </c>
      <c r="C2248" s="17" t="str">
        <f>IFERROR(__xludf.DUMMYFUNCTION("""COMPUTED_VALUE"""),"Ex- CMO")</f>
        <v>Ex- CMO</v>
      </c>
      <c r="D2248" s="27" t="str">
        <f>IFERROR(__xludf.DUMMYFUNCTION("""COMPUTED_VALUE"""),"https://www.linkedin.com/in/bikashchowdhury/?originalSubdomain=in")</f>
        <v>https://www.linkedin.com/in/bikashchowdhury/?originalSubdomain=in</v>
      </c>
      <c r="E2248" s="17"/>
      <c r="F2248" s="17" t="str">
        <f>IFERROR(__xludf.DUMMYFUNCTION("""COMPUTED_VALUE"""),"bikashc@gmail.com")</f>
        <v>bikashc@gmail.com</v>
      </c>
      <c r="G2248" s="17"/>
      <c r="H2248" s="17"/>
    </row>
    <row r="2249">
      <c r="A2249" s="17" t="str">
        <f>IFERROR(__xludf.DUMMYFUNCTION("""COMPUTED_VALUE"""),"Innovaccer")</f>
        <v>Innovaccer</v>
      </c>
      <c r="B2249" s="17" t="str">
        <f>IFERROR(__xludf.DUMMYFUNCTION("""COMPUTED_VALUE"""),"Sachin Saxena")</f>
        <v>Sachin Saxena</v>
      </c>
      <c r="C2249" s="17" t="str">
        <f>IFERROR(__xludf.DUMMYFUNCTION("""COMPUTED_VALUE"""),"Head of marketing")</f>
        <v>Head of marketing</v>
      </c>
      <c r="D2249" s="27" t="str">
        <f>IFERROR(__xludf.DUMMYFUNCTION("""COMPUTED_VALUE"""),"https://www.linkedin.com/in/sachinsaxena-innovaccer/")</f>
        <v>https://www.linkedin.com/in/sachinsaxena-innovaccer/</v>
      </c>
      <c r="E2249" s="17"/>
      <c r="F2249" s="17" t="str">
        <f>IFERROR(__xludf.DUMMYFUNCTION("""COMPUTED_VALUE"""),"sachin.saxena@innovaccer.com")</f>
        <v>sachin.saxena@innovaccer.com</v>
      </c>
      <c r="G2249" s="17"/>
      <c r="H2249" s="17"/>
    </row>
    <row r="2250">
      <c r="A2250" s="17" t="str">
        <f>IFERROR(__xludf.DUMMYFUNCTION("""COMPUTED_VALUE"""),"LEAD School")</f>
        <v>LEAD School</v>
      </c>
      <c r="B2250" s="17" t="str">
        <f>IFERROR(__xludf.DUMMYFUNCTION("""COMPUTED_VALUE"""),"Arvind Singhal")</f>
        <v>Arvind Singhal</v>
      </c>
      <c r="C2250" s="17" t="str">
        <f>IFERROR(__xludf.DUMMYFUNCTION("""COMPUTED_VALUE"""),"Chief Growth Officer")</f>
        <v>Chief Growth Officer</v>
      </c>
      <c r="D2250" s="27" t="str">
        <f>IFERROR(__xludf.DUMMYFUNCTION("""COMPUTED_VALUE"""),"https://www.linkedin.com/in/arvind-singhal-1b02392/overlay/contact-info/?lipi=urn%3Ali%3Apage%3Ad_flagship3_profile_view_base%3BSYPpTWFESJqJw%2FrSE0LsxQ%3D%3D")</f>
        <v>https://www.linkedin.com/in/arvind-singhal-1b02392/overlay/contact-info/?lipi=urn%3Ali%3Apage%3Ad_flagship3_profile_view_base%3BSYPpTWFESJqJw%2FrSE0LsxQ%3D%3D</v>
      </c>
      <c r="E2250" s="17" t="str">
        <f>IFERROR(__xludf.DUMMYFUNCTION("""COMPUTED_VALUE"""),"(+)91 80954 50000")</f>
        <v>(+)91 80954 50000</v>
      </c>
      <c r="F2250" s="17" t="str">
        <f>IFERROR(__xludf.DUMMYFUNCTION("""COMPUTED_VALUE"""),"arvind.singhal@leadschool.in")</f>
        <v>arvind.singhal@leadschool.in</v>
      </c>
      <c r="G2250" s="17"/>
      <c r="H2250" s="17"/>
    </row>
    <row r="2251">
      <c r="A2251" s="17" t="str">
        <f>IFERROR(__xludf.DUMMYFUNCTION("""COMPUTED_VALUE"""),"LensKart")</f>
        <v>LensKart</v>
      </c>
      <c r="B2251" s="17" t="str">
        <f>IFERROR(__xludf.DUMMYFUNCTION("""COMPUTED_VALUE"""),"Jaimit Doshi")</f>
        <v>Jaimit Doshi</v>
      </c>
      <c r="C2251" s="17" t="str">
        <f>IFERROR(__xludf.DUMMYFUNCTION("""COMPUTED_VALUE"""),"Ex- CMO")</f>
        <v>Ex- CMO</v>
      </c>
      <c r="D2251" s="27" t="str">
        <f>IFERROR(__xludf.DUMMYFUNCTION("""COMPUTED_VALUE"""),"https://www.linkedin.com/in/jaimit/?originalSubdomain=in")</f>
        <v>https://www.linkedin.com/in/jaimit/?originalSubdomain=in</v>
      </c>
      <c r="E2251" s="17"/>
      <c r="F2251" s="17" t="str">
        <f>IFERROR(__xludf.DUMMYFUNCTION("""COMPUTED_VALUE"""),"jaimit@gmail.com")</f>
        <v>jaimit@gmail.com</v>
      </c>
      <c r="G2251" s="17"/>
      <c r="H2251" s="17"/>
    </row>
    <row r="2252">
      <c r="A2252" s="17" t="str">
        <f>IFERROR(__xludf.DUMMYFUNCTION("""COMPUTED_VALUE"""),"Licious")</f>
        <v>Licious</v>
      </c>
      <c r="B2252" s="17" t="str">
        <f>IFERROR(__xludf.DUMMYFUNCTION("""COMPUTED_VALUE"""),"Pratik Vaja")</f>
        <v>Pratik Vaja</v>
      </c>
      <c r="C2252" s="17" t="str">
        <f>IFERROR(__xludf.DUMMYFUNCTION("""COMPUTED_VALUE"""),"Head of Marketing")</f>
        <v>Head of Marketing</v>
      </c>
      <c r="D2252" s="27" t="str">
        <f>IFERROR(__xludf.DUMMYFUNCTION("""COMPUTED_VALUE"""),"https://www.linkedin.com/in/pratikjv/?originalSubdomain=in")</f>
        <v>https://www.linkedin.com/in/pratikjv/?originalSubdomain=in</v>
      </c>
      <c r="E2252" s="17" t="str">
        <f>IFERROR(__xludf.DUMMYFUNCTION("""COMPUTED_VALUE"""),"88982 12464")</f>
        <v>88982 12464</v>
      </c>
      <c r="F2252" s="17" t="str">
        <f>IFERROR(__xludf.DUMMYFUNCTION("""COMPUTED_VALUE"""),"pratik.vaja@itc.in")</f>
        <v>pratik.vaja@itc.in</v>
      </c>
      <c r="G2252" s="17" t="str">
        <f>IFERROR(__xludf.DUMMYFUNCTION("""COMPUTED_VALUE"""),"pratikjv@gmail.com")</f>
        <v>pratikjv@gmail.com</v>
      </c>
      <c r="H2252" s="17"/>
    </row>
    <row r="2253">
      <c r="A2253" s="17" t="str">
        <f>IFERROR(__xludf.DUMMYFUNCTION("""COMPUTED_VALUE"""),"Livspace")</f>
        <v>Livspace</v>
      </c>
      <c r="B2253" s="17" t="str">
        <f>IFERROR(__xludf.DUMMYFUNCTION("""COMPUTED_VALUE"""),"Kartikeya Bhandari")</f>
        <v>Kartikeya Bhandari</v>
      </c>
      <c r="C2253" s="17" t="str">
        <f>IFERROR(__xludf.DUMMYFUNCTION("""COMPUTED_VALUE"""),"Chief Marketing Officer")</f>
        <v>Chief Marketing Officer</v>
      </c>
      <c r="D2253" s="27" t="str">
        <f>IFERROR(__xludf.DUMMYFUNCTION("""COMPUTED_VALUE"""),"https://www.linkedin.com/in/kartikeya-bhandari-3478669/?originalSubdomain=in")</f>
        <v>https://www.linkedin.com/in/kartikeya-bhandari-3478669/?originalSubdomain=in</v>
      </c>
      <c r="E2253" s="17"/>
      <c r="F2253" s="17" t="str">
        <f>IFERROR(__xludf.DUMMYFUNCTION("""COMPUTED_VALUE"""),"kartyb@gmail.com")</f>
        <v>kartyb@gmail.com</v>
      </c>
      <c r="G2253" s="17"/>
      <c r="H2253" s="17"/>
    </row>
    <row r="2254">
      <c r="A2254" s="17" t="str">
        <f>IFERROR(__xludf.DUMMYFUNCTION("""COMPUTED_VALUE"""),"MakeMyTrip")</f>
        <v>MakeMyTrip</v>
      </c>
      <c r="B2254" s="17" t="str">
        <f>IFERROR(__xludf.DUMMYFUNCTION("""COMPUTED_VALUE"""),"Raj Rishi Singh")</f>
        <v>Raj Rishi Singh</v>
      </c>
      <c r="C2254" s="17" t="str">
        <f>IFERROR(__xludf.DUMMYFUNCTION("""COMPUTED_VALUE"""),"Chief Marketing Officer")</f>
        <v>Chief Marketing Officer</v>
      </c>
      <c r="D2254" s="27" t="str">
        <f>IFERROR(__xludf.DUMMYFUNCTION("""COMPUTED_VALUE"""),"https://www.linkedin.com/in/raj-rishi-singh-49226a2/?originalSubdomain=in")</f>
        <v>https://www.linkedin.com/in/raj-rishi-singh-49226a2/?originalSubdomain=in</v>
      </c>
      <c r="E2254" s="17"/>
      <c r="F2254" s="17" t="str">
        <f>IFERROR(__xludf.DUMMYFUNCTION("""COMPUTED_VALUE"""),"raj.singh@makemytrip.com")</f>
        <v>raj.singh@makemytrip.com</v>
      </c>
      <c r="G2254" s="17" t="str">
        <f>IFERROR(__xludf.DUMMYFUNCTION("""COMPUTED_VALUE"""),"rajrishi78@gmail.com")</f>
        <v>rajrishi78@gmail.com</v>
      </c>
      <c r="H2254" s="17"/>
    </row>
    <row r="2255">
      <c r="A2255" s="17" t="str">
        <f>IFERROR(__xludf.DUMMYFUNCTION("""COMPUTED_VALUE"""),"Mensa Brands")</f>
        <v>Mensa Brands</v>
      </c>
      <c r="B2255" s="17" t="str">
        <f>IFERROR(__xludf.DUMMYFUNCTION("""COMPUTED_VALUE"""),"Manvi Aggarwal")</f>
        <v>Manvi Aggarwal</v>
      </c>
      <c r="C2255" s="17" t="str">
        <f>IFERROR(__xludf.DUMMYFUNCTION("""COMPUTED_VALUE"""),"Business Head")</f>
        <v>Business Head</v>
      </c>
      <c r="D2255" s="27" t="str">
        <f>IFERROR(__xludf.DUMMYFUNCTION("""COMPUTED_VALUE"""),"https://www.linkedin.com/in/manviaggarwal/")</f>
        <v>https://www.linkedin.com/in/manviaggarwal/</v>
      </c>
      <c r="E2255" s="17"/>
      <c r="F2255" s="17" t="str">
        <f>IFERROR(__xludf.DUMMYFUNCTION("""COMPUTED_VALUE"""),"manvi@mensabrands.com")</f>
        <v>manvi@mensabrands.com</v>
      </c>
      <c r="G2255" s="17" t="str">
        <f>IFERROR(__xludf.DUMMYFUNCTION("""COMPUTED_VALUE"""),"manviaggarwal40@gmail.com")</f>
        <v>manviaggarwal40@gmail.com</v>
      </c>
      <c r="H2255" s="17"/>
    </row>
    <row r="2256">
      <c r="A2256" s="17" t="str">
        <f>IFERROR(__xludf.DUMMYFUNCTION("""COMPUTED_VALUE"""),"Mindtickle")</f>
        <v>Mindtickle</v>
      </c>
      <c r="B2256" s="17" t="str">
        <f>IFERROR(__xludf.DUMMYFUNCTION("""COMPUTED_VALUE"""),"Joan Jenkins")</f>
        <v>Joan Jenkins</v>
      </c>
      <c r="C2256" s="17" t="str">
        <f>IFERROR(__xludf.DUMMYFUNCTION("""COMPUTED_VALUE"""),"Chief Marketing Officer")</f>
        <v>Chief Marketing Officer</v>
      </c>
      <c r="D2256" s="27" t="str">
        <f>IFERROR(__xludf.DUMMYFUNCTION("""COMPUTED_VALUE"""),"https://www.linkedin.com/in/joanj/")</f>
        <v>https://www.linkedin.com/in/joanj/</v>
      </c>
      <c r="E2256" s="17"/>
      <c r="F2256" s="17" t="str">
        <f>IFERROR(__xludf.DUMMYFUNCTION("""COMPUTED_VALUE"""),"joan.jenkins@mindtickle.com")</f>
        <v>joan.jenkins@mindtickle.com</v>
      </c>
      <c r="G2256" s="17"/>
      <c r="H2256" s="17"/>
    </row>
    <row r="2257">
      <c r="A2257" s="17" t="str">
        <f>IFERROR(__xludf.DUMMYFUNCTION("""COMPUTED_VALUE"""),"MobiKwik")</f>
        <v>MobiKwik</v>
      </c>
      <c r="B2257" s="17" t="str">
        <f>IFERROR(__xludf.DUMMYFUNCTION("""COMPUTED_VALUE"""),"Jaskaran Kapany")</f>
        <v>Jaskaran Kapany</v>
      </c>
      <c r="C2257" s="17" t="str">
        <f>IFERROR(__xludf.DUMMYFUNCTION("""COMPUTED_VALUE"""),"Chief Marketing Officer")</f>
        <v>Chief Marketing Officer</v>
      </c>
      <c r="D2257" s="27" t="str">
        <f>IFERROR(__xludf.DUMMYFUNCTION("""COMPUTED_VALUE"""),"https://www.linkedin.com/in/jaskaran-singh-kapany-b6852b8/?originalSubdomain=in")</f>
        <v>https://www.linkedin.com/in/jaskaran-singh-kapany-b6852b8/?originalSubdomain=in</v>
      </c>
      <c r="E2257" s="17"/>
      <c r="F2257" s="17" t="str">
        <f>IFERROR(__xludf.DUMMYFUNCTION("""COMPUTED_VALUE"""),"jaskaran.kapany@mobikwik.com")</f>
        <v>jaskaran.kapany@mobikwik.com</v>
      </c>
      <c r="G2257" s="17" t="str">
        <f>IFERROR(__xludf.DUMMYFUNCTION("""COMPUTED_VALUE"""),"jaskarankapany@gmail.com")</f>
        <v>jaskarankapany@gmail.com</v>
      </c>
      <c r="H2257" s="17"/>
    </row>
    <row r="2258">
      <c r="A2258" s="17" t="str">
        <f>IFERROR(__xludf.DUMMYFUNCTION("""COMPUTED_VALUE"""),"Mobile Premier League (MPL)")</f>
        <v>Mobile Premier League (MPL)</v>
      </c>
      <c r="B2258" s="17" t="str">
        <f>IFERROR(__xludf.DUMMYFUNCTION("""COMPUTED_VALUE"""),"Manish Shrivastav")</f>
        <v>Manish Shrivastav</v>
      </c>
      <c r="C2258" s="17" t="str">
        <f>IFERROR(__xludf.DUMMYFUNCTION("""COMPUTED_VALUE"""),"Head of Marketing and Growth")</f>
        <v>Head of Marketing and Growth</v>
      </c>
      <c r="D2258" s="27" t="str">
        <f>IFERROR(__xludf.DUMMYFUNCTION("""COMPUTED_VALUE"""),"https://www.linkedin.com/in/internetecommerce/?originalSubdomain=in")</f>
        <v>https://www.linkedin.com/in/internetecommerce/?originalSubdomain=in</v>
      </c>
      <c r="E2258" s="17"/>
      <c r="F2258" s="17" t="str">
        <f>IFERROR(__xludf.DUMMYFUNCTION("""COMPUTED_VALUE"""),"manmancino@gmail.com")</f>
        <v>manmancino@gmail.com</v>
      </c>
      <c r="G2258" s="17"/>
      <c r="H2258" s="17"/>
    </row>
    <row r="2259">
      <c r="A2259" s="17" t="str">
        <f>IFERROR(__xludf.DUMMYFUNCTION("""COMPUTED_VALUE"""),"Moglix")</f>
        <v>Moglix</v>
      </c>
      <c r="B2259" s="17" t="str">
        <f>IFERROR(__xludf.DUMMYFUNCTION("""COMPUTED_VALUE"""),"Nupur Singh")</f>
        <v>Nupur Singh</v>
      </c>
      <c r="C2259" s="17" t="str">
        <f>IFERROR(__xludf.DUMMYFUNCTION("""COMPUTED_VALUE"""),"Director - Marketing and PR")</f>
        <v>Director - Marketing and PR</v>
      </c>
      <c r="D2259" s="27" t="str">
        <f>IFERROR(__xludf.DUMMYFUNCTION("""COMPUTED_VALUE"""),"https://www.linkedin.com/in/nupurchauhan/")</f>
        <v>https://www.linkedin.com/in/nupurchauhan/</v>
      </c>
      <c r="E2259" s="17"/>
      <c r="F2259" s="17" t="str">
        <f>IFERROR(__xludf.DUMMYFUNCTION("""COMPUTED_VALUE"""),"nupur.singh@moglix.com")</f>
        <v>nupur.singh@moglix.com</v>
      </c>
      <c r="G2259" s="17"/>
      <c r="H2259" s="17"/>
    </row>
    <row r="2260">
      <c r="A2260" s="17" t="str">
        <f>IFERROR(__xludf.DUMMYFUNCTION("""COMPUTED_VALUE"""),"NoBroker")</f>
        <v>NoBroker</v>
      </c>
      <c r="B2260" s="17" t="str">
        <f>IFERROR(__xludf.DUMMYFUNCTION("""COMPUTED_VALUE"""),"Saurabh Garg")</f>
        <v>Saurabh Garg</v>
      </c>
      <c r="C2260" s="17" t="str">
        <f>IFERROR(__xludf.DUMMYFUNCTION("""COMPUTED_VALUE"""),"Co-Founder &amp; CBO (Leads Marketing)")</f>
        <v>Co-Founder &amp; CBO (Leads Marketing)</v>
      </c>
      <c r="D2260" s="27" t="str">
        <f>IFERROR(__xludf.DUMMYFUNCTION("""COMPUTED_VALUE"""),"https://www.linkedin.com/in/saurabh-garg-8876171/?originalSubdomain=in")</f>
        <v>https://www.linkedin.com/in/saurabh-garg-8876171/?originalSubdomain=in</v>
      </c>
      <c r="E2260" s="17"/>
      <c r="F2260" s="17" t="str">
        <f>IFERROR(__xludf.DUMMYFUNCTION("""COMPUTED_VALUE"""),"saurabh@nobroker.in")</f>
        <v>saurabh@nobroker.in</v>
      </c>
      <c r="G2260" s="17" t="str">
        <f>IFERROR(__xludf.DUMMYFUNCTION("""COMPUTED_VALUE"""),"2saurabh@gmail.com")</f>
        <v>2saurabh@gmail.com</v>
      </c>
      <c r="H2260" s="17"/>
    </row>
    <row r="2261">
      <c r="A2261" s="17" t="str">
        <f>IFERROR(__xludf.DUMMYFUNCTION("""COMPUTED_VALUE"""),"OfBusiness")</f>
        <v>OfBusiness</v>
      </c>
      <c r="B2261" s="17" t="str">
        <f>IFERROR(__xludf.DUMMYFUNCTION("""COMPUTED_VALUE"""),"Nitin Jain")</f>
        <v>Nitin Jain</v>
      </c>
      <c r="C2261" s="17" t="str">
        <f>IFERROR(__xludf.DUMMYFUNCTION("""COMPUTED_VALUE"""),"Co-Founder (Leads Business)")</f>
        <v>Co-Founder (Leads Business)</v>
      </c>
      <c r="D2261" s="27" t="str">
        <f>IFERROR(__xludf.DUMMYFUNCTION("""COMPUTED_VALUE"""),"https://www.linkedin.com/in/nitin-jain-17b82310/?originalSubdomain=in")</f>
        <v>https://www.linkedin.com/in/nitin-jain-17b82310/?originalSubdomain=in</v>
      </c>
      <c r="E2261" s="17" t="str">
        <f>IFERROR(__xludf.DUMMYFUNCTION("""COMPUTED_VALUE"""),"98105 99086")</f>
        <v>98105 99086</v>
      </c>
      <c r="F2261" s="17" t="str">
        <f>IFERROR(__xludf.DUMMYFUNCTION("""COMPUTED_VALUE"""),"nitin@ofbusiness.in")</f>
        <v>nitin@ofbusiness.in</v>
      </c>
      <c r="G2261" s="17" t="str">
        <f>IFERROR(__xludf.DUMMYFUNCTION("""COMPUTED_VALUE"""),"nitin7nov@gmail.com")</f>
        <v>nitin7nov@gmail.com</v>
      </c>
      <c r="H2261" s="17"/>
    </row>
    <row r="2262">
      <c r="A2262" s="17" t="str">
        <f>IFERROR(__xludf.DUMMYFUNCTION("""COMPUTED_VALUE"""),"Perfios")</f>
        <v>Perfios</v>
      </c>
      <c r="B2262" s="17" t="str">
        <f>IFERROR(__xludf.DUMMYFUNCTION("""COMPUTED_VALUE"""),"Amit Gupta")</f>
        <v>Amit Gupta</v>
      </c>
      <c r="C2262" s="17" t="str">
        <f>IFERROR(__xludf.DUMMYFUNCTION("""COMPUTED_VALUE"""),"VP - Marketing")</f>
        <v>VP - Marketing</v>
      </c>
      <c r="D2262" s="27" t="str">
        <f>IFERROR(__xludf.DUMMYFUNCTION("""COMPUTED_VALUE"""),"https://www.linkedin.com/in/amit-gupta-ag/")</f>
        <v>https://www.linkedin.com/in/amit-gupta-ag/</v>
      </c>
      <c r="E2262" s="17"/>
      <c r="F2262" s="17" t="str">
        <f>IFERROR(__xludf.DUMMYFUNCTION("""COMPUTED_VALUE"""),"amit.gupta@perfios.com")</f>
        <v>amit.gupta@perfios.com</v>
      </c>
      <c r="G2262" s="17"/>
      <c r="H2262" s="17"/>
    </row>
    <row r="2263">
      <c r="A2263" s="17" t="str">
        <f>IFERROR(__xludf.DUMMYFUNCTION("""COMPUTED_VALUE"""),"PharmEasy")</f>
        <v>PharmEasy</v>
      </c>
      <c r="B2263" s="17" t="str">
        <f>IFERROR(__xludf.DUMMYFUNCTION("""COMPUTED_VALUE"""),"Gaurav Verma")</f>
        <v>Gaurav Verma</v>
      </c>
      <c r="C2263" s="17" t="str">
        <f>IFERROR(__xludf.DUMMYFUNCTION("""COMPUTED_VALUE"""),"Chief Marketing Officer")</f>
        <v>Chief Marketing Officer</v>
      </c>
      <c r="D2263" s="27" t="str">
        <f>IFERROR(__xludf.DUMMYFUNCTION("""COMPUTED_VALUE"""),"https://www.linkedin.com/in/gv-verma/")</f>
        <v>https://www.linkedin.com/in/gv-verma/</v>
      </c>
      <c r="E2263" s="17"/>
      <c r="F2263" s="17" t="str">
        <f>IFERROR(__xludf.DUMMYFUNCTION("""COMPUTED_VALUE"""),"gauravv03@gmail.com")</f>
        <v>gauravv03@gmail.com</v>
      </c>
      <c r="G2263" s="17"/>
      <c r="H2263" s="17"/>
    </row>
    <row r="2264">
      <c r="A2264" s="17" t="str">
        <f>IFERROR(__xludf.DUMMYFUNCTION("""COMPUTED_VALUE"""),"Pine Labs")</f>
        <v>Pine Labs</v>
      </c>
      <c r="B2264" s="17" t="str">
        <f>IFERROR(__xludf.DUMMYFUNCTION("""COMPUTED_VALUE"""),"Kush Mehra")</f>
        <v>Kush Mehra</v>
      </c>
      <c r="C2264" s="17" t="str">
        <f>IFERROR(__xludf.DUMMYFUNCTION("""COMPUTED_VALUE"""),"CBO")</f>
        <v>CBO</v>
      </c>
      <c r="D2264" s="27" t="str">
        <f>IFERROR(__xludf.DUMMYFUNCTION("""COMPUTED_VALUE"""),"https://www.linkedin.com/in/kush-mehra-3877707/")</f>
        <v>https://www.linkedin.com/in/kush-mehra-3877707/</v>
      </c>
      <c r="E2264" s="17"/>
      <c r="F2264" s="17" t="str">
        <f>IFERROR(__xludf.DUMMYFUNCTION("""COMPUTED_VALUE"""),"kush.mehra@pinelabs.com")</f>
        <v>kush.mehra@pinelabs.com</v>
      </c>
      <c r="G2264" s="17"/>
      <c r="H2264" s="17"/>
    </row>
    <row r="2265">
      <c r="A2265" s="17" t="str">
        <f>IFERROR(__xludf.DUMMYFUNCTION("""COMPUTED_VALUE"""),"PolicyBazaar")</f>
        <v>PolicyBazaar</v>
      </c>
      <c r="B2265" s="17" t="str">
        <f>IFERROR(__xludf.DUMMYFUNCTION("""COMPUTED_VALUE"""),"Sai Narayan")</f>
        <v>Sai Narayan</v>
      </c>
      <c r="C2265" s="17" t="str">
        <f>IFERROR(__xludf.DUMMYFUNCTION("""COMPUTED_VALUE"""),"Chief Marketing Officer")</f>
        <v>Chief Marketing Officer</v>
      </c>
      <c r="D2265" s="27" t="str">
        <f>IFERROR(__xludf.DUMMYFUNCTION("""COMPUTED_VALUE"""),"https://www.linkedin.com/in/sai-narayan-9485742/?originalSubdomain=in")</f>
        <v>https://www.linkedin.com/in/sai-narayan-9485742/?originalSubdomain=in</v>
      </c>
      <c r="E2265" s="17"/>
      <c r="F2265" s="17" t="str">
        <f>IFERROR(__xludf.DUMMYFUNCTION("""COMPUTED_VALUE"""),"sai@policybazaar.com")</f>
        <v>sai@policybazaar.com</v>
      </c>
      <c r="G2265" s="17" t="str">
        <f>IFERROR(__xludf.DUMMYFUNCTION("""COMPUTED_VALUE"""),"narayan.sai@gmail.com")</f>
        <v>narayan.sai@gmail.com</v>
      </c>
      <c r="H2265" s="17"/>
    </row>
    <row r="2266">
      <c r="A2266" s="17" t="str">
        <f>IFERROR(__xludf.DUMMYFUNCTION("""COMPUTED_VALUE"""),"Pristyn Care")</f>
        <v>Pristyn Care</v>
      </c>
      <c r="B2266" s="17" t="str">
        <f>IFERROR(__xludf.DUMMYFUNCTION("""COMPUTED_VALUE"""),"Deepinder Singh")</f>
        <v>Deepinder Singh</v>
      </c>
      <c r="C2266" s="17" t="str">
        <f>IFERROR(__xludf.DUMMYFUNCTION("""COMPUTED_VALUE"""),"VP - marketing")</f>
        <v>VP - marketing</v>
      </c>
      <c r="D2266" s="27" t="str">
        <f>IFERROR(__xludf.DUMMYFUNCTION("""COMPUTED_VALUE"""),"https://www.linkedin.com/in/deepinder-singh-b084484b/")</f>
        <v>https://www.linkedin.com/in/deepinder-singh-b084484b/</v>
      </c>
      <c r="E2266" s="17"/>
      <c r="F2266" s="17" t="str">
        <f>IFERROR(__xludf.DUMMYFUNCTION("""COMPUTED_VALUE"""),"deepinder.singh@pristyncare.com")</f>
        <v>deepinder.singh@pristyncare.com</v>
      </c>
      <c r="G2266" s="17"/>
      <c r="H2266" s="17"/>
    </row>
    <row r="2267">
      <c r="A2267" s="17" t="str">
        <f>IFERROR(__xludf.DUMMYFUNCTION("""COMPUTED_VALUE"""),"Purplle")</f>
        <v>Purplle</v>
      </c>
      <c r="B2267" s="17" t="str">
        <f>IFERROR(__xludf.DUMMYFUNCTION("""COMPUTED_VALUE"""),"Nippun Aneja")</f>
        <v>Nippun Aneja</v>
      </c>
      <c r="C2267" s="17" t="str">
        <f>IFERROR(__xludf.DUMMYFUNCTION("""COMPUTED_VALUE"""),"Chief Business Officer")</f>
        <v>Chief Business Officer</v>
      </c>
      <c r="D2267" s="27" t="str">
        <f>IFERROR(__xludf.DUMMYFUNCTION("""COMPUTED_VALUE"""),"https://www.linkedin.com/in/nippun-aneja-16567233/?originalSubdomain=in")</f>
        <v>https://www.linkedin.com/in/nippun-aneja-16567233/?originalSubdomain=in</v>
      </c>
      <c r="E2267" s="17"/>
      <c r="F2267" s="17" t="str">
        <f>IFERROR(__xludf.DUMMYFUNCTION("""COMPUTED_VALUE"""),"anejanippun@gmail.com")</f>
        <v>anejanippun@gmail.com</v>
      </c>
      <c r="G2267" s="17"/>
      <c r="H2267" s="17"/>
    </row>
    <row r="2268">
      <c r="A2268" s="17" t="str">
        <f>IFERROR(__xludf.DUMMYFUNCTION("""COMPUTED_VALUE"""),"Quikr")</f>
        <v>Quikr</v>
      </c>
      <c r="B2268" s="17" t="str">
        <f>IFERROR(__xludf.DUMMYFUNCTION("""COMPUTED_VALUE"""),"Vineet Sehgal")</f>
        <v>Vineet Sehgal</v>
      </c>
      <c r="C2268" s="17" t="str">
        <f>IFERROR(__xludf.DUMMYFUNCTION("""COMPUTED_VALUE"""),"CMO")</f>
        <v>CMO</v>
      </c>
      <c r="D2268" s="27" t="str">
        <f>IFERROR(__xludf.DUMMYFUNCTION("""COMPUTED_VALUE"""),"https://www.linkedin.com/in/vineet-sehgal-8655381/")</f>
        <v>https://www.linkedin.com/in/vineet-sehgal-8655381/</v>
      </c>
      <c r="E2268" s="17"/>
      <c r="F2268" s="17" t="str">
        <f>IFERROR(__xludf.DUMMYFUNCTION("""COMPUTED_VALUE"""),"vineet@quikr.com")</f>
        <v>vineet@quikr.com</v>
      </c>
      <c r="G2268" s="17"/>
      <c r="H2268" s="17"/>
    </row>
    <row r="2269">
      <c r="A2269" s="17" t="str">
        <f>IFERROR(__xludf.DUMMYFUNCTION("""COMPUTED_VALUE"""),"Rapido")</f>
        <v>Rapido</v>
      </c>
      <c r="B2269" s="17" t="str">
        <f>IFERROR(__xludf.DUMMYFUNCTION("""COMPUTED_VALUE"""),"Pawandip Singh")</f>
        <v>Pawandip Singh</v>
      </c>
      <c r="C2269" s="17" t="str">
        <f>IFERROR(__xludf.DUMMYFUNCTION("""COMPUTED_VALUE"""),"VP - marketing")</f>
        <v>VP - marketing</v>
      </c>
      <c r="D2269" s="27" t="str">
        <f>IFERROR(__xludf.DUMMYFUNCTION("""COMPUTED_VALUE"""),"linkedin.com/in/pawandip-singh?originalSubdomain=in")</f>
        <v>linkedin.com/in/pawandip-singh?originalSubdomain=in</v>
      </c>
      <c r="E2269" s="17"/>
      <c r="F2269" s="17" t="str">
        <f>IFERROR(__xludf.DUMMYFUNCTION("""COMPUTED_VALUE"""),"pd_bby@yahoo.co.uk")</f>
        <v>pd_bby@yahoo.co.uk</v>
      </c>
      <c r="G2269" s="17"/>
      <c r="H2269" s="17"/>
    </row>
    <row r="2270">
      <c r="A2270" s="17" t="str">
        <f>IFERROR(__xludf.DUMMYFUNCTION("""COMPUTED_VALUE"""),"RateGain")</f>
        <v>RateGain</v>
      </c>
      <c r="B2270" s="17" t="str">
        <f>IFERROR(__xludf.DUMMYFUNCTION("""COMPUTED_VALUE"""),"Ankit Chaturvedi")</f>
        <v>Ankit Chaturvedi</v>
      </c>
      <c r="C2270" s="17" t="str">
        <f>IFERROR(__xludf.DUMMYFUNCTION("""COMPUTED_VALUE"""),"Global Head of Marketing")</f>
        <v>Global Head of Marketing</v>
      </c>
      <c r="D2270" s="27" t="str">
        <f>IFERROR(__xludf.DUMMYFUNCTION("""COMPUTED_VALUE"""),"https://www.linkedin.com/in/ankitchaturvedi85/?originalSubdomain=in")</f>
        <v>https://www.linkedin.com/in/ankitchaturvedi85/?originalSubdomain=in</v>
      </c>
      <c r="E2270" s="17"/>
      <c r="F2270" s="17" t="str">
        <f>IFERROR(__xludf.DUMMYFUNCTION("""COMPUTED_VALUE"""),"ankit.chaturvedi@rategain.com")</f>
        <v>ankit.chaturvedi@rategain.com</v>
      </c>
      <c r="G2270" s="17"/>
      <c r="H2270" s="17"/>
    </row>
    <row r="2271">
      <c r="A2271" s="17" t="str">
        <f>IFERROR(__xludf.DUMMYFUNCTION("""COMPUTED_VALUE"""),"Razorpay")</f>
        <v>Razorpay</v>
      </c>
      <c r="B2271" s="17" t="str">
        <f>IFERROR(__xludf.DUMMYFUNCTION("""COMPUTED_VALUE"""),"Dushyant Panda")</f>
        <v>Dushyant Panda</v>
      </c>
      <c r="C2271" s="17" t="str">
        <f>IFERROR(__xludf.DUMMYFUNCTION("""COMPUTED_VALUE"""),"VP - Marketing and Business")</f>
        <v>VP - Marketing and Business</v>
      </c>
      <c r="D2271" s="27" t="str">
        <f>IFERROR(__xludf.DUMMYFUNCTION("""COMPUTED_VALUE"""),"https://www.linkedin.com/in/dushyantpanda/?originalSubdomain=in")</f>
        <v>https://www.linkedin.com/in/dushyantpanda/?originalSubdomain=in</v>
      </c>
      <c r="E2271" s="17"/>
      <c r="F2271" s="17" t="str">
        <f>IFERROR(__xludf.DUMMYFUNCTION("""COMPUTED_VALUE"""),"dushyant.panda@razorpay.com")</f>
        <v>dushyant.panda@razorpay.com</v>
      </c>
      <c r="G2271" s="17"/>
      <c r="H2271" s="17"/>
    </row>
    <row r="2272">
      <c r="A2272" s="17" t="str">
        <f>IFERROR(__xludf.DUMMYFUNCTION("""COMPUTED_VALUE"""),"Rebel Foods")</f>
        <v>Rebel Foods</v>
      </c>
      <c r="B2272" s="17" t="str">
        <f>IFERROR(__xludf.DUMMYFUNCTION("""COMPUTED_VALUE"""),"Ankush Grover")</f>
        <v>Ankush Grover</v>
      </c>
      <c r="C2272" s="17" t="str">
        <f>IFERROR(__xludf.DUMMYFUNCTION("""COMPUTED_VALUE"""),"Co-Founder (Leads Growth)")</f>
        <v>Co-Founder (Leads Growth)</v>
      </c>
      <c r="D2272" s="27" t="str">
        <f>IFERROR(__xludf.DUMMYFUNCTION("""COMPUTED_VALUE"""),"https://in.linkedin.com/in/nishant-kedia-78778518")</f>
        <v>https://in.linkedin.com/in/nishant-kedia-78778518</v>
      </c>
      <c r="E2272" s="17"/>
      <c r="F2272" s="17" t="str">
        <f>IFERROR(__xludf.DUMMYFUNCTION("""COMPUTED_VALUE"""),"nishant.kedia@rebelfoods.com")</f>
        <v>nishant.kedia@rebelfoods.com</v>
      </c>
      <c r="G2272" s="17" t="str">
        <f>IFERROR(__xludf.DUMMYFUNCTION("""COMPUTED_VALUE"""),"nishantkedia633@gmail.com")</f>
        <v>nishantkedia633@gmail.com</v>
      </c>
      <c r="H2272" s="17"/>
    </row>
    <row r="2273">
      <c r="A2273" s="17" t="str">
        <f>IFERROR(__xludf.DUMMYFUNCTION("""COMPUTED_VALUE"""),"Rivigo")</f>
        <v>Rivigo</v>
      </c>
      <c r="B2273" s="17" t="str">
        <f>IFERROR(__xludf.DUMMYFUNCTION("""COMPUTED_VALUE"""),"Himanshu Bhattacharjee")</f>
        <v>Himanshu Bhattacharjee</v>
      </c>
      <c r="C2273" s="17" t="str">
        <f>IFERROR(__xludf.DUMMYFUNCTION("""COMPUTED_VALUE"""),"Business Head")</f>
        <v>Business Head</v>
      </c>
      <c r="D2273" s="27" t="str">
        <f>IFERROR(__xludf.DUMMYFUNCTION("""COMPUTED_VALUE"""),"https://www.linkedin.com/in/himanshu-bhatta/")</f>
        <v>https://www.linkedin.com/in/himanshu-bhatta/</v>
      </c>
      <c r="E2273" s="17"/>
      <c r="F2273" s="17" t="str">
        <f>IFERROR(__xludf.DUMMYFUNCTION("""COMPUTED_VALUE"""),"himanshubhattacharjee@gmail.com")</f>
        <v>himanshubhattacharjee@gmail.com</v>
      </c>
      <c r="G2273" s="17"/>
      <c r="H2273" s="17"/>
    </row>
    <row r="2274">
      <c r="A2274" s="17" t="str">
        <f>IFERROR(__xludf.DUMMYFUNCTION("""COMPUTED_VALUE"""),"ShareChat")</f>
        <v>ShareChat</v>
      </c>
      <c r="B2274" s="17" t="str">
        <f>IFERROR(__xludf.DUMMYFUNCTION("""COMPUTED_VALUE"""),"Neha Markanda")</f>
        <v>Neha Markanda</v>
      </c>
      <c r="C2274" s="17" t="str">
        <f>IFERROR(__xludf.DUMMYFUNCTION("""COMPUTED_VALUE"""),"CBO")</f>
        <v>CBO</v>
      </c>
      <c r="D2274" s="27" t="str">
        <f>IFERROR(__xludf.DUMMYFUNCTION("""COMPUTED_VALUE"""),"https://www.linkedin.com/in/neha-markanda-8192325/?originalSubdomain=in")</f>
        <v>https://www.linkedin.com/in/neha-markanda-8192325/?originalSubdomain=in</v>
      </c>
      <c r="E2274" s="17"/>
      <c r="F2274" s="17" t="str">
        <f>IFERROR(__xludf.DUMMYFUNCTION("""COMPUTED_VALUE"""),"nehamarkanda@sharechat.com")</f>
        <v>nehamarkanda@sharechat.com</v>
      </c>
      <c r="G2274" s="17"/>
      <c r="H2274" s="17"/>
    </row>
    <row r="2275">
      <c r="A2275" s="17" t="str">
        <f>IFERROR(__xludf.DUMMYFUNCTION("""COMPUTED_VALUE"""),"Snapdeal")</f>
        <v>Snapdeal</v>
      </c>
      <c r="B2275" s="17" t="str">
        <f>IFERROR(__xludf.DUMMYFUNCTION("""COMPUTED_VALUE"""),"Mayank Jain")</f>
        <v>Mayank Jain</v>
      </c>
      <c r="C2275" s="17" t="str">
        <f>IFERROR(__xludf.DUMMYFUNCTION("""COMPUTED_VALUE"""),"CMO")</f>
        <v>CMO</v>
      </c>
      <c r="D2275" s="27" t="str">
        <f>IFERROR(__xludf.DUMMYFUNCTION("""COMPUTED_VALUE"""),"http://linkedin.com/in/mayank-jain-4989838/")</f>
        <v>http://linkedin.com/in/mayank-jain-4989838/</v>
      </c>
      <c r="E2275" s="17"/>
      <c r="F2275" s="17" t="str">
        <f>IFERROR(__xludf.DUMMYFUNCTION("""COMPUTED_VALUE"""),"mayank.jain@snapdeal.com")</f>
        <v>mayank.jain@snapdeal.com</v>
      </c>
      <c r="G2275" s="17" t="str">
        <f>IFERROR(__xludf.DUMMYFUNCTION("""COMPUTED_VALUE"""),"mayanksmail@gmail.com")</f>
        <v>mayanksmail@gmail.com</v>
      </c>
      <c r="H2275" s="17"/>
    </row>
    <row r="2276">
      <c r="A2276" s="17" t="str">
        <f>IFERROR(__xludf.DUMMYFUNCTION("""COMPUTED_VALUE"""),"Upstox")</f>
        <v>Upstox</v>
      </c>
      <c r="B2276" s="17" t="str">
        <f>IFERROR(__xludf.DUMMYFUNCTION("""COMPUTED_VALUE"""),"Harish Narayanan")</f>
        <v>Harish Narayanan</v>
      </c>
      <c r="C2276" s="17" t="str">
        <f>IFERROR(__xludf.DUMMYFUNCTION("""COMPUTED_VALUE"""),"Ex-CMO (current cmo - hdfc MF")</f>
        <v>Ex-CMO (current cmo - hdfc MF</v>
      </c>
      <c r="D2276" s="27" t="str">
        <f>IFERROR(__xludf.DUMMYFUNCTION("""COMPUTED_VALUE"""),"https://www.linkedin.com/in/theharishnarayanan/?originalSubdomain=in")</f>
        <v>https://www.linkedin.com/in/theharishnarayanan/?originalSubdomain=in</v>
      </c>
      <c r="E2276" s="17" t="str">
        <f>IFERROR(__xludf.DUMMYFUNCTION("""COMPUTED_VALUE"""),"866 073 2477")</f>
        <v>866 073 2477</v>
      </c>
      <c r="F2276" s="17" t="str">
        <f>IFERROR(__xludf.DUMMYFUNCTION("""COMPUTED_VALUE"""),"harishsn@hdfcfund.com")</f>
        <v>harishsn@hdfcfund.com</v>
      </c>
      <c r="G2276" s="17"/>
      <c r="H2276" s="17"/>
    </row>
    <row r="2277">
      <c r="A2277" s="17" t="str">
        <f>IFERROR(__xludf.DUMMYFUNCTION("""COMPUTED_VALUE"""),"Vedantu")</f>
        <v>Vedantu</v>
      </c>
      <c r="B2277" s="17" t="str">
        <f>IFERROR(__xludf.DUMMYFUNCTION("""COMPUTED_VALUE"""),"Kunal Dubey")</f>
        <v>Kunal Dubey</v>
      </c>
      <c r="C2277" s="17" t="str">
        <f>IFERROR(__xludf.DUMMYFUNCTION("""COMPUTED_VALUE"""),"Ex-CMO (current Global Head of Brand and content at Practo)")</f>
        <v>Ex-CMO (current Global Head of Brand and content at Practo)</v>
      </c>
      <c r="D2277" s="27" t="str">
        <f>IFERROR(__xludf.DUMMYFUNCTION("""COMPUTED_VALUE"""),"https://www.linkedin.com/in/kunal-dubey-35b1931b/?originalSubdomain=in")</f>
        <v>https://www.linkedin.com/in/kunal-dubey-35b1931b/?originalSubdomain=in</v>
      </c>
      <c r="E2277" s="17"/>
      <c r="F2277" s="17" t="str">
        <f>IFERROR(__xludf.DUMMYFUNCTION("""COMPUTED_VALUE"""),"kunal.dubey@practo.com")</f>
        <v>kunal.dubey@practo.com</v>
      </c>
      <c r="G2277" s="17" t="str">
        <f>IFERROR(__xludf.DUMMYFUNCTION("""COMPUTED_VALUE"""),"dubeykunal@gmail.com")</f>
        <v>dubeykunal@gmail.com</v>
      </c>
      <c r="H2277" s="17"/>
    </row>
    <row r="2278">
      <c r="A2278" s="17" t="str">
        <f>IFERROR(__xludf.DUMMYFUNCTION("""COMPUTED_VALUE"""),"Xpressbees")</f>
        <v>Xpressbees</v>
      </c>
      <c r="B2278" s="17" t="str">
        <f>IFERROR(__xludf.DUMMYFUNCTION("""COMPUTED_VALUE"""),"Harsha Bhoi")</f>
        <v>Harsha Bhoi</v>
      </c>
      <c r="C2278" s="17" t="str">
        <f>IFERROR(__xludf.DUMMYFUNCTION("""COMPUTED_VALUE"""),"CBO")</f>
        <v>CBO</v>
      </c>
      <c r="D2278" s="27" t="str">
        <f>IFERROR(__xludf.DUMMYFUNCTION("""COMPUTED_VALUE"""),"https://www.linkedin.com/in/harshal-bhoi-2ba0a84b/?originalSubdomain=in")</f>
        <v>https://www.linkedin.com/in/harshal-bhoi-2ba0a84b/?originalSubdomain=in</v>
      </c>
      <c r="E2278" s="17" t="str">
        <f>IFERROR(__xludf.DUMMYFUNCTION("""COMPUTED_VALUE"""),"918411004770")</f>
        <v>918411004770</v>
      </c>
      <c r="F2278" s="17" t="str">
        <f>IFERROR(__xludf.DUMMYFUNCTION("""COMPUTED_VALUE"""),"harshal.bhoi@xpressbees.com")</f>
        <v>harshal.bhoi@xpressbees.com</v>
      </c>
      <c r="G2278" s="17"/>
      <c r="H2278" s="17"/>
    </row>
    <row r="2279">
      <c r="A2279" s="17" t="str">
        <f>IFERROR(__xludf.DUMMYFUNCTION("""COMPUTED_VALUE"""),"Zerodha")</f>
        <v>Zerodha</v>
      </c>
      <c r="B2279" s="17" t="str">
        <f>IFERROR(__xludf.DUMMYFUNCTION("""COMPUTED_VALUE"""),"Sagar Gudekote")</f>
        <v>Sagar Gudekote</v>
      </c>
      <c r="C2279" s="17" t="str">
        <f>IFERROR(__xludf.DUMMYFUNCTION("""COMPUTED_VALUE"""),"VP - Marketing &amp; Content Strategy")</f>
        <v>VP - Marketing &amp; Content Strategy</v>
      </c>
      <c r="D2279" s="27" t="str">
        <f>IFERROR(__xludf.DUMMYFUNCTION("""COMPUTED_VALUE"""),"https://www.linkedin.com/in/sagar-gudekote-337b87120/?originalSubdomain=in")</f>
        <v>https://www.linkedin.com/in/sagar-gudekote-337b87120/?originalSubdomain=in</v>
      </c>
      <c r="E2279" s="17" t="str">
        <f>IFERROR(__xludf.DUMMYFUNCTION("""COMPUTED_VALUE"""),"89048 38190")</f>
        <v>89048 38190</v>
      </c>
      <c r="F2279" s="17" t="str">
        <f>IFERROR(__xludf.DUMMYFUNCTION("""COMPUTED_VALUE"""),"sagar.g@zerodha.com")</f>
        <v>sagar.g@zerodha.com</v>
      </c>
      <c r="G2279" s="17"/>
      <c r="H2279" s="17"/>
    </row>
    <row r="2280">
      <c r="A2280" s="17" t="str">
        <f>IFERROR(__xludf.DUMMYFUNCTION("""COMPUTED_VALUE"""),"Zeta")</f>
        <v>Zeta</v>
      </c>
      <c r="B2280" s="17" t="str">
        <f>IFERROR(__xludf.DUMMYFUNCTION("""COMPUTED_VALUE"""),"Shashank Mehrotra")</f>
        <v>Shashank Mehrotra</v>
      </c>
      <c r="C2280" s="17" t="str">
        <f>IFERROR(__xludf.DUMMYFUNCTION("""COMPUTED_VALUE"""),"CMO")</f>
        <v>CMO</v>
      </c>
      <c r="D2280" s="27" t="str">
        <f>IFERROR(__xludf.DUMMYFUNCTION("""COMPUTED_VALUE"""),"https://www.linkedin.com/in/shashankmehrotra/")</f>
        <v>https://www.linkedin.com/in/shashankmehrotra/</v>
      </c>
      <c r="E2280" s="17"/>
      <c r="F2280" s="17" t="str">
        <f>IFERROR(__xludf.DUMMYFUNCTION("""COMPUTED_VALUE"""),"shashank.mehrotra@zeta.com")</f>
        <v>shashank.mehrotra@zeta.com</v>
      </c>
      <c r="G2280" s="17" t="str">
        <f>IFERROR(__xludf.DUMMYFUNCTION("""COMPUTED_VALUE"""),"shashankmehrotra@gmail.com")</f>
        <v>shashankmehrotra@gmail.com</v>
      </c>
      <c r="H2280" s="17"/>
    </row>
    <row r="2281">
      <c r="A2281" s="17" t="str">
        <f>IFERROR(__xludf.DUMMYFUNCTION("""COMPUTED_VALUE"""),"Zetwerk")</f>
        <v>Zetwerk</v>
      </c>
      <c r="B2281" s="17" t="str">
        <f>IFERROR(__xludf.DUMMYFUNCTION("""COMPUTED_VALUE"""),"Amrit Raj")</f>
        <v>Amrit Raj</v>
      </c>
      <c r="C2281" s="17" t="str">
        <f>IFERROR(__xludf.DUMMYFUNCTION("""COMPUTED_VALUE"""),"Chief Marketing Officer")</f>
        <v>Chief Marketing Officer</v>
      </c>
      <c r="D2281" s="27" t="str">
        <f>IFERROR(__xludf.DUMMYFUNCTION("""COMPUTED_VALUE"""),"https://www.linkedin.com/in/amritraj86/?originalSubdomain=in")</f>
        <v>https://www.linkedin.com/in/amritraj86/?originalSubdomain=in</v>
      </c>
      <c r="E2281" s="17"/>
      <c r="F2281" s="17" t="str">
        <f>IFERROR(__xludf.DUMMYFUNCTION("""COMPUTED_VALUE"""),"amrit.raj@zetwerk.com")</f>
        <v>amrit.raj@zetwerk.com</v>
      </c>
      <c r="G2281" s="17" t="str">
        <f>IFERROR(__xludf.DUMMYFUNCTION("""COMPUTED_VALUE"""),"jhaamrit@gmail.com")</f>
        <v>jhaamrit@gmail.com</v>
      </c>
      <c r="H2281" s="17"/>
    </row>
    <row r="2282">
      <c r="A2282" s="17" t="str">
        <f>IFERROR(__xludf.DUMMYFUNCTION("""COMPUTED_VALUE"""),"Zoho")</f>
        <v>Zoho</v>
      </c>
      <c r="B2282" s="17" t="str">
        <f>IFERROR(__xludf.DUMMYFUNCTION("""COMPUTED_VALUE"""),"Hariharan Muralimanohar")</f>
        <v>Hariharan Muralimanohar</v>
      </c>
      <c r="C2282" s="17" t="str">
        <f>IFERROR(__xludf.DUMMYFUNCTION("""COMPUTED_VALUE"""),"Head of Marketing")</f>
        <v>Head of Marketing</v>
      </c>
      <c r="D2282" s="27" t="str">
        <f>IFERROR(__xludf.DUMMYFUNCTION("""COMPUTED_VALUE"""),"https://www.linkedin.com/in/hariharanmurali/?originalSubdomain=in")</f>
        <v>https://www.linkedin.com/in/hariharanmurali/?originalSubdomain=in</v>
      </c>
      <c r="E2282" s="17" t="str">
        <f>IFERROR(__xludf.DUMMYFUNCTION("""COMPUTED_VALUE"""),"99529 28383")</f>
        <v>99529 28383</v>
      </c>
      <c r="F2282" s="17" t="str">
        <f>IFERROR(__xludf.DUMMYFUNCTION("""COMPUTED_VALUE"""),"hariharan.murali@zohocorp.com")</f>
        <v>hariharan.murali@zohocorp.com</v>
      </c>
      <c r="G2282" s="17"/>
      <c r="H2282" s="17"/>
    </row>
    <row r="2283">
      <c r="A2283" s="17" t="str">
        <f>IFERROR(__xludf.DUMMYFUNCTION("""COMPUTED_VALUE"""),"Snitch")</f>
        <v>Snitch</v>
      </c>
      <c r="B2283" s="17" t="str">
        <f>IFERROR(__xludf.DUMMYFUNCTION("""COMPUTED_VALUE"""),"Chetan Siyal ")</f>
        <v>Chetan Siyal </v>
      </c>
      <c r="C2283" s="17" t="str">
        <f>IFERROR(__xludf.DUMMYFUNCTION("""COMPUTED_VALUE"""),"CMO")</f>
        <v>CMO</v>
      </c>
      <c r="D2283" s="27" t="str">
        <f>IFERROR(__xludf.DUMMYFUNCTION("""COMPUTED_VALUE"""),"https://www.linkedin.com/in/chetan-siyal-299b6830/")</f>
        <v>https://www.linkedin.com/in/chetan-siyal-299b6830/</v>
      </c>
      <c r="E2283" s="17" t="str">
        <f>IFERROR(__xludf.DUMMYFUNCTION("""COMPUTED_VALUE"""),"95388 79070")</f>
        <v>95388 79070</v>
      </c>
      <c r="F2283" s="17" t="str">
        <f>IFERROR(__xludf.DUMMYFUNCTION("""COMPUTED_VALUE"""),"chetan@snitch.co.in")</f>
        <v>chetan@snitch.co.in</v>
      </c>
      <c r="G2283" s="17" t="str">
        <f>IFERROR(__xludf.DUMMYFUNCTION("""COMPUTED_VALUE"""),"chetan.siyal@gmail.com")</f>
        <v>chetan.siyal@gmail.com</v>
      </c>
      <c r="H2283" s="17"/>
    </row>
    <row r="2284">
      <c r="A2284" s="17" t="str">
        <f>IFERROR(__xludf.DUMMYFUNCTION("""COMPUTED_VALUE"""),"Chaayos")</f>
        <v>Chaayos</v>
      </c>
      <c r="B2284" s="17" t="str">
        <f>IFERROR(__xludf.DUMMYFUNCTION("""COMPUTED_VALUE"""),"Ankit Kumar")</f>
        <v>Ankit Kumar</v>
      </c>
      <c r="C2284" s="17" t="str">
        <f>IFERROR(__xludf.DUMMYFUNCTION("""COMPUTED_VALUE"""),"VP - Brand and Marketing")</f>
        <v>VP - Brand and Marketing</v>
      </c>
      <c r="D2284" s="27" t="str">
        <f>IFERROR(__xludf.DUMMYFUNCTION("""COMPUTED_VALUE"""),"https://www.linkedin.com/in/ankitkumardelhi/")</f>
        <v>https://www.linkedin.com/in/ankitkumardelhi/</v>
      </c>
      <c r="E2284" s="17"/>
      <c r="F2284" s="17" t="str">
        <f>IFERROR(__xludf.DUMMYFUNCTION("""COMPUTED_VALUE"""),"akumar@chaayos.com")</f>
        <v>akumar@chaayos.com</v>
      </c>
      <c r="G2284" s="17"/>
      <c r="H2284" s="17"/>
    </row>
    <row r="2285">
      <c r="A2285" s="17" t="str">
        <f>IFERROR(__xludf.DUMMYFUNCTION("""COMPUTED_VALUE"""),"ClassPlus")</f>
        <v>ClassPlus</v>
      </c>
      <c r="B2285" s="17" t="str">
        <f>IFERROR(__xludf.DUMMYFUNCTION("""COMPUTED_VALUE"""),"Ayush Agarwal")</f>
        <v>Ayush Agarwal</v>
      </c>
      <c r="C2285" s="17" t="str">
        <f>IFERROR(__xludf.DUMMYFUNCTION("""COMPUTED_VALUE"""),"Vice President Business")</f>
        <v>Vice President Business</v>
      </c>
      <c r="D2285" s="27" t="str">
        <f>IFERROR(__xludf.DUMMYFUNCTION("""COMPUTED_VALUE"""),"https://www.linkedin.com/in/ayush-agarwal-73066721/overlay/contact-info/?lipi=urn%3Ali%3Apage%3Ad_flagship3_profile_view_base%3BLfgK7N3KQbmuyhaIBWXu%2Fw%3D%3D")</f>
        <v>https://www.linkedin.com/in/ayush-agarwal-73066721/overlay/contact-info/?lipi=urn%3Ali%3Apage%3Ad_flagship3_profile_view_base%3BLfgK7N3KQbmuyhaIBWXu%2Fw%3D%3D</v>
      </c>
      <c r="E2285" s="17" t="str">
        <f>IFERROR(__xludf.DUMMYFUNCTION("""COMPUTED_VALUE"""),"918454943200, ")</f>
        <v>918454943200, </v>
      </c>
      <c r="F2285" s="17" t="str">
        <f>IFERROR(__xludf.DUMMYFUNCTION("""COMPUTED_VALUE"""),"ayush.agarwal@classplus.co")</f>
        <v>ayush.agarwal@classplus.co</v>
      </c>
      <c r="G2285" s="17"/>
      <c r="H2285" s="17"/>
    </row>
    <row r="2286">
      <c r="A2286" s="17" t="str">
        <f>IFERROR(__xludf.DUMMYFUNCTION("""COMPUTED_VALUE"""),"BookMyShow")</f>
        <v>BookMyShow</v>
      </c>
      <c r="B2286" s="17" t="str">
        <f>IFERROR(__xludf.DUMMYFUNCTION("""COMPUTED_VALUE"""),"Dolly Davda")</f>
        <v>Dolly Davda</v>
      </c>
      <c r="C2286" s="17" t="str">
        <f>IFERROR(__xludf.DUMMYFUNCTION("""COMPUTED_VALUE"""),"Head of Marketing")</f>
        <v>Head of Marketing</v>
      </c>
      <c r="D2286" s="27" t="str">
        <f>IFERROR(__xludf.DUMMYFUNCTION("""COMPUTED_VALUE"""),"https://www.linkedin.com/in/dollydavda/overlay/contact-info/?lipi=urn%3Ali%3Apage%3Ad_flagship3_profile_view_base%3BrnhVk5ahSBWanJra7SV8kQ%3D%3D")</f>
        <v>https://www.linkedin.com/in/dollydavda/overlay/contact-info/?lipi=urn%3Ali%3Apage%3Ad_flagship3_profile_view_base%3BrnhVk5ahSBWanJra7SV8kQ%3D%3D</v>
      </c>
      <c r="E2286" s="17" t="str">
        <f>IFERROR(__xludf.DUMMYFUNCTION("""COMPUTED_VALUE"""),"919819419650")</f>
        <v>919819419650</v>
      </c>
      <c r="F2286" s="17" t="str">
        <f>IFERROR(__xludf.DUMMYFUNCTION("""COMPUTED_VALUE"""),"dolly.davda@bookmyshow.com")</f>
        <v>dolly.davda@bookmyshow.com</v>
      </c>
      <c r="G2286" s="17"/>
      <c r="H2286" s="17"/>
    </row>
    <row r="2287">
      <c r="A2287" s="17" t="str">
        <f>IFERROR(__xludf.DUMMYFUNCTION("""COMPUTED_VALUE"""),"Zupee")</f>
        <v>Zupee</v>
      </c>
      <c r="B2287" s="17" t="str">
        <f>IFERROR(__xludf.DUMMYFUNCTION("""COMPUTED_VALUE"""),"Gaurav Mehta")</f>
        <v>Gaurav Mehta</v>
      </c>
      <c r="C2287" s="17" t="str">
        <f>IFERROR(__xludf.DUMMYFUNCTION("""COMPUTED_VALUE"""),"Ex-CMO (Noise, Zupee, Girnarsoft)")</f>
        <v>Ex-CMO (Noise, Zupee, Girnarsoft)</v>
      </c>
      <c r="D2287" s="27" t="str">
        <f>IFERROR(__xludf.DUMMYFUNCTION("""COMPUTED_VALUE"""),"https://www.linkedin.com/in/gaurav-mehta-7a85234/?originalSubdomain=in")</f>
        <v>https://www.linkedin.com/in/gaurav-mehta-7a85234/?originalSubdomain=in</v>
      </c>
      <c r="E2287" s="17"/>
      <c r="F2287" s="17" t="str">
        <f>IFERROR(__xludf.DUMMYFUNCTION("""COMPUTED_VALUE"""),"hailgm1@yahoo.com")</f>
        <v>hailgm1@yahoo.com</v>
      </c>
      <c r="G2287" s="17"/>
      <c r="H2287" s="17"/>
    </row>
    <row r="2288">
      <c r="A2288" s="17" t="str">
        <f>IFERROR(__xludf.DUMMYFUNCTION("""COMPUTED_VALUE"""),"Adda247")</f>
        <v>Adda247</v>
      </c>
      <c r="B2288" s="17" t="str">
        <f>IFERROR(__xludf.DUMMYFUNCTION("""COMPUTED_VALUE"""),"Gurjit Singh")</f>
        <v>Gurjit Singh</v>
      </c>
      <c r="C2288" s="17" t="str">
        <f>IFERROR(__xludf.DUMMYFUNCTION("""COMPUTED_VALUE"""),"Head of Product and Brand Marketing")</f>
        <v>Head of Product and Brand Marketing</v>
      </c>
      <c r="D2288" s="27" t="str">
        <f>IFERROR(__xludf.DUMMYFUNCTION("""COMPUTED_VALUE"""),"https://www.linkedin.com/in/gurjit-singh-8715417a/overlay/contact-info/?lipi=urn%3Ali%3Apage%3Ad_flagship3_profile_view_base%3BI3AVGWv1QRqaMNP4aQD4Yg%3D%3D")</f>
        <v>https://www.linkedin.com/in/gurjit-singh-8715417a/overlay/contact-info/?lipi=urn%3Ali%3Apage%3Ad_flagship3_profile_view_base%3BI3AVGWv1QRqaMNP4aQD4Yg%3D%3D</v>
      </c>
      <c r="E2288" s="17" t="str">
        <f>IFERROR(__xludf.DUMMYFUNCTION("""COMPUTED_VALUE"""),"919654014236")</f>
        <v>919654014236</v>
      </c>
      <c r="F2288" s="17" t="str">
        <f>IFERROR(__xludf.DUMMYFUNCTION("""COMPUTED_VALUE"""),"gurjit@adda247.com")</f>
        <v>gurjit@adda247.com</v>
      </c>
      <c r="G2288" s="17"/>
      <c r="H2288" s="17"/>
    </row>
    <row r="2289">
      <c r="A2289" s="17" t="str">
        <f>IFERROR(__xludf.DUMMYFUNCTION("""COMPUTED_VALUE"""),"WinZO")</f>
        <v>WinZO</v>
      </c>
      <c r="B2289" s="17" t="str">
        <f>IFERROR(__xludf.DUMMYFUNCTION("""COMPUTED_VALUE"""),"Kaushik Thacker")</f>
        <v>Kaushik Thacker</v>
      </c>
      <c r="C2289" s="17"/>
      <c r="D2289" s="17"/>
      <c r="E2289" s="17"/>
      <c r="F2289" s="17"/>
      <c r="G2289" s="17"/>
      <c r="H2289" s="17"/>
    </row>
    <row r="2290">
      <c r="A2290" s="17" t="str">
        <f>IFERROR(__xludf.DUMMYFUNCTION("""COMPUTED_VALUE"""),"Pepperfry")</f>
        <v>Pepperfry</v>
      </c>
      <c r="B2290" s="17" t="str">
        <f>IFERROR(__xludf.DUMMYFUNCTION("""COMPUTED_VALUE"""),"Mahip Dwivedi")</f>
        <v>Mahip Dwivedi</v>
      </c>
      <c r="C2290" s="17" t="str">
        <f>IFERROR(__xludf.DUMMYFUNCTION("""COMPUTED_VALUE"""),"Head of marketing")</f>
        <v>Head of marketing</v>
      </c>
      <c r="D2290" s="27" t="str">
        <f>IFERROR(__xludf.DUMMYFUNCTION("""COMPUTED_VALUE"""),"https://www.linkedin.com/in/mahipd/?originalSubdomain=in")</f>
        <v>https://www.linkedin.com/in/mahipd/?originalSubdomain=in</v>
      </c>
      <c r="E2290" s="17" t="str">
        <f>IFERROR(__xludf.DUMMYFUNCTION("""COMPUTED_VALUE"""),"919620433310")</f>
        <v>919620433310</v>
      </c>
      <c r="F2290" s="17" t="str">
        <f>IFERROR(__xludf.DUMMYFUNCTION("""COMPUTED_VALUE"""),"mahip.d@pepperfry.com")</f>
        <v>mahip.d@pepperfry.com</v>
      </c>
      <c r="G2290" s="17" t="str">
        <f>IFERROR(__xludf.DUMMYFUNCTION("""COMPUTED_VALUE"""),"maheep4u@gmail.com")</f>
        <v>maheep4u@gmail.com</v>
      </c>
      <c r="H2290" s="17"/>
    </row>
    <row r="2291">
      <c r="A2291" s="17" t="str">
        <f>IFERROR(__xludf.DUMMYFUNCTION("""COMPUTED_VALUE"""),"SUGAR Cosmetics")</f>
        <v>SUGAR Cosmetics</v>
      </c>
      <c r="B2291" s="17" t="str">
        <f>IFERROR(__xludf.DUMMYFUNCTION("""COMPUTED_VALUE"""),"Naveen Murali")</f>
        <v>Naveen Murali</v>
      </c>
      <c r="C2291" s="17" t="str">
        <f>IFERROR(__xludf.DUMMYFUNCTION("""COMPUTED_VALUE"""),"VP - Marketing")</f>
        <v>VP - Marketing</v>
      </c>
      <c r="D2291" s="27" t="str">
        <f>IFERROR(__xludf.DUMMYFUNCTION("""COMPUTED_VALUE"""),"https://www.linkedin.com/in/naveenmurali/")</f>
        <v>https://www.linkedin.com/in/naveenmurali/</v>
      </c>
      <c r="E2291" s="17" t="str">
        <f>IFERROR(__xludf.DUMMYFUNCTION("""COMPUTED_VALUE"""),"7506858285")</f>
        <v>7506858285</v>
      </c>
      <c r="F2291" s="17" t="str">
        <f>IFERROR(__xludf.DUMMYFUNCTION("""COMPUTED_VALUE"""),"naveen.murali@sugarcosmetics.com")</f>
        <v>naveen.murali@sugarcosmetics.com</v>
      </c>
      <c r="G2291" s="17" t="str">
        <f>IFERROR(__xludf.DUMMYFUNCTION("""COMPUTED_VALUE"""),"naveenmurali69@gmail.com")</f>
        <v>naveenmurali69@gmail.com</v>
      </c>
      <c r="H2291" s="17"/>
    </row>
    <row r="2292">
      <c r="A2292" s="17" t="str">
        <f>IFERROR(__xludf.DUMMYFUNCTION("""COMPUTED_VALUE"""),"Scalar Academy")</f>
        <v>Scalar Academy</v>
      </c>
      <c r="B2292" s="17" t="str">
        <f>IFERROR(__xludf.DUMMYFUNCTION("""COMPUTED_VALUE"""),"Rahul Karthikeyan")</f>
        <v>Rahul Karthikeyan</v>
      </c>
      <c r="C2292" s="17" t="str">
        <f>IFERROR(__xludf.DUMMYFUNCTION("""COMPUTED_VALUE"""),"Chief Marketing Officer")</f>
        <v>Chief Marketing Officer</v>
      </c>
      <c r="D2292" s="27" t="str">
        <f>IFERROR(__xludf.DUMMYFUNCTION("""COMPUTED_VALUE"""),"https://www.linkedin.com/in/rahulkarthikeyan/overlay/contact-info/?lipi=urn%3Ali%3Apage%3Ad_flagship3_profile_view_base%3B3YmUE5QCQJ6ALO75sRE3GA%3D%3D")</f>
        <v>https://www.linkedin.com/in/rahulkarthikeyan/overlay/contact-info/?lipi=urn%3Ali%3Apage%3Ad_flagship3_profile_view_base%3B3YmUE5QCQJ6ALO75sRE3GA%3D%3D</v>
      </c>
      <c r="E2292" s="17" t="str">
        <f>IFERROR(__xludf.DUMMYFUNCTION("""COMPUTED_VALUE"""),"919819824960")</f>
        <v>919819824960</v>
      </c>
      <c r="F2292" s="17" t="str">
        <f>IFERROR(__xludf.DUMMYFUNCTION("""COMPUTED_VALUE"""),"rahul_karthikeyan@scaler.com")</f>
        <v>rahul_karthikeyan@scaler.com</v>
      </c>
      <c r="G2292" s="17"/>
      <c r="H2292" s="17"/>
    </row>
    <row r="2293">
      <c r="A2293" s="17" t="str">
        <f>IFERROR(__xludf.DUMMYFUNCTION("""COMPUTED_VALUE"""),"Inshorts")</f>
        <v>Inshorts</v>
      </c>
      <c r="B2293" s="17" t="str">
        <f>IFERROR(__xludf.DUMMYFUNCTION("""COMPUTED_VALUE"""),"Sazal Batra")</f>
        <v>Sazal Batra</v>
      </c>
      <c r="C2293" s="17" t="str">
        <f>IFERROR(__xludf.DUMMYFUNCTION("""COMPUTED_VALUE"""),"Director of Growth")</f>
        <v>Director of Growth</v>
      </c>
      <c r="D2293" s="27" t="str">
        <f>IFERROR(__xludf.DUMMYFUNCTION("""COMPUTED_VALUE"""),"https://www.linkedin.com/in/sazal-batra-818a5271/")</f>
        <v>https://www.linkedin.com/in/sazal-batra-818a5271/</v>
      </c>
      <c r="E2293" s="17"/>
      <c r="F2293" s="17" t="str">
        <f>IFERROR(__xludf.DUMMYFUNCTION("""COMPUTED_VALUE"""),"sazal@inshorts.group")</f>
        <v>sazal@inshorts.group</v>
      </c>
      <c r="G2293" s="17"/>
      <c r="H2293" s="17"/>
    </row>
    <row r="2294">
      <c r="A2294" s="17" t="str">
        <f>IFERROR(__xludf.DUMMYFUNCTION("""COMPUTED_VALUE"""),"Interview Kickstart")</f>
        <v>Interview Kickstart</v>
      </c>
      <c r="B2294" s="17" t="str">
        <f>IFERROR(__xludf.DUMMYFUNCTION("""COMPUTED_VALUE"""),"Vanda Ferrao")</f>
        <v>Vanda Ferrao</v>
      </c>
      <c r="C2294" s="17" t="str">
        <f>IFERROR(__xludf.DUMMYFUNCTION("""COMPUTED_VALUE"""),"CMO (ex-cmo of wow, licious)")</f>
        <v>CMO (ex-cmo of wow, licious)</v>
      </c>
      <c r="D2294" s="27" t="str">
        <f>IFERROR(__xludf.DUMMYFUNCTION("""COMPUTED_VALUE"""),"https://www.linkedin.com/in/vanda-ferrao-52368a5/?originalSubdomain=in")</f>
        <v>https://www.linkedin.com/in/vanda-ferrao-52368a5/?originalSubdomain=in</v>
      </c>
      <c r="E2294" s="17" t="str">
        <f>IFERROR(__xludf.DUMMYFUNCTION("""COMPUTED_VALUE"""),"919945542510")</f>
        <v>919945542510</v>
      </c>
      <c r="F2294" s="17" t="str">
        <f>IFERROR(__xludf.DUMMYFUNCTION("""COMPUTED_VALUE"""),"vanda@interviewkickstart.com")</f>
        <v>vanda@interviewkickstart.com</v>
      </c>
      <c r="G2294" s="17"/>
      <c r="H2294" s="17"/>
    </row>
    <row r="2295">
      <c r="A2295" s="17" t="str">
        <f>IFERROR(__xludf.DUMMYFUNCTION("""COMPUTED_VALUE"""),"Cuemath")</f>
        <v>Cuemath</v>
      </c>
      <c r="B2295" s="17" t="str">
        <f>IFERROR(__xludf.DUMMYFUNCTION("""COMPUTED_VALUE"""),"Varun Jha")</f>
        <v>Varun Jha</v>
      </c>
      <c r="C2295" s="17" t="str">
        <f>IFERROR(__xludf.DUMMYFUNCTION("""COMPUTED_VALUE"""),"Global CMO")</f>
        <v>Global CMO</v>
      </c>
      <c r="D2295" s="17" t="str">
        <f>IFERROR(__xludf.DUMMYFUNCTION("""COMPUTED_VALUE"""),"kumarvarunuv@gmail.com")</f>
        <v>kumarvarunuv@gmail.com</v>
      </c>
      <c r="E2295" s="17" t="str">
        <f>IFERROR(__xludf.DUMMYFUNCTION("""COMPUTED_VALUE"""),"(+)91 98715 00322")</f>
        <v>(+)91 98715 00322</v>
      </c>
      <c r="F2295" s="27" t="str">
        <f>IFERROR(__xludf.DUMMYFUNCTION("""COMPUTED_VALUE"""),"https://www.linkedin.com/in/varunjha1/overlay/contact-info/?lipi=urn%3Ali%3Apage%3Ad_flagship3_profile_view_base%3BJyYJdBiYTNiH7WNj1%2BIEHg%3D%3D")</f>
        <v>https://www.linkedin.com/in/varunjha1/overlay/contact-info/?lipi=urn%3Ali%3Apage%3Ad_flagship3_profile_view_base%3BJyYJdBiYTNiH7WNj1%2BIEHg%3D%3D</v>
      </c>
      <c r="G2295" s="17"/>
      <c r="H2295" s="17"/>
    </row>
    <row r="2296">
      <c r="A2296" s="17" t="str">
        <f>IFERROR(__xludf.DUMMYFUNCTION("""COMPUTED_VALUE"""),"MedGenome")</f>
        <v>MedGenome</v>
      </c>
      <c r="B2296" s="17" t="str">
        <f>IFERROR(__xludf.DUMMYFUNCTION("""COMPUTED_VALUE"""),"Vedam Ramprasad")</f>
        <v>Vedam Ramprasad</v>
      </c>
      <c r="C2296" s="17" t="str">
        <f>IFERROR(__xludf.DUMMYFUNCTION("""COMPUTED_VALUE"""),"CEO")</f>
        <v>CEO</v>
      </c>
      <c r="D2296" s="27" t="str">
        <f>IFERROR(__xludf.DUMMYFUNCTION("""COMPUTED_VALUE"""),"https://www.linkedin.com/in/vedam-ramprasad-95124736/?originalSubdomain=in")</f>
        <v>https://www.linkedin.com/in/vedam-ramprasad-95124736/?originalSubdomain=in</v>
      </c>
      <c r="E2296" s="17"/>
      <c r="F2296" s="17" t="str">
        <f>IFERROR(__xludf.DUMMYFUNCTION("""COMPUTED_VALUE"""),"vedam.ramprasad@medgenome.com")</f>
        <v>vedam.ramprasad@medgenome.com</v>
      </c>
      <c r="G2296" s="17"/>
      <c r="H2296" s="17"/>
    </row>
    <row r="2297">
      <c r="A2297" s="17" t="str">
        <f>IFERROR(__xludf.DUMMYFUNCTION("""COMPUTED_VALUE"""),"Pocket FM")</f>
        <v>Pocket FM</v>
      </c>
      <c r="B2297" s="17" t="str">
        <f>IFERROR(__xludf.DUMMYFUNCTION("""COMPUTED_VALUE"""),"Vineet Singh")</f>
        <v>Vineet Singh</v>
      </c>
      <c r="C2297" s="17" t="str">
        <f>IFERROR(__xludf.DUMMYFUNCTION("""COMPUTED_VALUE"""),"SVP - Head of Brand Marketing")</f>
        <v>SVP - Head of Brand Marketing</v>
      </c>
      <c r="D2297" s="27" t="str">
        <f>IFERROR(__xludf.DUMMYFUNCTION("""COMPUTED_VALUE"""),"https://www.linkedin.com/in/vineetsing/")</f>
        <v>https://www.linkedin.com/in/vineetsing/</v>
      </c>
      <c r="E2297" s="17"/>
      <c r="F2297" s="17" t="str">
        <f>IFERROR(__xludf.DUMMYFUNCTION("""COMPUTED_VALUE"""),"vineet@pocketfm.com")</f>
        <v>vineet@pocketfm.com</v>
      </c>
      <c r="G2297" s="17"/>
      <c r="H2297" s="17"/>
    </row>
    <row r="2298">
      <c r="A2298" s="17" t="str">
        <f>IFERROR(__xludf.DUMMYFUNCTION("""COMPUTED_VALUE"""),"DeHaat")</f>
        <v>DeHaat</v>
      </c>
      <c r="B2298" s="17" t="str">
        <f>IFERROR(__xludf.DUMMYFUNCTION("""COMPUTED_VALUE"""),"Adarsh Srivastava")</f>
        <v>Adarsh Srivastava</v>
      </c>
      <c r="C2298" s="17" t="str">
        <f>IFERROR(__xludf.DUMMYFUNCTION("""COMPUTED_VALUE"""),"CMO")</f>
        <v>CMO</v>
      </c>
      <c r="D2298" s="27" t="str">
        <f>IFERROR(__xludf.DUMMYFUNCTION("""COMPUTED_VALUE"""),"https://www.linkedin.com/in/adarsh-srivastava-902008b1/?originalSubdomain=in")</f>
        <v>https://www.linkedin.com/in/adarsh-srivastava-902008b1/?originalSubdomain=in</v>
      </c>
      <c r="E2298" s="17"/>
      <c r="F2298" s="17" t="str">
        <f>IFERROR(__xludf.DUMMYFUNCTION("""COMPUTED_VALUE"""),"adarsh@agrevolution.in")</f>
        <v>adarsh@agrevolution.in</v>
      </c>
      <c r="G2298" s="17"/>
      <c r="H2298" s="17"/>
    </row>
    <row r="2299">
      <c r="A2299" s="17" t="str">
        <f>IFERROR(__xludf.DUMMYFUNCTION("""COMPUTED_VALUE"""),"Cashfree")</f>
        <v>Cashfree</v>
      </c>
      <c r="B2299" s="17" t="str">
        <f>IFERROR(__xludf.DUMMYFUNCTION("""COMPUTED_VALUE"""),"Aditi Olemann")</f>
        <v>Aditi Olemann</v>
      </c>
      <c r="C2299" s="17" t="str">
        <f>IFERROR(__xludf.DUMMYFUNCTION("""COMPUTED_VALUE"""),"Head of Marketing")</f>
        <v>Head of Marketing</v>
      </c>
      <c r="D2299" s="27" t="str">
        <f>IFERROR(__xludf.DUMMYFUNCTION("""COMPUTED_VALUE"""),"https://www.linkedin.com/in/olemann/?originalSubdomain=in")</f>
        <v>https://www.linkedin.com/in/olemann/?originalSubdomain=in</v>
      </c>
      <c r="E2299" s="17"/>
      <c r="F2299" s="17" t="str">
        <f>IFERROR(__xludf.DUMMYFUNCTION("""COMPUTED_VALUE"""),"aditi.olemann@cashfree.com")</f>
        <v>aditi.olemann@cashfree.com</v>
      </c>
      <c r="G2299" s="17"/>
      <c r="H2299" s="17"/>
    </row>
    <row r="2300">
      <c r="A2300" s="17" t="str">
        <f>IFERROR(__xludf.DUMMYFUNCTION("""COMPUTED_VALUE"""),"Netradyne")</f>
        <v>Netradyne</v>
      </c>
      <c r="B2300" s="17" t="str">
        <f>IFERROR(__xludf.DUMMYFUNCTION("""COMPUTED_VALUE"""),"Amith Kumar")</f>
        <v>Amith Kumar</v>
      </c>
      <c r="C2300" s="17" t="str">
        <f>IFERROR(__xludf.DUMMYFUNCTION("""COMPUTED_VALUE"""),"director marketing")</f>
        <v>director marketing</v>
      </c>
      <c r="D2300" s="27" t="str">
        <f>IFERROR(__xludf.DUMMYFUNCTION("""COMPUTED_VALUE"""),"https://www.linkedin.com/in/amit-kumar-marketing/?original_referer=https%3A%2F%2Fwww%2Egoogle%2Ecom%2F&amp;originalSubdomain=in")</f>
        <v>https://www.linkedin.com/in/amit-kumar-marketing/?original_referer=https%3A%2F%2Fwww%2Egoogle%2Ecom%2F&amp;originalSubdomain=in</v>
      </c>
      <c r="E2300" s="17" t="str">
        <f>IFERROR(__xludf.DUMMYFUNCTION("""COMPUTED_VALUE"""),"919530284335")</f>
        <v>919530284335</v>
      </c>
      <c r="F2300" s="17" t="str">
        <f>IFERROR(__xludf.DUMMYFUNCTION("""COMPUTED_VALUE"""),"amit8022@yahoo.co.in")</f>
        <v>amit8022@yahoo.co.in</v>
      </c>
      <c r="G2300" s="17"/>
      <c r="H2300" s="17"/>
    </row>
    <row r="2301">
      <c r="A2301" s="17" t="str">
        <f>IFERROR(__xludf.DUMMYFUNCTION("""COMPUTED_VALUE"""),"BankBazaar")</f>
        <v>BankBazaar</v>
      </c>
      <c r="B2301" s="17" t="str">
        <f>IFERROR(__xludf.DUMMYFUNCTION("""COMPUTED_VALUE"""),"Aparna Mahesh")</f>
        <v>Aparna Mahesh</v>
      </c>
      <c r="C2301" s="17" t="str">
        <f>IFERROR(__xludf.DUMMYFUNCTION("""COMPUTED_VALUE"""),"Ex-CMO")</f>
        <v>Ex-CMO</v>
      </c>
      <c r="D2301" s="27" t="str">
        <f>IFERROR(__xludf.DUMMYFUNCTION("""COMPUTED_VALUE"""),"https://www.linkedin.com/in/aparnamahesh/?originalSubdomain=in")</f>
        <v>https://www.linkedin.com/in/aparnamahesh/?originalSubdomain=in</v>
      </c>
      <c r="E2301" s="17"/>
      <c r="F2301" s="17" t="str">
        <f>IFERROR(__xludf.DUMMYFUNCTION("""COMPUTED_VALUE"""),"aparnamahesh@gmail.com")</f>
        <v>aparnamahesh@gmail.com</v>
      </c>
      <c r="G2301" s="17"/>
      <c r="H2301" s="17"/>
    </row>
    <row r="2302">
      <c r="A2302" s="17" t="str">
        <f>IFERROR(__xludf.DUMMYFUNCTION("""COMPUTED_VALUE"""),"Jupiter")</f>
        <v>Jupiter</v>
      </c>
      <c r="B2302" s="17" t="str">
        <f>IFERROR(__xludf.DUMMYFUNCTION("""COMPUTED_VALUE"""),"Apurv Narang")</f>
        <v>Apurv Narang</v>
      </c>
      <c r="C2302" s="17" t="str">
        <f>IFERROR(__xludf.DUMMYFUNCTION("""COMPUTED_VALUE"""),"ex cmo")</f>
        <v>ex cmo</v>
      </c>
      <c r="D2302" s="27" t="str">
        <f>IFERROR(__xludf.DUMMYFUNCTION("""COMPUTED_VALUE"""),"https://www.linkedin.com/in/apurv-narang-43585856/?originalSubdomain=in")</f>
        <v>https://www.linkedin.com/in/apurv-narang-43585856/?originalSubdomain=in</v>
      </c>
      <c r="E2302" s="17"/>
      <c r="F2302" s="17" t="str">
        <f>IFERROR(__xludf.DUMMYFUNCTION("""COMPUTED_VALUE"""),"apurv@scapia.cards")</f>
        <v>apurv@scapia.cards</v>
      </c>
      <c r="G2302" s="17"/>
      <c r="H2302" s="17"/>
    </row>
    <row r="2303">
      <c r="A2303" s="17" t="str">
        <f>IFERROR(__xludf.DUMMYFUNCTION("""COMPUTED_VALUE"""),"Zaggle")</f>
        <v>Zaggle</v>
      </c>
      <c r="B2303" s="17" t="str">
        <f>IFERROR(__xludf.DUMMYFUNCTION("""COMPUTED_VALUE"""),"Arati Parashar")</f>
        <v>Arati Parashar</v>
      </c>
      <c r="C2303" s="17" t="str">
        <f>IFERROR(__xludf.DUMMYFUNCTION("""COMPUTED_VALUE"""),"Business Head")</f>
        <v>Business Head</v>
      </c>
      <c r="D2303" s="27" t="str">
        <f>IFERROR(__xludf.DUMMYFUNCTION("""COMPUTED_VALUE"""),"https://www.linkedin.com/in/arati-parashar/?originalSubdomain=in")</f>
        <v>https://www.linkedin.com/in/arati-parashar/?originalSubdomain=in</v>
      </c>
      <c r="E2303" s="17"/>
      <c r="F2303" s="17" t="str">
        <f>IFERROR(__xludf.DUMMYFUNCTION("""COMPUTED_VALUE"""),"arati.parashar@zaggle.in")</f>
        <v>arati.parashar@zaggle.in</v>
      </c>
      <c r="G2303" s="17"/>
      <c r="H2303" s="17"/>
    </row>
    <row r="2304">
      <c r="A2304" s="17" t="str">
        <f>IFERROR(__xludf.DUMMYFUNCTION("""COMPUTED_VALUE"""),"Balancehero India")</f>
        <v>Balancehero India</v>
      </c>
      <c r="B2304" s="17" t="str">
        <f>IFERROR(__xludf.DUMMYFUNCTION("""COMPUTED_VALUE"""),"Ashish Aggarwal")</f>
        <v>Ashish Aggarwal</v>
      </c>
      <c r="C2304" s="17" t="str">
        <f>IFERROR(__xludf.DUMMYFUNCTION("""COMPUTED_VALUE"""),"CMO")</f>
        <v>CMO</v>
      </c>
      <c r="D2304" s="27" t="str">
        <f>IFERROR(__xludf.DUMMYFUNCTION("""COMPUTED_VALUE"""),"https://www.linkedin.com/in/ashishbits/?originalSubdomain=in")</f>
        <v>https://www.linkedin.com/in/ashishbits/?originalSubdomain=in</v>
      </c>
      <c r="E2304" s="17"/>
      <c r="F2304" s="17" t="str">
        <f>IFERROR(__xludf.DUMMYFUNCTION("""COMPUTED_VALUE"""),"ashishbitspilani@gmail.com")</f>
        <v>ashishbitspilani@gmail.com</v>
      </c>
      <c r="G2304" s="17"/>
      <c r="H2304" s="17"/>
    </row>
    <row r="2305">
      <c r="A2305" s="17" t="str">
        <f>IFERROR(__xludf.DUMMYFUNCTION("""COMPUTED_VALUE"""),"MoEngage")</f>
        <v>MoEngage</v>
      </c>
      <c r="B2305" s="17" t="str">
        <f>IFERROR(__xludf.DUMMYFUNCTION("""COMPUTED_VALUE"""),"Ashwin Shimoga")</f>
        <v>Ashwin Shimoga</v>
      </c>
      <c r="C2305" s="17" t="str">
        <f>IFERROR(__xludf.DUMMYFUNCTION("""COMPUTED_VALUE"""),"Ex-CMO (cuurent cmo at innovapptive)")</f>
        <v>Ex-CMO (cuurent cmo at innovapptive)</v>
      </c>
      <c r="D2305" s="27" t="str">
        <f>IFERROR(__xludf.DUMMYFUNCTION("""COMPUTED_VALUE"""),"https://www.linkedin.com/in/ashwinsl/?originalSubdomain=in")</f>
        <v>https://www.linkedin.com/in/ashwinsl/?originalSubdomain=in</v>
      </c>
      <c r="E2305" s="17"/>
      <c r="F2305" s="17" t="str">
        <f>IFERROR(__xludf.DUMMYFUNCTION("""COMPUTED_VALUE"""),"ashwin.shimoga@innovapptive.com")</f>
        <v>ashwin.shimoga@innovapptive.com</v>
      </c>
      <c r="G2305" s="17"/>
      <c r="H2305" s="17"/>
    </row>
    <row r="2306">
      <c r="A2306" s="17" t="str">
        <f>IFERROR(__xludf.DUMMYFUNCTION("""COMPUTED_VALUE"""),"Mswipe")</f>
        <v>Mswipe</v>
      </c>
      <c r="B2306" s="17" t="str">
        <f>IFERROR(__xludf.DUMMYFUNCTION("""COMPUTED_VALUE"""),"Harita Desai")</f>
        <v>Harita Desai</v>
      </c>
      <c r="C2306" s="17" t="str">
        <f>IFERROR(__xludf.DUMMYFUNCTION("""COMPUTED_VALUE"""),"Ex-cmo")</f>
        <v>Ex-cmo</v>
      </c>
      <c r="D2306" s="27" t="str">
        <f>IFERROR(__xludf.DUMMYFUNCTION("""COMPUTED_VALUE"""),"https://www.linkedin.com/in/harita-desai-jani-0272716/?originalSubdomain=in")</f>
        <v>https://www.linkedin.com/in/harita-desai-jani-0272716/?originalSubdomain=in</v>
      </c>
      <c r="E2306" s="17"/>
      <c r="F2306" s="17" t="str">
        <f>IFERROR(__xludf.DUMMYFUNCTION("""COMPUTED_VALUE"""),"harita.desai@360.one")</f>
        <v>harita.desai@360.one</v>
      </c>
      <c r="G2306" s="17"/>
      <c r="H2306" s="17"/>
    </row>
    <row r="2307">
      <c r="A2307" s="17" t="str">
        <f>IFERROR(__xludf.DUMMYFUNCTION("""COMPUTED_VALUE"""),"KreditBee")</f>
        <v>KreditBee</v>
      </c>
      <c r="B2307" s="17" t="str">
        <f>IFERROR(__xludf.DUMMYFUNCTION("""COMPUTED_VALUE"""),"Ishan Bose")</f>
        <v>Ishan Bose</v>
      </c>
      <c r="C2307" s="17" t="str">
        <f>IFERROR(__xludf.DUMMYFUNCTION("""COMPUTED_VALUE"""),"CMO")</f>
        <v>CMO</v>
      </c>
      <c r="D2307" s="27" t="str">
        <f>IFERROR(__xludf.DUMMYFUNCTION("""COMPUTED_VALUE"""),"https://www.linkedin.com/in/ishanbose31/?originalSubdomain=in")</f>
        <v>https://www.linkedin.com/in/ishanbose31/?originalSubdomain=in</v>
      </c>
      <c r="E2307" s="17"/>
      <c r="F2307" s="17" t="str">
        <f>IFERROR(__xludf.DUMMYFUNCTION("""COMPUTED_VALUE"""),"ishan@kreditbee.in")</f>
        <v>ishan@kreditbee.in</v>
      </c>
      <c r="G2307" s="17" t="str">
        <f>IFERROR(__xludf.DUMMYFUNCTION("""COMPUTED_VALUE"""),"ishanbose31@gmail.com")</f>
        <v>ishanbose31@gmail.com</v>
      </c>
      <c r="H2307" s="17"/>
    </row>
    <row r="2308">
      <c r="A2308" s="17" t="str">
        <f>IFERROR(__xludf.DUMMYFUNCTION("""COMPUTED_VALUE"""),"Pratilipi")</f>
        <v>Pratilipi</v>
      </c>
      <c r="B2308" s="17" t="str">
        <f>IFERROR(__xludf.DUMMYFUNCTION("""COMPUTED_VALUE"""),"Mayank Drolia")</f>
        <v>Mayank Drolia</v>
      </c>
      <c r="C2308" s="17" t="str">
        <f>IFERROR(__xludf.DUMMYFUNCTION("""COMPUTED_VALUE"""),"Head of Growth")</f>
        <v>Head of Growth</v>
      </c>
      <c r="D2308" s="27" t="str">
        <f>IFERROR(__xludf.DUMMYFUNCTION("""COMPUTED_VALUE"""),"https://www.linkedin.com/in/mayankdrolia/?originalSubdomain=in")</f>
        <v>https://www.linkedin.com/in/mayankdrolia/?originalSubdomain=in</v>
      </c>
      <c r="E2308" s="17"/>
      <c r="F2308" s="17" t="str">
        <f>IFERROR(__xludf.DUMMYFUNCTION("""COMPUTED_VALUE"""),"mayank@pratilipi.com")</f>
        <v>mayank@pratilipi.com</v>
      </c>
      <c r="G2308" s="17"/>
      <c r="H2308" s="17"/>
    </row>
    <row r="2309">
      <c r="A2309" s="17" t="str">
        <f>IFERROR(__xludf.DUMMYFUNCTION("""COMPUTED_VALUE"""),"Stashfin")</f>
        <v>Stashfin</v>
      </c>
      <c r="B2309" s="17" t="str">
        <f>IFERROR(__xludf.DUMMYFUNCTION("""COMPUTED_VALUE"""),"Monika Mishra")</f>
        <v>Monika Mishra</v>
      </c>
      <c r="C2309" s="17" t="str">
        <f>IFERROR(__xludf.DUMMYFUNCTION("""COMPUTED_VALUE"""),"Head of Marketing")</f>
        <v>Head of Marketing</v>
      </c>
      <c r="D2309" s="27" t="str">
        <f>IFERROR(__xludf.DUMMYFUNCTION("""COMPUTED_VALUE"""),"https://www.linkedin.com/in/monikamishra/?originalSubdomain=in")</f>
        <v>https://www.linkedin.com/in/monikamishra/?originalSubdomain=in</v>
      </c>
      <c r="E2309" s="17" t="str">
        <f>IFERROR(__xludf.DUMMYFUNCTION("""COMPUTED_VALUE"""),"19088480262")</f>
        <v>19088480262</v>
      </c>
      <c r="F2309" s="17" t="str">
        <f>IFERROR(__xludf.DUMMYFUNCTION("""COMPUTED_VALUE"""),"mmishra0689@gmail.com")</f>
        <v>mmishra0689@gmail.com</v>
      </c>
      <c r="G2309" s="17"/>
      <c r="H2309" s="17"/>
    </row>
    <row r="2310">
      <c r="A2310" s="17" t="str">
        <f>IFERROR(__xludf.DUMMYFUNCTION("""COMPUTED_VALUE"""),"LambdaTest")</f>
        <v>LambdaTest</v>
      </c>
      <c r="B2310" s="17" t="str">
        <f>IFERROR(__xludf.DUMMYFUNCTION("""COMPUTED_VALUE"""),"Mudit Singh")</f>
        <v>Mudit Singh</v>
      </c>
      <c r="C2310" s="17" t="str">
        <f>IFERROR(__xludf.DUMMYFUNCTION("""COMPUTED_VALUE"""),"VP - Growth")</f>
        <v>VP - Growth</v>
      </c>
      <c r="D2310" s="27" t="str">
        <f>IFERROR(__xludf.DUMMYFUNCTION("""COMPUTED_VALUE"""),"https://www.linkedin.com/in/muditsingh5000/?originalSubdomain=in")</f>
        <v>https://www.linkedin.com/in/muditsingh5000/?originalSubdomain=in</v>
      </c>
      <c r="E2310" s="17"/>
      <c r="F2310" s="17" t="str">
        <f>IFERROR(__xludf.DUMMYFUNCTION("""COMPUTED_VALUE"""),"mudits@lambdatest.com")</f>
        <v>mudits@lambdatest.com</v>
      </c>
      <c r="G2310" s="17"/>
      <c r="H2310" s="17"/>
    </row>
    <row r="2311">
      <c r="A2311" s="17" t="str">
        <f>IFERROR(__xludf.DUMMYFUNCTION("""COMPUTED_VALUE"""),"Yulu")</f>
        <v>Yulu</v>
      </c>
      <c r="B2311" s="17" t="str">
        <f>IFERROR(__xludf.DUMMYFUNCTION("""COMPUTED_VALUE"""),"Neeraj Kumar")</f>
        <v>Neeraj Kumar</v>
      </c>
      <c r="C2311" s="17" t="str">
        <f>IFERROR(__xludf.DUMMYFUNCTION("""COMPUTED_VALUE"""),"Business Head")</f>
        <v>Business Head</v>
      </c>
      <c r="D2311" s="27" t="str">
        <f>IFERROR(__xludf.DUMMYFUNCTION("""COMPUTED_VALUE"""),"https://www.linkedin.com/in/neerajkumar10/?originalSubdomain=in")</f>
        <v>https://www.linkedin.com/in/neerajkumar10/?originalSubdomain=in</v>
      </c>
      <c r="E2311" s="17"/>
      <c r="F2311" s="17" t="str">
        <f>IFERROR(__xludf.DUMMYFUNCTION("""COMPUTED_VALUE"""),"neeraj.kumar@yulu.bike")</f>
        <v>neeraj.kumar@yulu.bike</v>
      </c>
      <c r="G2311" s="17"/>
      <c r="H2311" s="17"/>
    </row>
    <row r="2312">
      <c r="A2312" s="17" t="str">
        <f>IFERROR(__xludf.DUMMYFUNCTION("""COMPUTED_VALUE"""),"Medikabazaar")</f>
        <v>Medikabazaar</v>
      </c>
      <c r="B2312" s="17" t="str">
        <f>IFERROR(__xludf.DUMMYFUNCTION("""COMPUTED_VALUE"""),"Nimisha Bhagwat")</f>
        <v>Nimisha Bhagwat</v>
      </c>
      <c r="C2312" s="17" t="str">
        <f>IFERROR(__xludf.DUMMYFUNCTION("""COMPUTED_VALUE"""),"VP - Marketing")</f>
        <v>VP - Marketing</v>
      </c>
      <c r="D2312" s="27" t="str">
        <f>IFERROR(__xludf.DUMMYFUNCTION("""COMPUTED_VALUE"""),"https://www.linkedin.com/in/nimisha-bhagwat-8465704/?originalSubdomain=in")</f>
        <v>https://www.linkedin.com/in/nimisha-bhagwat-8465704/?originalSubdomain=in</v>
      </c>
      <c r="E2312" s="17"/>
      <c r="F2312" s="17" t="str">
        <f>IFERROR(__xludf.DUMMYFUNCTION("""COMPUTED_VALUE"""),"nimisha.bhagwat@medikabazaar.com")</f>
        <v>nimisha.bhagwat@medikabazaar.com</v>
      </c>
      <c r="G2312" s="17"/>
      <c r="H2312" s="17"/>
    </row>
    <row r="2313">
      <c r="A2313" s="17" t="str">
        <f>IFERROR(__xludf.DUMMYFUNCTION("""COMPUTED_VALUE"""),"Finova Capital")</f>
        <v>Finova Capital</v>
      </c>
      <c r="B2313" s="17" t="str">
        <f>IFERROR(__xludf.DUMMYFUNCTION("""COMPUTED_VALUE"""),"Praful Ranjan")</f>
        <v>Praful Ranjan</v>
      </c>
      <c r="C2313" s="17" t="str">
        <f>IFERROR(__xludf.DUMMYFUNCTION("""COMPUTED_VALUE"""),"SVP sales")</f>
        <v>SVP sales</v>
      </c>
      <c r="D2313" s="27" t="str">
        <f>IFERROR(__xludf.DUMMYFUNCTION("""COMPUTED_VALUE"""),"https://www.linkedin.com/in/praful-ranjan-83784313/?originalSubdomain=in")</f>
        <v>https://www.linkedin.com/in/praful-ranjan-83784313/?originalSubdomain=in</v>
      </c>
      <c r="E2313" s="17"/>
      <c r="F2313" s="17" t="str">
        <f>IFERROR(__xludf.DUMMYFUNCTION("""COMPUTED_VALUE"""),"pranjan@finova.in")</f>
        <v>pranjan@finova.in</v>
      </c>
      <c r="G2313" s="17"/>
      <c r="H2313" s="17"/>
    </row>
    <row r="2314">
      <c r="A2314" s="17" t="str">
        <f>IFERROR(__xludf.DUMMYFUNCTION("""COMPUTED_VALUE"""),"Stanza Living")</f>
        <v>Stanza Living</v>
      </c>
      <c r="B2314" s="17" t="str">
        <f>IFERROR(__xludf.DUMMYFUNCTION("""COMPUTED_VALUE"""),"Prajeesh Vijayan")</f>
        <v>Prajeesh Vijayan</v>
      </c>
      <c r="C2314" s="17" t="str">
        <f>IFERROR(__xludf.DUMMYFUNCTION("""COMPUTED_VALUE"""),"Business head")</f>
        <v>Business head</v>
      </c>
      <c r="D2314" s="27" t="str">
        <f>IFERROR(__xludf.DUMMYFUNCTION("""COMPUTED_VALUE"""),"https://www.linkedin.com/in/prajeesh-vijayan-b68a5015/?originalSubdomain=in")</f>
        <v>https://www.linkedin.com/in/prajeesh-vijayan-b68a5015/?originalSubdomain=in</v>
      </c>
      <c r="E2314" s="17"/>
      <c r="F2314" s="17" t="str">
        <f>IFERROR(__xludf.DUMMYFUNCTION("""COMPUTED_VALUE"""),"prajime@gmail.com")</f>
        <v>prajime@gmail.com</v>
      </c>
      <c r="G2314" s="17"/>
      <c r="H2314" s="17"/>
    </row>
    <row r="2315">
      <c r="A2315" s="17" t="str">
        <f>IFERROR(__xludf.DUMMYFUNCTION("""COMPUTED_VALUE"""),"Zenwork")</f>
        <v>Zenwork</v>
      </c>
      <c r="B2315" s="17" t="str">
        <f>IFERROR(__xludf.DUMMYFUNCTION("""COMPUTED_VALUE"""),"Pranav Kumar")</f>
        <v>Pranav Kumar</v>
      </c>
      <c r="C2315" s="17" t="str">
        <f>IFERROR(__xludf.DUMMYFUNCTION("""COMPUTED_VALUE"""),"VP - Growth")</f>
        <v>VP - Growth</v>
      </c>
      <c r="D2315" s="27" t="str">
        <f>IFERROR(__xludf.DUMMYFUNCTION("""COMPUTED_VALUE"""),"https://www.linkedin.com/in/pranavkumar88/?originalSubdomain=in")</f>
        <v>https://www.linkedin.com/in/pranavkumar88/?originalSubdomain=in</v>
      </c>
      <c r="E2315" s="17"/>
      <c r="F2315" s="17" t="str">
        <f>IFERROR(__xludf.DUMMYFUNCTION("""COMPUTED_VALUE"""),"pranav@zenwork.com")</f>
        <v>pranav@zenwork.com</v>
      </c>
      <c r="G2315" s="17"/>
      <c r="H2315" s="17"/>
    </row>
    <row r="2316">
      <c r="A2316" s="17" t="str">
        <f>IFERROR(__xludf.DUMMYFUNCTION("""COMPUTED_VALUE"""),"Money View")</f>
        <v>Money View</v>
      </c>
      <c r="B2316" s="17" t="str">
        <f>IFERROR(__xludf.DUMMYFUNCTION("""COMPUTED_VALUE"""),"Prasanth Naidu")</f>
        <v>Prasanth Naidu</v>
      </c>
      <c r="C2316" s="17" t="str">
        <f>IFERROR(__xludf.DUMMYFUNCTION("""COMPUTED_VALUE"""),"CMO")</f>
        <v>CMO</v>
      </c>
      <c r="D2316" s="27" t="str">
        <f>IFERROR(__xludf.DUMMYFUNCTION("""COMPUTED_VALUE"""),"https://www.linkedin.com/in/prasanth-naidu-9b05a638/?originalSubdomain=in")</f>
        <v>https://www.linkedin.com/in/prasanth-naidu-9b05a638/?originalSubdomain=in</v>
      </c>
      <c r="E2316" s="17"/>
      <c r="F2316" s="17" t="str">
        <f>IFERROR(__xludf.DUMMYFUNCTION("""COMPUTED_VALUE"""),"prasanth.naidu@moneyview.in")</f>
        <v>prasanth.naidu@moneyview.in</v>
      </c>
      <c r="G2316" s="17"/>
      <c r="H2316" s="17"/>
    </row>
    <row r="2317">
      <c r="A2317" s="17" t="str">
        <f>IFERROR(__xludf.DUMMYFUNCTION("""COMPUTED_VALUE"""),"Lendingkart")</f>
        <v>Lendingkart</v>
      </c>
      <c r="B2317" s="17" t="str">
        <f>IFERROR(__xludf.DUMMYFUNCTION("""COMPUTED_VALUE"""),"Ram Deshpande")</f>
        <v>Ram Deshpande</v>
      </c>
      <c r="C2317" s="17" t="str">
        <f>IFERROR(__xludf.DUMMYFUNCTION("""COMPUTED_VALUE"""),"Ex-cmo")</f>
        <v>Ex-cmo</v>
      </c>
      <c r="D2317" s="27" t="str">
        <f>IFERROR(__xludf.DUMMYFUNCTION("""COMPUTED_VALUE"""),"https://www.linkedin.com/in/ram-deshpande-ramd316/?originalSubdomain=in")</f>
        <v>https://www.linkedin.com/in/ram-deshpande-ramd316/?originalSubdomain=in</v>
      </c>
      <c r="E2317" s="17" t="str">
        <f>IFERROR(__xludf.DUMMYFUNCTION("""COMPUTED_VALUE"""),"95608 96119")</f>
        <v>95608 96119</v>
      </c>
      <c r="F2317" s="17" t="str">
        <f>IFERROR(__xludf.DUMMYFUNCTION("""COMPUTED_VALUE"""),"ram.deshpande@gmail.com")</f>
        <v>ram.deshpande@gmail.com</v>
      </c>
      <c r="G2317" s="17" t="str">
        <f>IFERROR(__xludf.DUMMYFUNCTION("""COMPUTED_VALUE"""),"ramdeshpande@gmail.com")</f>
        <v>ramdeshpande@gmail.com</v>
      </c>
      <c r="H2317" s="17"/>
    </row>
    <row r="2318">
      <c r="A2318" s="17" t="str">
        <f>IFERROR(__xludf.DUMMYFUNCTION("""COMPUTED_VALUE"""),"GIVA")</f>
        <v>GIVA</v>
      </c>
      <c r="B2318" s="17" t="str">
        <f>IFERROR(__xludf.DUMMYFUNCTION("""COMPUTED_VALUE"""),"Resha jain")</f>
        <v>Resha jain</v>
      </c>
      <c r="C2318" s="17" t="str">
        <f>IFERROR(__xludf.DUMMYFUNCTION("""COMPUTED_VALUE"""),"Chief Brand Officer")</f>
        <v>Chief Brand Officer</v>
      </c>
      <c r="D2318" s="27" t="str">
        <f>IFERROR(__xludf.DUMMYFUNCTION("""COMPUTED_VALUE"""),"https://www.linkedin.com/in/resha-jain-4864007/?originalSubdomain=in")</f>
        <v>https://www.linkedin.com/in/resha-jain-4864007/?originalSubdomain=in</v>
      </c>
      <c r="E2318" s="17" t="str">
        <f>IFERROR(__xludf.DUMMYFUNCTION("""COMPUTED_VALUE"""),"919845665413")</f>
        <v>919845665413</v>
      </c>
      <c r="F2318" s="17" t="str">
        <f>IFERROR(__xludf.DUMMYFUNCTION("""COMPUTED_VALUE"""),"reshajain@gmail.com")</f>
        <v>reshajain@gmail.com</v>
      </c>
      <c r="G2318" s="17"/>
      <c r="H2318" s="17"/>
    </row>
    <row r="2319">
      <c r="A2319" s="17" t="str">
        <f>IFERROR(__xludf.DUMMYFUNCTION("""COMPUTED_VALUE"""),"PayMate")</f>
        <v>PayMate</v>
      </c>
      <c r="B2319" s="17" t="str">
        <f>IFERROR(__xludf.DUMMYFUNCTION("""COMPUTED_VALUE"""),"Roopali Kagalwala")</f>
        <v>Roopali Kagalwala</v>
      </c>
      <c r="C2319" s="17" t="str">
        <f>IFERROR(__xludf.DUMMYFUNCTION("""COMPUTED_VALUE"""),"cmo")</f>
        <v>cmo</v>
      </c>
      <c r="D2319" s="27" t="str">
        <f>IFERROR(__xludf.DUMMYFUNCTION("""COMPUTED_VALUE"""),"https://www.linkedin.com/in/roopalikagalwala/?originalSubdomain=in")</f>
        <v>https://www.linkedin.com/in/roopalikagalwala/?originalSubdomain=in</v>
      </c>
      <c r="E2319" s="17"/>
      <c r="F2319" s="17" t="str">
        <f>IFERROR(__xludf.DUMMYFUNCTION("""COMPUTED_VALUE"""),"roops91277@yahoo.com")</f>
        <v>roops91277@yahoo.com</v>
      </c>
      <c r="G2319" s="17"/>
      <c r="H2319" s="17"/>
    </row>
    <row r="2320">
      <c r="A2320" s="17" t="str">
        <f>IFERROR(__xludf.DUMMYFUNCTION("""COMPUTED_VALUE"""),"Turtlemint")</f>
        <v>Turtlemint</v>
      </c>
      <c r="B2320" s="17" t="str">
        <f>IFERROR(__xludf.DUMMYFUNCTION("""COMPUTED_VALUE"""),"Saunak Ghosh")</f>
        <v>Saunak Ghosh</v>
      </c>
      <c r="C2320" s="17" t="str">
        <f>IFERROR(__xludf.DUMMYFUNCTION("""COMPUTED_VALUE"""),"Ex cmo")</f>
        <v>Ex cmo</v>
      </c>
      <c r="D2320" s="27" t="str">
        <f>IFERROR(__xludf.DUMMYFUNCTION("""COMPUTED_VALUE"""),"https://www.linkedin.com/in/saunakghosh/?originalSubdomain=in")</f>
        <v>https://www.linkedin.com/in/saunakghosh/?originalSubdomain=in</v>
      </c>
      <c r="E2320" s="17"/>
      <c r="F2320" s="17" t="str">
        <f>IFERROR(__xludf.DUMMYFUNCTION("""COMPUTED_VALUE"""),"saunakghosh@gmail.com")</f>
        <v>saunakghosh@gmail.com</v>
      </c>
      <c r="G2320" s="17"/>
      <c r="H2320" s="17"/>
    </row>
    <row r="2321">
      <c r="A2321" s="17" t="str">
        <f>IFERROR(__xludf.DUMMYFUNCTION("""COMPUTED_VALUE"""),"Zolve")</f>
        <v>Zolve</v>
      </c>
      <c r="B2321" s="17" t="str">
        <f>IFERROR(__xludf.DUMMYFUNCTION("""COMPUTED_VALUE"""),"Savijeet Singh")</f>
        <v>Savijeet Singh</v>
      </c>
      <c r="C2321" s="17" t="str">
        <f>IFERROR(__xludf.DUMMYFUNCTION("""COMPUTED_VALUE"""),"Director of growth")</f>
        <v>Director of growth</v>
      </c>
      <c r="D2321" s="27" t="str">
        <f>IFERROR(__xludf.DUMMYFUNCTION("""COMPUTED_VALUE"""),"https://www.linkedin.com/in/savijeetsingh/?originalSubdomain=in")</f>
        <v>https://www.linkedin.com/in/savijeetsingh/?originalSubdomain=in</v>
      </c>
      <c r="E2321" s="17"/>
      <c r="F2321" s="17" t="str">
        <f>IFERROR(__xludf.DUMMYFUNCTION("""COMPUTED_VALUE"""),"savijeet21@yahoo.in")</f>
        <v>savijeet21@yahoo.in</v>
      </c>
      <c r="G2321" s="17"/>
      <c r="H2321" s="17"/>
    </row>
    <row r="2322">
      <c r="A2322" s="17" t="str">
        <f>IFERROR(__xludf.DUMMYFUNCTION("""COMPUTED_VALUE"""),"Kissht")</f>
        <v>Kissht</v>
      </c>
      <c r="B2322" s="17" t="str">
        <f>IFERROR(__xludf.DUMMYFUNCTION("""COMPUTED_VALUE"""),"Shwetha Iyer")</f>
        <v>Shwetha Iyer</v>
      </c>
      <c r="C2322" s="17" t="str">
        <f>IFERROR(__xludf.DUMMYFUNCTION("""COMPUTED_VALUE"""),"Head of Marketing")</f>
        <v>Head of Marketing</v>
      </c>
      <c r="D2322" s="27" t="str">
        <f>IFERROR(__xludf.DUMMYFUNCTION("""COMPUTED_VALUE"""),"https://www.linkedin.com/in/shwetha811/?originalSubdomain=in")</f>
        <v>https://www.linkedin.com/in/shwetha811/?originalSubdomain=in</v>
      </c>
      <c r="E2322" s="17"/>
      <c r="F2322" s="17" t="str">
        <f>IFERROR(__xludf.DUMMYFUNCTION("""COMPUTED_VALUE"""),"shwetha.iyer@kissht.com")</f>
        <v>shwetha.iyer@kissht.com</v>
      </c>
      <c r="G2322" s="17"/>
      <c r="H2322" s="17"/>
    </row>
    <row r="2323">
      <c r="A2323" s="17" t="str">
        <f>IFERROR(__xludf.DUMMYFUNCTION("""COMPUTED_VALUE"""),"Simple Energy")</f>
        <v>Simple Energy</v>
      </c>
      <c r="B2323" s="17" t="str">
        <f>IFERROR(__xludf.DUMMYFUNCTION("""COMPUTED_VALUE"""),"Smitha Rao")</f>
        <v>Smitha Rao</v>
      </c>
      <c r="C2323" s="17" t="str">
        <f>IFERROR(__xludf.DUMMYFUNCTION("""COMPUTED_VALUE"""),"GM - PR, Marketing")</f>
        <v>GM - PR, Marketing</v>
      </c>
      <c r="D2323" s="27" t="str">
        <f>IFERROR(__xludf.DUMMYFUNCTION("""COMPUTED_VALUE"""),"https://www.linkedin.com/in/smitha-rao-461621138/?originalSubdomain=in")</f>
        <v>https://www.linkedin.com/in/smitha-rao-461621138/?originalSubdomain=in</v>
      </c>
      <c r="E2323" s="17"/>
      <c r="F2323" s="17" t="str">
        <f>IFERROR(__xludf.DUMMYFUNCTION("""COMPUTED_VALUE"""),"smitha.rao@simpleenergy.in")</f>
        <v>smitha.rao@simpleenergy.in</v>
      </c>
      <c r="G2323" s="17"/>
      <c r="H2323" s="17"/>
    </row>
    <row r="2324">
      <c r="A2324" s="17" t="str">
        <f>IFERROR(__xludf.DUMMYFUNCTION("""COMPUTED_VALUE"""),"Whatfix")</f>
        <v>Whatfix</v>
      </c>
      <c r="B2324" s="17" t="str">
        <f>IFERROR(__xludf.DUMMYFUNCTION("""COMPUTED_VALUE"""),"Supriya Goswami")</f>
        <v>Supriya Goswami</v>
      </c>
      <c r="C2324" s="17" t="str">
        <f>IFERROR(__xludf.DUMMYFUNCTION("""COMPUTED_VALUE"""),"CMO")</f>
        <v>CMO</v>
      </c>
      <c r="D2324" s="27" t="str">
        <f>IFERROR(__xludf.DUMMYFUNCTION("""COMPUTED_VALUE"""),"https://www.linkedin.com/in/supriyagoswami/")</f>
        <v>https://www.linkedin.com/in/supriyagoswami/</v>
      </c>
      <c r="E2324" s="17"/>
      <c r="F2324" s="17" t="str">
        <f>IFERROR(__xludf.DUMMYFUNCTION("""COMPUTED_VALUE"""),"supriya.goswami@whatfix.com")</f>
        <v>supriya.goswami@whatfix.com</v>
      </c>
      <c r="G2324" s="17" t="str">
        <f>IFERROR(__xludf.DUMMYFUNCTION("""COMPUTED_VALUE"""),"supriyagoswami@gmail.com")</f>
        <v>supriyagoswami@gmail.com</v>
      </c>
      <c r="H2324" s="17"/>
    </row>
    <row r="2325">
      <c r="A2325" s="17" t="str">
        <f>IFERROR(__xludf.DUMMYFUNCTION("""COMPUTED_VALUE"""),"Exotel")</f>
        <v>Exotel</v>
      </c>
      <c r="B2325" s="17" t="str">
        <f>IFERROR(__xludf.DUMMYFUNCTION("""COMPUTED_VALUE"""),"Udit Agarwal")</f>
        <v>Udit Agarwal</v>
      </c>
      <c r="C2325" s="17" t="str">
        <f>IFERROR(__xludf.DUMMYFUNCTION("""COMPUTED_VALUE"""),"Global head of marketing")</f>
        <v>Global head of marketing</v>
      </c>
      <c r="D2325" s="27" t="str">
        <f>IFERROR(__xludf.DUMMYFUNCTION("""COMPUTED_VALUE"""),"https://www.linkedin.com/in/uditagarwal/?originalSubdomain=in")</f>
        <v>https://www.linkedin.com/in/uditagarwal/?originalSubdomain=in</v>
      </c>
      <c r="E2325" s="17"/>
      <c r="F2325" s="17" t="str">
        <f>IFERROR(__xludf.DUMMYFUNCTION("""COMPUTED_VALUE"""),"udit.agarwal@exotel.com")</f>
        <v>udit.agarwal@exotel.com</v>
      </c>
      <c r="G2325" s="17"/>
      <c r="H2325" s="17"/>
    </row>
    <row r="2326">
      <c r="A2326" s="17" t="str">
        <f>IFERROR(__xludf.DUMMYFUNCTION("""COMPUTED_VALUE"""),"mCaffeine")</f>
        <v>mCaffeine</v>
      </c>
      <c r="B2326" s="17" t="str">
        <f>IFERROR(__xludf.DUMMYFUNCTION("""COMPUTED_VALUE"""),"Vaishali Gupta")</f>
        <v>Vaishali Gupta</v>
      </c>
      <c r="C2326" s="17" t="str">
        <f>IFERROR(__xludf.DUMMYFUNCTION("""COMPUTED_VALUE"""),"Chief Growth Officer")</f>
        <v>Chief Growth Officer</v>
      </c>
      <c r="D2326" s="27" t="str">
        <f>IFERROR(__xludf.DUMMYFUNCTION("""COMPUTED_VALUE"""),"https://www.linkedin.com/in/ism555/?originalSubdomain=in")</f>
        <v>https://www.linkedin.com/in/ism555/?originalSubdomain=in</v>
      </c>
      <c r="E2326" s="17"/>
      <c r="F2326" s="17" t="str">
        <f>IFERROR(__xludf.DUMMYFUNCTION("""COMPUTED_VALUE"""),"vaishali@mcaffeine.com")</f>
        <v>vaishali@mcaffeine.com</v>
      </c>
      <c r="G2326" s="17"/>
      <c r="H2326" s="17"/>
    </row>
    <row r="2327">
      <c r="A2327" s="17" t="str">
        <f>IFERROR(__xludf.DUMMYFUNCTION("""COMPUTED_VALUE"""),"Square Yards")</f>
        <v>Square Yards</v>
      </c>
      <c r="B2327" s="17" t="str">
        <f>IFERROR(__xludf.DUMMYFUNCTION("""COMPUTED_VALUE"""),"Yashdeep Singh")</f>
        <v>Yashdeep Singh</v>
      </c>
      <c r="C2327" s="17" t="str">
        <f>IFERROR(__xludf.DUMMYFUNCTION("""COMPUTED_VALUE"""),"Head of Marketing")</f>
        <v>Head of Marketing</v>
      </c>
      <c r="D2327" s="27" t="str">
        <f>IFERROR(__xludf.DUMMYFUNCTION("""COMPUTED_VALUE"""),"https://www.linkedin.com/in/-yashdeepsingh/?originalSubdomain=in")</f>
        <v>https://www.linkedin.com/in/-yashdeepsingh/?originalSubdomain=in</v>
      </c>
      <c r="E2327" s="17"/>
      <c r="F2327" s="17" t="str">
        <f>IFERROR(__xludf.DUMMYFUNCTION("""COMPUTED_VALUE"""),"yashdeep.singh@hotmail.com")</f>
        <v>yashdeep.singh@hotmail.com</v>
      </c>
      <c r="G2327" s="17"/>
      <c r="H2327" s="17"/>
    </row>
    <row r="2328">
      <c r="A2328" s="17" t="str">
        <f>IFERROR(__xludf.DUMMYFUNCTION("""COMPUTED_VALUE"""),"BetterPlace")</f>
        <v>BetterPlace</v>
      </c>
      <c r="B2328" s="17"/>
      <c r="C2328" s="17"/>
      <c r="D2328" s="17"/>
      <c r="E2328" s="17"/>
      <c r="F2328" s="17"/>
      <c r="G2328" s="17"/>
      <c r="H2328" s="17"/>
    </row>
    <row r="2329">
      <c r="A2329" s="17" t="str">
        <f>IFERROR(__xludf.DUMMYFUNCTION("""COMPUTED_VALUE"""),"Bira 91")</f>
        <v>Bira 91</v>
      </c>
      <c r="B2329" s="17"/>
      <c r="C2329" s="17"/>
      <c r="D2329" s="17"/>
      <c r="E2329" s="17"/>
      <c r="F2329" s="17"/>
      <c r="G2329" s="17"/>
      <c r="H2329" s="17"/>
    </row>
    <row r="2330">
      <c r="A2330" s="17" t="str">
        <f>IFERROR(__xludf.DUMMYFUNCTION("""COMPUTED_VALUE"""),"BlueStone")</f>
        <v>BlueStone</v>
      </c>
      <c r="B2330" s="17"/>
      <c r="C2330" s="17"/>
      <c r="D2330" s="17"/>
      <c r="E2330" s="17"/>
      <c r="F2330" s="17"/>
      <c r="G2330" s="17"/>
      <c r="H2330" s="17"/>
    </row>
    <row r="2331">
      <c r="A2331" s="17" t="str">
        <f>IFERROR(__xludf.DUMMYFUNCTION("""COMPUTED_VALUE"""),"Capillary Tech")</f>
        <v>Capillary Tech</v>
      </c>
      <c r="B2331" s="17"/>
      <c r="C2331" s="17"/>
      <c r="D2331" s="17"/>
      <c r="E2331" s="17"/>
      <c r="F2331" s="17"/>
      <c r="G2331" s="17"/>
      <c r="H2331" s="17"/>
    </row>
    <row r="2332">
      <c r="A2332" s="17" t="str">
        <f>IFERROR(__xludf.DUMMYFUNCTION("""COMPUTED_VALUE"""),"Capital Float")</f>
        <v>Capital Float</v>
      </c>
      <c r="B2332" s="17"/>
      <c r="C2332" s="17"/>
      <c r="D2332" s="17"/>
      <c r="E2332" s="17"/>
      <c r="F2332" s="17"/>
      <c r="G2332" s="17"/>
      <c r="H2332" s="17"/>
    </row>
    <row r="2333">
      <c r="A2333" s="17" t="str">
        <f>IFERROR(__xludf.DUMMYFUNCTION("""COMPUTED_VALUE"""),"Captain Fresh")</f>
        <v>Captain Fresh</v>
      </c>
      <c r="B2333" s="17"/>
      <c r="C2333" s="17"/>
      <c r="D2333" s="17"/>
      <c r="E2333" s="17"/>
      <c r="F2333" s="17"/>
      <c r="G2333" s="17"/>
      <c r="H2333" s="17"/>
    </row>
    <row r="2334">
      <c r="A2334" s="17" t="str">
        <f>IFERROR(__xludf.DUMMYFUNCTION("""COMPUTED_VALUE"""),"CarTrade")</f>
        <v>CarTrade</v>
      </c>
      <c r="B2334" s="17"/>
      <c r="C2334" s="17"/>
      <c r="D2334" s="17"/>
      <c r="E2334" s="17"/>
      <c r="F2334" s="17"/>
      <c r="G2334" s="17"/>
      <c r="H2334" s="17"/>
    </row>
    <row r="2335">
      <c r="A2335" s="17" t="str">
        <f>IFERROR(__xludf.DUMMYFUNCTION("""COMPUTED_VALUE"""),"Chalo")</f>
        <v>Chalo</v>
      </c>
      <c r="B2335" s="17"/>
      <c r="C2335" s="17"/>
      <c r="D2335" s="17"/>
      <c r="E2335" s="17"/>
      <c r="F2335" s="17"/>
      <c r="G2335" s="17"/>
      <c r="H2335" s="17"/>
    </row>
    <row r="2336">
      <c r="A2336" s="17" t="str">
        <f>IFERROR(__xludf.DUMMYFUNCTION("""COMPUTED_VALUE"""),"CityMall")</f>
        <v>CityMall</v>
      </c>
      <c r="B2336" s="17"/>
      <c r="C2336" s="17"/>
      <c r="D2336" s="17"/>
      <c r="E2336" s="17"/>
      <c r="F2336" s="17"/>
      <c r="G2336" s="17"/>
      <c r="H2336" s="17"/>
    </row>
    <row r="2337">
      <c r="A2337" s="17" t="str">
        <f>IFERROR(__xludf.DUMMYFUNCTION("""COMPUTED_VALUE"""),"Clear")</f>
        <v>Clear</v>
      </c>
      <c r="B2337" s="17"/>
      <c r="C2337" s="17"/>
      <c r="D2337" s="17"/>
      <c r="E2337" s="17"/>
      <c r="F2337" s="17"/>
      <c r="G2337" s="17"/>
      <c r="H2337" s="17"/>
    </row>
    <row r="2338">
      <c r="A2338" s="17" t="str">
        <f>IFERROR(__xludf.DUMMYFUNCTION("""COMPUTED_VALUE"""),"Country Delight")</f>
        <v>Country Delight</v>
      </c>
      <c r="B2338" s="17"/>
      <c r="C2338" s="17"/>
      <c r="D2338" s="17"/>
      <c r="E2338" s="17"/>
      <c r="F2338" s="17"/>
      <c r="G2338" s="17"/>
      <c r="H2338" s="17"/>
    </row>
    <row r="2339">
      <c r="A2339" s="17" t="str">
        <f>IFERROR(__xludf.DUMMYFUNCTION("""COMPUTED_VALUE"""),"Credgenics")</f>
        <v>Credgenics</v>
      </c>
      <c r="B2339" s="17"/>
      <c r="C2339" s="17"/>
      <c r="D2339" s="17"/>
      <c r="E2339" s="17"/>
      <c r="F2339" s="17"/>
      <c r="G2339" s="17"/>
      <c r="H2339" s="17"/>
    </row>
    <row r="2340">
      <c r="A2340" s="17" t="str">
        <f>IFERROR(__xludf.DUMMYFUNCTION("""COMPUTED_VALUE"""),"Drip Capital")</f>
        <v>Drip Capital</v>
      </c>
      <c r="B2340" s="17"/>
      <c r="C2340" s="17"/>
      <c r="D2340" s="17"/>
      <c r="E2340" s="17"/>
      <c r="F2340" s="17"/>
      <c r="G2340" s="17"/>
      <c r="H2340" s="17"/>
    </row>
    <row r="2341">
      <c r="A2341" s="17" t="str">
        <f>IFERROR(__xludf.DUMMYFUNCTION("""COMPUTED_VALUE"""),"EatClub Brands")</f>
        <v>EatClub Brands</v>
      </c>
      <c r="B2341" s="17"/>
      <c r="C2341" s="17"/>
      <c r="D2341" s="17"/>
      <c r="E2341" s="17"/>
      <c r="F2341" s="17"/>
      <c r="G2341" s="17"/>
      <c r="H2341" s="17"/>
    </row>
    <row r="2342">
      <c r="A2342" s="17" t="str">
        <f>IFERROR(__xludf.DUMMYFUNCTION("""COMPUTED_VALUE"""),"FarEye")</f>
        <v>FarEye</v>
      </c>
      <c r="B2342" s="17"/>
      <c r="C2342" s="17"/>
      <c r="D2342" s="17"/>
      <c r="E2342" s="17"/>
      <c r="F2342" s="17"/>
      <c r="G2342" s="17"/>
      <c r="H2342" s="17"/>
    </row>
    <row r="2343">
      <c r="A2343" s="17" t="str">
        <f>IFERROR(__xludf.DUMMYFUNCTION("""COMPUTED_VALUE"""),"Fashinza")</f>
        <v>Fashinza</v>
      </c>
      <c r="B2343" s="17"/>
      <c r="C2343" s="17"/>
      <c r="D2343" s="17"/>
      <c r="E2343" s="17"/>
      <c r="F2343" s="17"/>
      <c r="G2343" s="17"/>
      <c r="H2343" s="17"/>
    </row>
    <row r="2344">
      <c r="A2344" s="17" t="str">
        <f>IFERROR(__xludf.DUMMYFUNCTION("""COMPUTED_VALUE"""),"Fi.Money")</f>
        <v>Fi.Money</v>
      </c>
      <c r="B2344" s="17"/>
      <c r="C2344" s="17"/>
      <c r="D2344" s="17"/>
      <c r="E2344" s="17"/>
      <c r="F2344" s="17"/>
      <c r="G2344" s="17"/>
      <c r="H2344" s="17"/>
    </row>
    <row r="2345">
      <c r="A2345" s="17" t="str">
        <f>IFERROR(__xludf.DUMMYFUNCTION("""COMPUTED_VALUE"""),"FINO PayTech")</f>
        <v>FINO PayTech</v>
      </c>
      <c r="B2345" s="17"/>
      <c r="C2345" s="17"/>
      <c r="D2345" s="17"/>
      <c r="E2345" s="17"/>
      <c r="F2345" s="17"/>
      <c r="G2345" s="17"/>
      <c r="H2345" s="17"/>
    </row>
    <row r="2346">
      <c r="A2346" s="17" t="str">
        <f>IFERROR(__xludf.DUMMYFUNCTION("""COMPUTED_VALUE"""),"FreshToHome")</f>
        <v>FreshToHome</v>
      </c>
      <c r="B2346" s="17"/>
      <c r="C2346" s="17"/>
      <c r="D2346" s="17"/>
      <c r="E2346" s="17"/>
      <c r="F2346" s="17"/>
      <c r="G2346" s="17"/>
      <c r="H2346" s="17"/>
    </row>
    <row r="2347">
      <c r="A2347" s="17" t="str">
        <f>IFERROR(__xludf.DUMMYFUNCTION("""COMPUTED_VALUE"""),"GreyOrange")</f>
        <v>GreyOrange</v>
      </c>
      <c r="B2347" s="17"/>
      <c r="C2347" s="17"/>
      <c r="D2347" s="17"/>
      <c r="E2347" s="17"/>
      <c r="F2347" s="17"/>
      <c r="G2347" s="17"/>
      <c r="H2347" s="17"/>
    </row>
    <row r="2348">
      <c r="A2348" s="17" t="str">
        <f>IFERROR(__xludf.DUMMYFUNCTION("""COMPUTED_VALUE"""),"HealthKart")</f>
        <v>HealthKart</v>
      </c>
      <c r="B2348" s="17"/>
      <c r="C2348" s="17"/>
      <c r="D2348" s="17"/>
      <c r="E2348" s="17"/>
      <c r="F2348" s="17"/>
      <c r="G2348" s="17"/>
      <c r="H2348" s="17"/>
    </row>
    <row r="2349">
      <c r="A2349" s="17" t="str">
        <f>IFERROR(__xludf.DUMMYFUNCTION("""COMPUTED_VALUE"""),"HomeLane")</f>
        <v>HomeLane</v>
      </c>
      <c r="B2349" s="17"/>
      <c r="C2349" s="17"/>
      <c r="D2349" s="17"/>
      <c r="E2349" s="17"/>
      <c r="F2349" s="17"/>
      <c r="G2349" s="17"/>
      <c r="H2349" s="17"/>
    </row>
    <row r="2350">
      <c r="A2350" s="17" t="str">
        <f>IFERROR(__xludf.DUMMYFUNCTION("""COMPUTED_VALUE"""),"Hopscotch")</f>
        <v>Hopscotch</v>
      </c>
      <c r="B2350" s="17"/>
      <c r="C2350" s="17"/>
      <c r="D2350" s="17"/>
      <c r="E2350" s="17"/>
      <c r="F2350" s="17"/>
      <c r="G2350" s="17"/>
      <c r="H2350" s="17"/>
    </row>
    <row r="2351">
      <c r="A2351" s="17" t="str">
        <f>IFERROR(__xludf.DUMMYFUNCTION("""COMPUTED_VALUE"""),"ideaForge")</f>
        <v>ideaForge</v>
      </c>
      <c r="B2351" s="17"/>
      <c r="C2351" s="17"/>
      <c r="D2351" s="17"/>
      <c r="E2351" s="17"/>
      <c r="F2351" s="17"/>
      <c r="G2351" s="17"/>
      <c r="H2351" s="17"/>
    </row>
    <row r="2352">
      <c r="A2352" s="17" t="str">
        <f>IFERROR(__xludf.DUMMYFUNCTION("""COMPUTED_VALUE"""),"IndMoney")</f>
        <v>IndMoney</v>
      </c>
      <c r="B2352" s="17"/>
      <c r="C2352" s="17"/>
      <c r="D2352" s="17"/>
      <c r="E2352" s="17"/>
      <c r="F2352" s="17"/>
      <c r="G2352" s="17"/>
      <c r="H2352" s="17"/>
    </row>
    <row r="2353">
      <c r="A2353" s="17" t="str">
        <f>IFERROR(__xludf.DUMMYFUNCTION("""COMPUTED_VALUE"""),"Leap")</f>
        <v>Leap</v>
      </c>
      <c r="B2353" s="17"/>
      <c r="C2353" s="17"/>
      <c r="D2353" s="17"/>
      <c r="E2353" s="17"/>
      <c r="F2353" s="17"/>
      <c r="G2353" s="17"/>
      <c r="H2353" s="17"/>
    </row>
    <row r="2354">
      <c r="A2354" s="17" t="str">
        <f>IFERROR(__xludf.DUMMYFUNCTION("""COMPUTED_VALUE"""),"Loco")</f>
        <v>Loco</v>
      </c>
      <c r="B2354" s="17"/>
      <c r="C2354" s="17"/>
      <c r="D2354" s="17"/>
      <c r="E2354" s="17"/>
      <c r="F2354" s="17"/>
      <c r="G2354" s="17"/>
      <c r="H2354" s="17"/>
    </row>
    <row r="2355">
      <c r="A2355" s="17" t="str">
        <f>IFERROR(__xludf.DUMMYFUNCTION("""COMPUTED_VALUE"""),"Log9 Materials")</f>
        <v>Log9 Materials</v>
      </c>
      <c r="B2355" s="17"/>
      <c r="C2355" s="17"/>
      <c r="D2355" s="17"/>
      <c r="E2355" s="17"/>
      <c r="F2355" s="17"/>
      <c r="G2355" s="17"/>
      <c r="H2355" s="17"/>
    </row>
    <row r="2356">
      <c r="A2356" s="17" t="str">
        <f>IFERROR(__xludf.DUMMYFUNCTION("""COMPUTED_VALUE"""),"M2P Fintech")</f>
        <v>M2P Fintech</v>
      </c>
      <c r="B2356" s="17"/>
      <c r="C2356" s="17"/>
      <c r="D2356" s="17"/>
      <c r="E2356" s="17"/>
      <c r="F2356" s="17"/>
      <c r="G2356" s="17"/>
      <c r="H2356" s="17"/>
    </row>
    <row r="2357">
      <c r="A2357" s="17" t="str">
        <f>IFERROR(__xludf.DUMMYFUNCTION("""COMPUTED_VALUE"""),"Mintifi")</f>
        <v>Mintifi</v>
      </c>
      <c r="B2357" s="17"/>
      <c r="C2357" s="17"/>
      <c r="D2357" s="17"/>
      <c r="E2357" s="17"/>
      <c r="F2357" s="17"/>
      <c r="G2357" s="17"/>
      <c r="H2357" s="17"/>
    </row>
    <row r="2358">
      <c r="A2358" s="17" t="str">
        <f>IFERROR(__xludf.DUMMYFUNCTION("""COMPUTED_VALUE"""),"MyGate")</f>
        <v>MyGate</v>
      </c>
      <c r="B2358" s="17"/>
      <c r="C2358" s="17"/>
      <c r="D2358" s="17"/>
      <c r="E2358" s="17"/>
      <c r="F2358" s="17"/>
      <c r="G2358" s="17"/>
      <c r="H2358" s="17"/>
    </row>
    <row r="2359">
      <c r="A2359" s="17" t="str">
        <f>IFERROR(__xludf.DUMMYFUNCTION("""COMPUTED_VALUE"""),"Navi Tech")</f>
        <v>Navi Tech</v>
      </c>
      <c r="B2359" s="17"/>
      <c r="C2359" s="17"/>
      <c r="D2359" s="17"/>
      <c r="E2359" s="17"/>
      <c r="F2359" s="17"/>
      <c r="G2359" s="17"/>
      <c r="H2359" s="17"/>
    </row>
    <row r="2360">
      <c r="A2360" s="17" t="str">
        <f>IFERROR(__xludf.DUMMYFUNCTION("""COMPUTED_VALUE"""),"Nazara Tech")</f>
        <v>Nazara Tech</v>
      </c>
      <c r="B2360" s="17"/>
      <c r="C2360" s="17"/>
      <c r="D2360" s="17"/>
      <c r="E2360" s="17"/>
      <c r="F2360" s="17"/>
      <c r="G2360" s="17"/>
      <c r="H2360" s="17"/>
    </row>
    <row r="2361">
      <c r="A2361" s="17" t="str">
        <f>IFERROR(__xludf.DUMMYFUNCTION("""COMPUTED_VALUE"""),"Ninjacart")</f>
        <v>Ninjacart</v>
      </c>
      <c r="B2361" s="17"/>
      <c r="C2361" s="17"/>
      <c r="D2361" s="17"/>
      <c r="E2361" s="17"/>
      <c r="F2361" s="17"/>
      <c r="G2361" s="17"/>
      <c r="H2361" s="17"/>
    </row>
    <row r="2362">
      <c r="A2362" s="17" t="str">
        <f>IFERROR(__xludf.DUMMYFUNCTION("""COMPUTED_VALUE"""),"NiYO Solutions")</f>
        <v>NiYO Solutions</v>
      </c>
      <c r="B2362" s="17"/>
      <c r="C2362" s="17"/>
      <c r="D2362" s="17"/>
      <c r="E2362" s="17"/>
      <c r="F2362" s="17"/>
      <c r="G2362" s="17"/>
      <c r="H2362" s="17"/>
    </row>
    <row r="2363">
      <c r="A2363" s="17" t="str">
        <f>IFERROR(__xludf.DUMMYFUNCTION("""COMPUTED_VALUE"""),"Pernia's Pop-Up")</f>
        <v>Pernia's Pop-Up</v>
      </c>
      <c r="B2363" s="17"/>
      <c r="C2363" s="17"/>
      <c r="D2363" s="17"/>
      <c r="E2363" s="17"/>
      <c r="F2363" s="17"/>
      <c r="G2363" s="17"/>
      <c r="H2363" s="17"/>
    </row>
    <row r="2364">
      <c r="A2364" s="17" t="str">
        <f>IFERROR(__xludf.DUMMYFUNCTION("""COMPUTED_VALUE"""),"Pixis")</f>
        <v>Pixis</v>
      </c>
      <c r="B2364" s="17"/>
      <c r="C2364" s="17"/>
      <c r="D2364" s="17"/>
      <c r="E2364" s="17"/>
      <c r="F2364" s="17"/>
      <c r="G2364" s="17"/>
      <c r="H2364" s="17"/>
    </row>
    <row r="2365">
      <c r="A2365" s="17" t="str">
        <f>IFERROR(__xludf.DUMMYFUNCTION("""COMPUTED_VALUE"""),"Plum")</f>
        <v>Plum</v>
      </c>
      <c r="B2365" s="17"/>
      <c r="C2365" s="17"/>
      <c r="D2365" s="17"/>
      <c r="E2365" s="17"/>
      <c r="F2365" s="17"/>
      <c r="G2365" s="17"/>
      <c r="H2365" s="17"/>
    </row>
    <row r="2366">
      <c r="A2366" s="17" t="str">
        <f>IFERROR(__xludf.DUMMYFUNCTION("""COMPUTED_VALUE"""),"Porter")</f>
        <v>Porter</v>
      </c>
      <c r="B2366" s="17"/>
      <c r="C2366" s="17"/>
      <c r="D2366" s="17"/>
      <c r="E2366" s="17"/>
      <c r="F2366" s="17"/>
      <c r="G2366" s="17"/>
      <c r="H2366" s="17"/>
    </row>
    <row r="2367">
      <c r="A2367" s="17" t="str">
        <f>IFERROR(__xludf.DUMMYFUNCTION("""COMPUTED_VALUE"""),"RenewBuy")</f>
        <v>RenewBuy</v>
      </c>
      <c r="B2367" s="17"/>
      <c r="C2367" s="17"/>
      <c r="D2367" s="17"/>
      <c r="E2367" s="17"/>
      <c r="F2367" s="17"/>
      <c r="G2367" s="17"/>
      <c r="H2367" s="17"/>
    </row>
    <row r="2368">
      <c r="A2368" s="17" t="str">
        <f>IFERROR(__xludf.DUMMYFUNCTION("""COMPUTED_VALUE"""),"Ripplr")</f>
        <v>Ripplr</v>
      </c>
      <c r="B2368" s="17"/>
      <c r="C2368" s="17"/>
      <c r="D2368" s="17"/>
      <c r="E2368" s="17"/>
      <c r="F2368" s="17"/>
      <c r="G2368" s="17"/>
      <c r="H2368" s="17"/>
    </row>
    <row r="2369">
      <c r="A2369" s="17" t="str">
        <f>IFERROR(__xludf.DUMMYFUNCTION("""COMPUTED_VALUE"""),"Scripbox")</f>
        <v>Scripbox</v>
      </c>
      <c r="B2369" s="17"/>
      <c r="C2369" s="17"/>
      <c r="D2369" s="17"/>
      <c r="E2369" s="17"/>
      <c r="F2369" s="17"/>
      <c r="G2369" s="17"/>
      <c r="H2369" s="17"/>
    </row>
    <row r="2370">
      <c r="A2370" s="17" t="str">
        <f>IFERROR(__xludf.DUMMYFUNCTION("""COMPUTED_VALUE"""),"Company name ")</f>
        <v>Company name </v>
      </c>
      <c r="B2370" s="17" t="str">
        <f>IFERROR(__xludf.DUMMYFUNCTION("""COMPUTED_VALUE"""),"Name")</f>
        <v>Name</v>
      </c>
      <c r="C2370" s="17" t="str">
        <f>IFERROR(__xludf.DUMMYFUNCTION("""COMPUTED_VALUE"""),"Designation")</f>
        <v>Designation</v>
      </c>
      <c r="D2370" s="17" t="str">
        <f>IFERROR(__xludf.DUMMYFUNCTION("""COMPUTED_VALUE"""),"Linkedin ID")</f>
        <v>Linkedin ID</v>
      </c>
      <c r="E2370" s="17" t="str">
        <f>IFERROR(__xludf.DUMMYFUNCTION("""COMPUTED_VALUE"""),"Contact No.")</f>
        <v>Contact No.</v>
      </c>
      <c r="F2370" s="17" t="str">
        <f>IFERROR(__xludf.DUMMYFUNCTION("""COMPUTED_VALUE"""),"Email")</f>
        <v>Email</v>
      </c>
      <c r="G2370" s="17" t="str">
        <f>IFERROR(__xludf.DUMMYFUNCTION("""COMPUTED_VALUE"""),"Email 2")</f>
        <v>Email 2</v>
      </c>
      <c r="H2370" s="17"/>
    </row>
    <row r="2371">
      <c r="A2371" s="17" t="str">
        <f>IFERROR(__xludf.DUMMYFUNCTION("""COMPUTED_VALUE"""),"Conglomerates &amp; Large Groups (20)")</f>
        <v>Conglomerates &amp; Large Groups (20)</v>
      </c>
      <c r="B2371" s="17"/>
      <c r="C2371" s="17"/>
      <c r="D2371" s="17"/>
      <c r="E2371" s="17"/>
      <c r="F2371" s="17"/>
      <c r="G2371" s="17"/>
      <c r="H2371" s="17"/>
    </row>
    <row r="2372">
      <c r="A2372" s="17" t="str">
        <f>IFERROR(__xludf.DUMMYFUNCTION("""COMPUTED_VALUE"""),"Aditya Birla Group")</f>
        <v>Aditya Birla Group</v>
      </c>
      <c r="B2372" s="17" t="str">
        <f>IFERROR(__xludf.DUMMYFUNCTION("""COMPUTED_VALUE"""),"Inderpreet Singh")</f>
        <v>Inderpreet Singh</v>
      </c>
      <c r="C2372" s="17" t="str">
        <f>IFERROR(__xludf.DUMMYFUNCTION("""COMPUTED_VALUE"""),"HOM")</f>
        <v>HOM</v>
      </c>
      <c r="D2372" s="27" t="str">
        <f>IFERROR(__xludf.DUMMYFUNCTION("""COMPUTED_VALUE"""),"https://www.linkedin.com/in/inderpreet-singh-2900605/")</f>
        <v>https://www.linkedin.com/in/inderpreet-singh-2900605/</v>
      </c>
      <c r="E2372" s="17"/>
      <c r="F2372" s="17" t="str">
        <f>IFERROR(__xludf.DUMMYFUNCTION("""COMPUTED_VALUE"""),"inderpreet.singh@adityabirla.com")</f>
        <v>inderpreet.singh@adityabirla.com</v>
      </c>
      <c r="G2372" s="17" t="str">
        <f>IFERROR(__xludf.DUMMYFUNCTION("""COMPUTED_VALUE"""),"inder.kohli@gmail.com")</f>
        <v>inder.kohli@gmail.com</v>
      </c>
      <c r="H2372" s="17"/>
    </row>
    <row r="2373">
      <c r="A2373" s="17" t="str">
        <f>IFERROR(__xludf.DUMMYFUNCTION("""COMPUTED_VALUE"""),"Larsen &amp; Toubro (L&amp;T)")</f>
        <v>Larsen &amp; Toubro (L&amp;T)</v>
      </c>
      <c r="B2373" s="17" t="str">
        <f>IFERROR(__xludf.DUMMYFUNCTION("""COMPUTED_VALUE"""),"Dr Mohammad Kapasi")</f>
        <v>Dr Mohammad Kapasi</v>
      </c>
      <c r="C2373" s="17" t="str">
        <f>IFERROR(__xludf.DUMMYFUNCTION("""COMPUTED_VALUE"""),"CMO")</f>
        <v>CMO</v>
      </c>
      <c r="D2373" s="27" t="str">
        <f>IFERROR(__xludf.DUMMYFUNCTION("""COMPUTED_VALUE"""),"https://www.linkedin.com/in/dr-mohammad-kapasi-7b95b1252/")</f>
        <v>https://www.linkedin.com/in/dr-mohammad-kapasi-7b95b1252/</v>
      </c>
      <c r="E2373" s="17"/>
      <c r="F2373" s="17" t="str">
        <f>IFERROR(__xludf.DUMMYFUNCTION("""COMPUTED_VALUE"""),"dr.kapasi@larsentoubro.com")</f>
        <v>dr.kapasi@larsentoubro.com</v>
      </c>
      <c r="G2373" s="17"/>
      <c r="H2373" s="17"/>
    </row>
    <row r="2374">
      <c r="A2374" s="17" t="str">
        <f>IFERROR(__xludf.DUMMYFUNCTION("""COMPUTED_VALUE"""),"JSW Group")</f>
        <v>JSW Group</v>
      </c>
      <c r="B2374" s="17" t="str">
        <f>IFERROR(__xludf.DUMMYFUNCTION("""COMPUTED_VALUE"""),"Sanjay Sawhney")</f>
        <v>Sanjay Sawhney</v>
      </c>
      <c r="C2374" s="17" t="str">
        <f>IFERROR(__xludf.DUMMYFUNCTION("""COMPUTED_VALUE"""),"VP Sales and Marketing")</f>
        <v>VP Sales and Marketing</v>
      </c>
      <c r="D2374" s="27" t="str">
        <f>IFERROR(__xludf.DUMMYFUNCTION("""COMPUTED_VALUE"""),"https://www.linkedin.com/in/sanjay-sawhney-b55b1558/")</f>
        <v>https://www.linkedin.com/in/sanjay-sawhney-b55b1558/</v>
      </c>
      <c r="E2374" s="17"/>
      <c r="F2374" s="17" t="str">
        <f>IFERROR(__xludf.DUMMYFUNCTION("""COMPUTED_VALUE"""),"sanjay@jsw.in")</f>
        <v>sanjay@jsw.in</v>
      </c>
      <c r="G2374" s="17" t="str">
        <f>IFERROR(__xludf.DUMMYFUNCTION("""COMPUTED_VALUE"""),"sanjay.sawhney@jsw.in")</f>
        <v>sanjay.sawhney@jsw.in</v>
      </c>
      <c r="H2374" s="17" t="str">
        <f>IFERROR(__xludf.DUMMYFUNCTION("""COMPUTED_VALUE"""),"sanjay.sawhney19@gmail.com")</f>
        <v>sanjay.sawhney19@gmail.com</v>
      </c>
    </row>
    <row r="2375">
      <c r="A2375" s="17" t="str">
        <f>IFERROR(__xludf.DUMMYFUNCTION("""COMPUTED_VALUE"""),"Godrej Industries")</f>
        <v>Godrej Industries</v>
      </c>
      <c r="B2375" s="17" t="str">
        <f>IFERROR(__xludf.DUMMYFUNCTION("""COMPUTED_VALUE"""),"Tanya Dubash")</f>
        <v>Tanya Dubash</v>
      </c>
      <c r="C2375" s="17" t="str">
        <f>IFERROR(__xludf.DUMMYFUNCTION("""COMPUTED_VALUE"""),"Executive Director and Chief Brand Officer - Godrej Group")</f>
        <v>Executive Director and Chief Brand Officer - Godrej Group</v>
      </c>
      <c r="D2375" s="27" t="str">
        <f>IFERROR(__xludf.DUMMYFUNCTION("""COMPUTED_VALUE"""),"https://www.linkedin.com/in/tanyadubash/")</f>
        <v>https://www.linkedin.com/in/tanyadubash/</v>
      </c>
      <c r="E2375" s="17" t="str">
        <f>IFERROR(__xludf.DUMMYFUNCTION("""COMPUTED_VALUE"""),"442075811479")</f>
        <v>442075811479</v>
      </c>
      <c r="F2375" s="17" t="str">
        <f>IFERROR(__xludf.DUMMYFUNCTION("""COMPUTED_VALUE"""),"ta.dubash@godrejinds.com")</f>
        <v>ta.dubash@godrejinds.com</v>
      </c>
      <c r="G2375" s="17"/>
      <c r="H2375" s="17"/>
    </row>
    <row r="2376">
      <c r="A2376" s="17" t="str">
        <f>IFERROR(__xludf.DUMMYFUNCTION("""COMPUTED_VALUE"""),"Adani Group")</f>
        <v>Adani Group</v>
      </c>
      <c r="B2376" s="17" t="str">
        <f>IFERROR(__xludf.DUMMYFUNCTION("""COMPUTED_VALUE"""),"Aroop Chatterjee")</f>
        <v>Aroop Chatterjee</v>
      </c>
      <c r="C2376" s="17" t="str">
        <f>IFERROR(__xludf.DUMMYFUNCTION("""COMPUTED_VALUE"""),"Building Brand &amp; Marketing Impact @ Adani Group")</f>
        <v>Building Brand &amp; Marketing Impact @ Adani Group</v>
      </c>
      <c r="D2376" s="27" t="str">
        <f>IFERROR(__xludf.DUMMYFUNCTION("""COMPUTED_VALUE"""),"https://www.linkedin.com/in/aroopchatterjee/")</f>
        <v>https://www.linkedin.com/in/aroopchatterjee/</v>
      </c>
      <c r="E2376" s="17"/>
      <c r="F2376" s="17" t="str">
        <f>IFERROR(__xludf.DUMMYFUNCTION("""COMPUTED_VALUE"""),"chatterjee.aroop@gmail.com")</f>
        <v>chatterjee.aroop@gmail.com</v>
      </c>
      <c r="G2376" s="17"/>
      <c r="H2376" s="17"/>
    </row>
    <row r="2377">
      <c r="A2377" s="17" t="str">
        <f>IFERROR(__xludf.DUMMYFUNCTION("""COMPUTED_VALUE"""),"Essar Group")</f>
        <v>Essar Group</v>
      </c>
      <c r="B2377" s="17" t="str">
        <f>IFERROR(__xludf.DUMMYFUNCTION("""COMPUTED_VALUE"""),"Sunil Jain")</f>
        <v>Sunil Jain</v>
      </c>
      <c r="C2377" s="17" t="str">
        <f>IFERROR(__xludf.DUMMYFUNCTION("""COMPUTED_VALUE"""),"Chief Marketing Officer at Essar Projects")</f>
        <v>Chief Marketing Officer at Essar Projects</v>
      </c>
      <c r="D2377" s="27" t="str">
        <f>IFERROR(__xludf.DUMMYFUNCTION("""COMPUTED_VALUE"""),"https://www.linkedin.com/in/sunil-jain-8b385175/")</f>
        <v>https://www.linkedin.com/in/sunil-jain-8b385175/</v>
      </c>
      <c r="E2377" s="17"/>
      <c r="F2377" s="17" t="str">
        <f>IFERROR(__xludf.DUMMYFUNCTION("""COMPUTED_VALUE"""),"suniljain2421@gmail.com")</f>
        <v>suniljain2421@gmail.com</v>
      </c>
      <c r="G2377" s="17"/>
      <c r="H2377" s="17"/>
    </row>
    <row r="2378">
      <c r="A2378" s="17" t="str">
        <f>IFERROR(__xludf.DUMMYFUNCTION("""COMPUTED_VALUE"""),"Hinduja Group")</f>
        <v>Hinduja Group</v>
      </c>
      <c r="B2378" s="17" t="str">
        <f>IFERROR(__xludf.DUMMYFUNCTION("""COMPUTED_VALUE"""),"Sumeet Das")</f>
        <v>Sumeet Das</v>
      </c>
      <c r="C2378" s="17" t="str">
        <f>IFERROR(__xludf.DUMMYFUNCTION("""COMPUTED_VALUE"""),"Ex- CMO INEL/ IMC-Hinduja Group")</f>
        <v>Ex- CMO INEL/ IMC-Hinduja Group</v>
      </c>
      <c r="D2378" s="27" t="str">
        <f>IFERROR(__xludf.DUMMYFUNCTION("""COMPUTED_VALUE"""),"https://www.linkedin.com/in/sumeet-das-3329b1121/")</f>
        <v>https://www.linkedin.com/in/sumeet-das-3329b1121/</v>
      </c>
      <c r="E2378" s="17"/>
      <c r="F2378" s="17" t="str">
        <f>IFERROR(__xludf.DUMMYFUNCTION("""COMPUTED_VALUE"""),"exemplarmedia15@gmail.com")</f>
        <v>exemplarmedia15@gmail.com</v>
      </c>
      <c r="G2378" s="17"/>
      <c r="H2378" s="17"/>
    </row>
    <row r="2379">
      <c r="A2379" s="17" t="str">
        <f>IFERROR(__xludf.DUMMYFUNCTION("""COMPUTED_VALUE"""),"TVS Group")</f>
        <v>TVS Group</v>
      </c>
      <c r="B2379" s="17" t="str">
        <f>IFERROR(__xludf.DUMMYFUNCTION("""COMPUTED_VALUE"""),"Charandeep Singh Chawla")</f>
        <v>Charandeep Singh Chawla</v>
      </c>
      <c r="C2379" s="17" t="str">
        <f>IFERROR(__xludf.DUMMYFUNCTION("""COMPUTED_VALUE"""),"Chief Marketing Officer - TVS Credit")</f>
        <v>Chief Marketing Officer - TVS Credit</v>
      </c>
      <c r="D2379" s="27" t="str">
        <f>IFERROR(__xludf.DUMMYFUNCTION("""COMPUTED_VALUE"""),"https://www.linkedin.com/in/charandeeptvscredit/")</f>
        <v>https://www.linkedin.com/in/charandeeptvscredit/</v>
      </c>
      <c r="E2379" s="17"/>
      <c r="F2379" s="17" t="str">
        <f>IFERROR(__xludf.DUMMYFUNCTION("""COMPUTED_VALUE"""),"charan.d.singh@gmail.com")</f>
        <v>charan.d.singh@gmail.com</v>
      </c>
      <c r="G2379" s="17"/>
      <c r="H2379" s="17"/>
    </row>
    <row r="2380">
      <c r="A2380" s="17" t="str">
        <f>IFERROR(__xludf.DUMMYFUNCTION("""COMPUTED_VALUE"""),"Murugappa Group")</f>
        <v>Murugappa Group</v>
      </c>
      <c r="B2380" s="17" t="str">
        <f>IFERROR(__xludf.DUMMYFUNCTION("""COMPUTED_VALUE"""),"Parthasarathy Ramanujam")</f>
        <v>Parthasarathy Ramanujam</v>
      </c>
      <c r="C2380" s="17" t="str">
        <f>IFERROR(__xludf.DUMMYFUNCTION("""COMPUTED_VALUE"""),"CMO")</f>
        <v>CMO</v>
      </c>
      <c r="D2380" s="27" t="str">
        <f>IFERROR(__xludf.DUMMYFUNCTION("""COMPUTED_VALUE"""),"https://www.linkedin.com/in/parthasarathy-ramanujam-7b814349/")</f>
        <v>https://www.linkedin.com/in/parthasarathy-ramanujam-7b814349/</v>
      </c>
      <c r="E2380" s="17"/>
      <c r="F2380" s="17" t="str">
        <f>IFERROR(__xludf.DUMMYFUNCTION("""COMPUTED_VALUE"""),"parthasarathy.r@indiacements.co.in")</f>
        <v>parthasarathy.r@indiacements.co.in</v>
      </c>
      <c r="G2380" s="17" t="str">
        <f>IFERROR(__xludf.DUMMYFUNCTION("""COMPUTED_VALUE"""),"parthasarathy.r@in.roca.com")</f>
        <v>parthasarathy.r@in.roca.com</v>
      </c>
      <c r="H2380" s="17" t="str">
        <f>IFERROR(__xludf.DUMMYFUNCTION("""COMPUTED_VALUE"""),"rajpartha1974@gmail.com")</f>
        <v>rajpartha1974@gmail.com</v>
      </c>
    </row>
    <row r="2381">
      <c r="A2381" s="17" t="str">
        <f>IFERROR(__xludf.DUMMYFUNCTION("""COMPUTED_VALUE"""),"Hero Group")</f>
        <v>Hero Group</v>
      </c>
      <c r="B2381" s="17" t="str">
        <f>IFERROR(__xludf.DUMMYFUNCTION("""COMPUTED_VALUE"""),"Rohit Sharma")</f>
        <v>Rohit Sharma</v>
      </c>
      <c r="C2381" s="17" t="str">
        <f>IFERROR(__xludf.DUMMYFUNCTION("""COMPUTED_VALUE"""),"CMO")</f>
        <v>CMO</v>
      </c>
      <c r="D2381" s="27" t="str">
        <f>IFERROR(__xludf.DUMMYFUNCTION("""COMPUTED_VALUE"""),"https://www.linkedin.com/in/rohit-sharma-527b722/")</f>
        <v>https://www.linkedin.com/in/rohit-sharma-527b722/</v>
      </c>
      <c r="E2381" s="17"/>
      <c r="F2381" s="17" t="str">
        <f>IFERROR(__xludf.DUMMYFUNCTION("""COMPUTED_VALUE"""),"rsharma@herocycles.com")</f>
        <v>rsharma@herocycles.com</v>
      </c>
      <c r="G2381" s="17" t="str">
        <f>IFERROR(__xludf.DUMMYFUNCTION("""COMPUTED_VALUE"""),"rohsharma@gmail.com")</f>
        <v>rohsharma@gmail.com</v>
      </c>
      <c r="H2381" s="17"/>
    </row>
    <row r="2382">
      <c r="A2382" s="17" t="str">
        <f>IFERROR(__xludf.DUMMYFUNCTION("""COMPUTED_VALUE"""),"Jindal Group")</f>
        <v>Jindal Group</v>
      </c>
      <c r="B2382" s="17" t="str">
        <f>IFERROR(__xludf.DUMMYFUNCTION("""COMPUTED_VALUE"""),"Sanjiv Dheer")</f>
        <v>Sanjiv Dheer</v>
      </c>
      <c r="C2382" s="17" t="str">
        <f>IFERROR(__xludf.DUMMYFUNCTION("""COMPUTED_VALUE"""),"Head Global - Marketing Seamless Business Jindal Saw Group")</f>
        <v>Head Global - Marketing Seamless Business Jindal Saw Group</v>
      </c>
      <c r="D2382" s="27" t="str">
        <f>IFERROR(__xludf.DUMMYFUNCTION("""COMPUTED_VALUE"""),"https://www.linkedin.com/in/sanjiv-dheer-3a54b337/")</f>
        <v>https://www.linkedin.com/in/sanjiv-dheer-3a54b337/</v>
      </c>
      <c r="E2382" s="17"/>
      <c r="F2382" s="17" t="str">
        <f>IFERROR(__xludf.DUMMYFUNCTION("""COMPUTED_VALUE"""),"sanjivdheer2012@gmail.com")</f>
        <v>sanjivdheer2012@gmail.com</v>
      </c>
      <c r="G2382" s="17" t="str">
        <f>IFERROR(__xludf.DUMMYFUNCTION("""COMPUTED_VALUE"""),"sanjivdheer@rediffmail.com")</f>
        <v>sanjivdheer@rediffmail.com</v>
      </c>
      <c r="H2382" s="17"/>
    </row>
    <row r="2383">
      <c r="A2383" s="17" t="str">
        <f>IFERROR(__xludf.DUMMYFUNCTION("""COMPUTED_VALUE"""),"TCS")</f>
        <v>TCS</v>
      </c>
      <c r="B2383" s="17" t="str">
        <f>IFERROR(__xludf.DUMMYFUNCTION("""COMPUTED_VALUE"""),"Abhinav Kumar")</f>
        <v>Abhinav Kumar</v>
      </c>
      <c r="C2383" s="17" t="str">
        <f>IFERROR(__xludf.DUMMYFUNCTION("""COMPUTED_VALUE"""),"Global CMO")</f>
        <v>Global CMO</v>
      </c>
      <c r="D2383" s="27" t="str">
        <f>IFERROR(__xludf.DUMMYFUNCTION("""COMPUTED_VALUE"""),"https://www.linkedin.com/in/abkumar/?originalSubdomain=be")</f>
        <v>https://www.linkedin.com/in/abkumar/?originalSubdomain=be</v>
      </c>
      <c r="E2383" s="17" t="str">
        <f>IFERROR(__xludf.DUMMYFUNCTION("""COMPUTED_VALUE"""),"96500 25161")</f>
        <v>96500 25161</v>
      </c>
      <c r="F2383" s="17" t="str">
        <f>IFERROR(__xludf.DUMMYFUNCTION("""COMPUTED_VALUE"""),"abhinav.kumar@tcs.com")</f>
        <v>abhinav.kumar@tcs.com</v>
      </c>
      <c r="G2383" s="17"/>
      <c r="H2383" s="17"/>
    </row>
    <row r="2384">
      <c r="A2384" s="17" t="str">
        <f>IFERROR(__xludf.DUMMYFUNCTION("""COMPUTED_VALUE"""),"Prudential Plc")</f>
        <v>Prudential Plc</v>
      </c>
      <c r="B2384" s="17" t="str">
        <f>IFERROR(__xludf.DUMMYFUNCTION("""COMPUTED_VALUE"""),"Abhishek Shah")</f>
        <v>Abhishek Shah</v>
      </c>
      <c r="C2384" s="17" t="str">
        <f>IFERROR(__xludf.DUMMYFUNCTION("""COMPUTED_VALUE"""),"Senior Director of Marketing")</f>
        <v>Senior Director of Marketing</v>
      </c>
      <c r="D2384" s="17"/>
      <c r="E2384" s="17"/>
      <c r="F2384" s="17" t="str">
        <f>IFERROR(__xludf.DUMMYFUNCTION("""COMPUTED_VALUE"""),"abhkshah@gmail.com")</f>
        <v>abhkshah@gmail.com</v>
      </c>
      <c r="G2384" s="17"/>
      <c r="H2384" s="17"/>
    </row>
    <row r="2385">
      <c r="A2385" s="17" t="str">
        <f>IFERROR(__xludf.DUMMYFUNCTION("""COMPUTED_VALUE"""),"PocketFM")</f>
        <v>PocketFM</v>
      </c>
      <c r="B2385" s="17" t="str">
        <f>IFERROR(__xludf.DUMMYFUNCTION("""COMPUTED_VALUE"""),"Adityan Kayalakal")</f>
        <v>Adityan Kayalakal</v>
      </c>
      <c r="C2385" s="17" t="str">
        <f>IFERROR(__xludf.DUMMYFUNCTION("""COMPUTED_VALUE"""),"Head Marketing")</f>
        <v>Head Marketing</v>
      </c>
      <c r="D2385" s="27" t="str">
        <f>IFERROR(__xludf.DUMMYFUNCTION("""COMPUTED_VALUE"""),"https://www.linkedin.com/in/adityanmktng/overlay/contact-info/?lipi=urn%3Ali%3Apage%3Ad_flagship3_profile_view_base%3ByOGJn2JlS4C1izXgA6Y1QQ%3D%3D")</f>
        <v>https://www.linkedin.com/in/adityanmktng/overlay/contact-info/?lipi=urn%3Ali%3Apage%3Ad_flagship3_profile_view_base%3ByOGJn2JlS4C1izXgA6Y1QQ%3D%3D</v>
      </c>
      <c r="E2385" s="17" t="str">
        <f>IFERROR(__xludf.DUMMYFUNCTION("""COMPUTED_VALUE"""),"919820083234")</f>
        <v>919820083234</v>
      </c>
      <c r="F2385" s="17" t="str">
        <f>IFERROR(__xludf.DUMMYFUNCTION("""COMPUTED_VALUE"""),"adityan.kayalakal@jupiter.money")</f>
        <v>adityan.kayalakal@jupiter.money</v>
      </c>
      <c r="G2385" s="17"/>
      <c r="H2385" s="17"/>
    </row>
    <row r="2386">
      <c r="A2386" s="17" t="str">
        <f>IFERROR(__xludf.DUMMYFUNCTION("""COMPUTED_VALUE"""),"Coursera")</f>
        <v>Coursera</v>
      </c>
      <c r="B2386" s="17" t="str">
        <f>IFERROR(__xludf.DUMMYFUNCTION("""COMPUTED_VALUE"""),"Anshul Sehgal")</f>
        <v>Anshul Sehgal</v>
      </c>
      <c r="C2386" s="17" t="str">
        <f>IFERROR(__xludf.DUMMYFUNCTION("""COMPUTED_VALUE"""),"Head of Marketing")</f>
        <v>Head of Marketing</v>
      </c>
      <c r="D2386" s="27" t="str">
        <f>IFERROR(__xludf.DUMMYFUNCTION("""COMPUTED_VALUE"""),"https://www.linkedin.com/in/sehgalanshul/overlay/contact-info/?lipi=urn%3Ali%3Apage%3Ad_flagship3_profile_view_base%3B1WTU0xceQr%2BSjxXgunGvHQ%3D%3D")</f>
        <v>https://www.linkedin.com/in/sehgalanshul/overlay/contact-info/?lipi=urn%3Ali%3Apage%3Ad_flagship3_profile_view_base%3B1WTU0xceQr%2BSjxXgunGvHQ%3D%3D</v>
      </c>
      <c r="E2386" s="17" t="str">
        <f>IFERROR(__xludf.DUMMYFUNCTION("""COMPUTED_VALUE"""),"917022345178")</f>
        <v>917022345178</v>
      </c>
      <c r="F2386" s="17" t="str">
        <f>IFERROR(__xludf.DUMMYFUNCTION("""COMPUTED_VALUE"""),"asehgal@coursera.org")</f>
        <v>asehgal@coursera.org</v>
      </c>
      <c r="G2386" s="17"/>
      <c r="H2386" s="17"/>
    </row>
    <row r="2387">
      <c r="A2387" s="17" t="str">
        <f>IFERROR(__xludf.DUMMYFUNCTION("""COMPUTED_VALUE"""),"Reliance Industries Limited (RIL) / Reliance Retail")</f>
        <v>Reliance Industries Limited (RIL) / Reliance Retail</v>
      </c>
      <c r="B2387" s="17" t="str">
        <f>IFERROR(__xludf.DUMMYFUNCTION("""COMPUTED_VALUE"""),"Anupama Ahluwalia ")</f>
        <v>Anupama Ahluwalia </v>
      </c>
      <c r="C2387" s="17" t="str">
        <f>IFERROR(__xludf.DUMMYFUNCTION("""COMPUTED_VALUE"""),"ex cmo ")</f>
        <v>ex cmo </v>
      </c>
      <c r="D2387" s="17"/>
      <c r="E2387" s="17"/>
      <c r="F2387" s="17" t="str">
        <f>IFERROR(__xludf.DUMMYFUNCTION("""COMPUTED_VALUE"""),"anupama.ahluwalia@marketersacrossborders.com")</f>
        <v>anupama.ahluwalia@marketersacrossborders.com</v>
      </c>
      <c r="G2387" s="17" t="str">
        <f>IFERROR(__xludf.DUMMYFUNCTION("""COMPUTED_VALUE"""),"anupama.ahluwalia@hotmail.com")</f>
        <v>anupama.ahluwalia@hotmail.com</v>
      </c>
      <c r="H2387" s="17"/>
    </row>
    <row r="2388">
      <c r="A2388" s="17" t="str">
        <f>IFERROR(__xludf.DUMMYFUNCTION("""COMPUTED_VALUE"""),"Coforge")</f>
        <v>Coforge</v>
      </c>
      <c r="B2388" s="17" t="str">
        <f>IFERROR(__xludf.DUMMYFUNCTION("""COMPUTED_VALUE"""),"Anuradha Sehga")</f>
        <v>Anuradha Sehga</v>
      </c>
      <c r="C2388" s="17" t="str">
        <f>IFERROR(__xludf.DUMMYFUNCTION("""COMPUTED_VALUE"""),"Chief Brand &amp; Sustainability Officer")</f>
        <v>Chief Brand &amp; Sustainability Officer</v>
      </c>
      <c r="D2388" s="17"/>
      <c r="E2388" s="17"/>
      <c r="F2388" s="17" t="str">
        <f>IFERROR(__xludf.DUMMYFUNCTION("""COMPUTED_VALUE"""),"anuradha.sehgal@coforge.com")</f>
        <v>anuradha.sehgal@coforge.com</v>
      </c>
      <c r="G2388" s="17" t="str">
        <f>IFERROR(__xludf.DUMMYFUNCTION("""COMPUTED_VALUE"""),"sehgalanuradha@rediffmail.com")</f>
        <v>sehgalanuradha@rediffmail.com</v>
      </c>
      <c r="H2388" s="17"/>
    </row>
    <row r="2389">
      <c r="A2389" s="17" t="str">
        <f>IFERROR(__xludf.DUMMYFUNCTION("""COMPUTED_VALUE"""),"Godrej Consumer Products")</f>
        <v>Godrej Consumer Products</v>
      </c>
      <c r="B2389" s="17" t="str">
        <f>IFERROR(__xludf.DUMMYFUNCTION("""COMPUTED_VALUE"""),"Ashwin Moorthy")</f>
        <v>Ashwin Moorthy</v>
      </c>
      <c r="C2389" s="17" t="str">
        <f>IFERROR(__xludf.DUMMYFUNCTION("""COMPUTED_VALUE"""),"FMCG")</f>
        <v>FMCG</v>
      </c>
      <c r="D2389" s="17"/>
      <c r="E2389" s="17"/>
      <c r="F2389" s="17"/>
      <c r="G2389" s="17"/>
      <c r="H2389" s="17"/>
    </row>
    <row r="2390">
      <c r="A2390" s="17" t="str">
        <f>IFERROR(__xludf.DUMMYFUNCTION("""COMPUTED_VALUE"""),"Intellect Design Arena")</f>
        <v>Intellect Design Arena</v>
      </c>
      <c r="B2390" s="17" t="str">
        <f>IFERROR(__xludf.DUMMYFUNCTION("""COMPUTED_VALUE"""),"Debal Dutt")</f>
        <v>Debal Dutt</v>
      </c>
      <c r="C2390" s="17" t="str">
        <f>IFERROR(__xludf.DUMMYFUNCTION("""COMPUTED_VALUE"""),"cmo")</f>
        <v>cmo</v>
      </c>
      <c r="D2390" s="27" t="str">
        <f>IFERROR(__xludf.DUMMYFUNCTION("""COMPUTED_VALUE"""),"http://linkedin.com/in/debal-dutt-52446393/")</f>
        <v>http://linkedin.com/in/debal-dutt-52446393/</v>
      </c>
      <c r="E2390" s="17"/>
      <c r="F2390" s="17" t="str">
        <f>IFERROR(__xludf.DUMMYFUNCTION("""COMPUTED_VALUE"""),"debal.dutt@intellectdesign.com")</f>
        <v>debal.dutt@intellectdesign.com</v>
      </c>
      <c r="G2390" s="17"/>
      <c r="H2390" s="17"/>
    </row>
    <row r="2391">
      <c r="A2391" s="17" t="str">
        <f>IFERROR(__xludf.DUMMYFUNCTION("""COMPUTED_VALUE"""),"Happiest Minds Technologies")</f>
        <v>Happiest Minds Technologies</v>
      </c>
      <c r="B2391" s="17" t="str">
        <f>IFERROR(__xludf.DUMMYFUNCTION("""COMPUTED_VALUE"""),"Dr. Kiran ☆ Veigas")</f>
        <v>Dr. Kiran ☆ Veigas</v>
      </c>
      <c r="C2391" s="17" t="str">
        <f>IFERROR(__xludf.DUMMYFUNCTION("""COMPUTED_VALUE"""),"cmo")</f>
        <v>cmo</v>
      </c>
      <c r="D2391" s="27" t="str">
        <f>IFERROR(__xludf.DUMMYFUNCTION("""COMPUTED_VALUE"""),"https://www.linkedin.com/in/kiranveigas/")</f>
        <v>https://www.linkedin.com/in/kiranveigas/</v>
      </c>
      <c r="E2391" s="17"/>
      <c r="F2391" s="17" t="str">
        <f>IFERROR(__xludf.DUMMYFUNCTION("""COMPUTED_VALUE"""),"kiran.veigas@happiestminds.com")</f>
        <v>kiran.veigas@happiestminds.com</v>
      </c>
      <c r="G2391" s="17" t="str">
        <f>IFERROR(__xludf.DUMMYFUNCTION("""COMPUTED_VALUE"""),"kveigas@gmail.com")</f>
        <v>kveigas@gmail.com</v>
      </c>
      <c r="H2391" s="17" t="str">
        <f>IFERROR(__xludf.DUMMYFUNCTION("""COMPUTED_VALUE"""),"kiran.veigas@lntinfotech.com")</f>
        <v>kiran.veigas@lntinfotech.com</v>
      </c>
    </row>
    <row r="2392">
      <c r="A2392" s="17" t="str">
        <f>IFERROR(__xludf.DUMMYFUNCTION("""COMPUTED_VALUE"""),"Hindustan Unilever Ltd. (HUL)")</f>
        <v>Hindustan Unilever Ltd. (HUL)</v>
      </c>
      <c r="B2392" s="17" t="str">
        <f>IFERROR(__xludf.DUMMYFUNCTION("""COMPUTED_VALUE"""),"Harmon Dhillon (Executive Director – Beauty &amp; Wellbeing) / Shiva Krishnamurthy (Executive Director – Foods &amp; Refreshment)")</f>
        <v>Harmon Dhillon (Executive Director – Beauty &amp; Wellbeing) / Shiva Krishnamurthy (Executive Director – Foods &amp; Refreshment)</v>
      </c>
      <c r="C2392" s="17" t="str">
        <f>IFERROR(__xludf.DUMMYFUNCTION("""COMPUTED_VALUE"""),"cmo")</f>
        <v>cmo</v>
      </c>
      <c r="D2392" s="17"/>
      <c r="E2392" s="17"/>
      <c r="F2392" s="17"/>
      <c r="G2392" s="17"/>
      <c r="H2392" s="17"/>
    </row>
    <row r="2393">
      <c r="A2393" s="17" t="str">
        <f>IFERROR(__xludf.DUMMYFUNCTION("""COMPUTED_VALUE"""),"Tech Mahindra")</f>
        <v>Tech Mahindra</v>
      </c>
      <c r="B2393" s="17" t="str">
        <f>IFERROR(__xludf.DUMMYFUNCTION("""COMPUTED_VALUE"""),"Harshita KushwahaView Harshita Kushwaha’s profile")</f>
        <v>Harshita KushwahaView Harshita Kushwaha’s profile</v>
      </c>
      <c r="C2393" s="17" t="str">
        <f>IFERROR(__xludf.DUMMYFUNCTION("""COMPUTED_VALUE"""),"CMO Office || Tech Mahindra")</f>
        <v>CMO Office || Tech Mahindra</v>
      </c>
      <c r="D2393" s="27" t="str">
        <f>IFERROR(__xludf.DUMMYFUNCTION("""COMPUTED_VALUE"""),"https://www.linkedin.com/in/harshita-kushwaha28/")</f>
        <v>https://www.linkedin.com/in/harshita-kushwaha28/</v>
      </c>
      <c r="E2393" s="17"/>
      <c r="F2393" s="17" t="str">
        <f>IFERROR(__xludf.DUMMYFUNCTION("""COMPUTED_VALUE"""),"harshitakushwaha28@gmail.com")</f>
        <v>harshitakushwaha28@gmail.com</v>
      </c>
      <c r="G2393" s="17"/>
      <c r="H2393" s="17"/>
    </row>
    <row r="2394">
      <c r="A2394" s="17" t="str">
        <f>IFERROR(__xludf.DUMMYFUNCTION("""COMPUTED_VALUE"""),"Sonata Software")</f>
        <v>Sonata Software</v>
      </c>
      <c r="B2394" s="17" t="str">
        <f>IFERROR(__xludf.DUMMYFUNCTION("""COMPUTED_VALUE"""),"Hemant Kumar Bhardwaj")</f>
        <v>Hemant Kumar Bhardwaj</v>
      </c>
      <c r="C2394" s="17" t="str">
        <f>IFERROR(__xludf.DUMMYFUNCTION("""COMPUTED_VALUE"""),"Chief Marketing Officer at Sonata Software")</f>
        <v>Chief Marketing Officer at Sonata Software</v>
      </c>
      <c r="D2394" s="27" t="str">
        <f>IFERROR(__xludf.DUMMYFUNCTION("""COMPUTED_VALUE"""),"https://www.linkedin.com/in/hkbhardwaj/")</f>
        <v>https://www.linkedin.com/in/hkbhardwaj/</v>
      </c>
      <c r="E2394" s="17"/>
      <c r="F2394" s="17" t="str">
        <f>IFERROR(__xludf.DUMMYFUNCTION("""COMPUTED_VALUE"""),"hemantbar@gmail.com")</f>
        <v>hemantbar@gmail.com</v>
      </c>
      <c r="G2394" s="17" t="str">
        <f>IFERROR(__xludf.DUMMYFUNCTION("""COMPUTED_VALUE"""),"kumar@sonata-software.com")</f>
        <v>kumar@sonata-software.com</v>
      </c>
      <c r="H2394" s="17"/>
    </row>
    <row r="2395">
      <c r="A2395" s="17" t="str">
        <f>IFERROR(__xludf.DUMMYFUNCTION("""COMPUTED_VALUE"""),"Tally Solutions")</f>
        <v>Tally Solutions</v>
      </c>
      <c r="B2395" s="17" t="str">
        <f>IFERROR(__xludf.DUMMYFUNCTION("""COMPUTED_VALUE"""),"Jayati Singh")</f>
        <v>Jayati Singh</v>
      </c>
      <c r="C2395" s="17" t="str">
        <f>IFERROR(__xludf.DUMMYFUNCTION("""COMPUTED_VALUE"""),"cmo")</f>
        <v>cmo</v>
      </c>
      <c r="D2395" s="27" t="str">
        <f>IFERROR(__xludf.DUMMYFUNCTION("""COMPUTED_VALUE"""),"https://www.linkedin.com/in/jayati-singh-b3b5572/")</f>
        <v>https://www.linkedin.com/in/jayati-singh-b3b5572/</v>
      </c>
      <c r="E2395" s="17"/>
      <c r="F2395" s="17" t="str">
        <f>IFERROR(__xludf.DUMMYFUNCTION("""COMPUTED_VALUE"""),"singh.jayati@gmail.com")</f>
        <v>singh.jayati@gmail.com</v>
      </c>
      <c r="G2395" s="17" t="str">
        <f>IFERROR(__xludf.DUMMYFUNCTION("""COMPUTED_VALUE"""),"jayati.singh@tallysolutions.com")</f>
        <v>jayati.singh@tallysolutions.com</v>
      </c>
      <c r="H2395" s="17"/>
    </row>
    <row r="2396">
      <c r="A2396" s="17" t="str">
        <f>IFERROR(__xludf.DUMMYFUNCTION("""COMPUTED_VALUE"""),"126. Sun Pharmaceutical Industries")</f>
        <v>126. Sun Pharmaceutical Industries</v>
      </c>
      <c r="B2396" s="17" t="str">
        <f>IFERROR(__xludf.DUMMYFUNCTION("""COMPUTED_VALUE"""),"Jaydeep Shah")</f>
        <v>Jaydeep Shah</v>
      </c>
      <c r="C2396" s="17" t="str">
        <f>IFERROR(__xludf.DUMMYFUNCTION("""COMPUTED_VALUE"""),"CMO")</f>
        <v>CMO</v>
      </c>
      <c r="D2396" s="27" t="str">
        <f>IFERROR(__xludf.DUMMYFUNCTION("""COMPUTED_VALUE"""),"https://www.linkedin.com/in/jaydeeps/?originalSubdomain=in")</f>
        <v>https://www.linkedin.com/in/jaydeeps/?originalSubdomain=in</v>
      </c>
      <c r="E2396" s="17"/>
      <c r="F2396" s="17" t="str">
        <f>IFERROR(__xludf.DUMMYFUNCTION("""COMPUTED_VALUE"""),"shahjaydeep@gmail.com")</f>
        <v>shahjaydeep@gmail.com</v>
      </c>
      <c r="G2396" s="17"/>
      <c r="H2396" s="17"/>
    </row>
    <row r="2397">
      <c r="A2397" s="17" t="str">
        <f>IFERROR(__xludf.DUMMYFUNCTION("""COMPUTED_VALUE"""),"Zensar Technologies")</f>
        <v>Zensar Technologies</v>
      </c>
      <c r="B2397" s="17" t="str">
        <f>IFERROR(__xludf.DUMMYFUNCTION("""COMPUTED_VALUE"""),"Jennifer Cruz")</f>
        <v>Jennifer Cruz</v>
      </c>
      <c r="C2397" s="17" t="str">
        <f>IFERROR(__xludf.DUMMYFUNCTION("""COMPUTED_VALUE"""),"Brand &amp; Comms - Operations Manager at Zensar Technologies")</f>
        <v>Brand &amp; Comms - Operations Manager at Zensar Technologies</v>
      </c>
      <c r="D2397" s="27" t="str">
        <f>IFERROR(__xludf.DUMMYFUNCTION("""COMPUTED_VALUE"""),"https://www.linkedin.com/in/jennifer-cruz-508272107/")</f>
        <v>https://www.linkedin.com/in/jennifer-cruz-508272107/</v>
      </c>
      <c r="E2397" s="17"/>
      <c r="F2397" s="17" t="str">
        <f>IFERROR(__xludf.DUMMYFUNCTION("""COMPUTED_VALUE"""),"j.cruz@zensar.com")</f>
        <v>j.cruz@zensar.com</v>
      </c>
      <c r="G2397" s="17"/>
      <c r="H2397" s="17"/>
    </row>
    <row r="2398">
      <c r="A2398" s="17" t="str">
        <f>IFERROR(__xludf.DUMMYFUNCTION("""COMPUTED_VALUE"""),"Mahindra &amp; Mahindra (Automotive)")</f>
        <v>Mahindra &amp; Mahindra (Automotive)</v>
      </c>
      <c r="B2398" s="17" t="str">
        <f>IFERROR(__xludf.DUMMYFUNCTION("""COMPUTED_VALUE"""),"Manjari Upadhye (CMO, Automotive Division)")</f>
        <v>Manjari Upadhye (CMO, Automotive Division)</v>
      </c>
      <c r="C2398" s="17" t="str">
        <f>IFERROR(__xludf.DUMMYFUNCTION("""COMPUTED_VALUE"""),"Automotive")</f>
        <v>Automotive</v>
      </c>
      <c r="D2398" s="17"/>
      <c r="E2398" s="17"/>
      <c r="F2398" s="17"/>
      <c r="G2398" s="17"/>
      <c r="H2398" s="17"/>
    </row>
    <row r="2399">
      <c r="A2399" s="17" t="str">
        <f>IFERROR(__xludf.DUMMYFUNCTION("""COMPUTED_VALUE""")," HCLTech")</f>
        <v> HCLTech</v>
      </c>
      <c r="B2399" s="17" t="str">
        <f>IFERROR(__xludf.DUMMYFUNCTION("""COMPUTED_VALUE"""),"Mansi Saxena")</f>
        <v>Mansi Saxena</v>
      </c>
      <c r="C2399" s="17" t="str">
        <f>IFERROR(__xludf.DUMMYFUNCTION("""COMPUTED_VALUE"""),"Manager, Office of the CMO | HCLTech")</f>
        <v>Manager, Office of the CMO | HCLTech</v>
      </c>
      <c r="D2399" s="27" t="str">
        <f>IFERROR(__xludf.DUMMYFUNCTION("""COMPUTED_VALUE"""),"https://www.linkedin.com/in/mansi-saxena-07610b1ab/")</f>
        <v>https://www.linkedin.com/in/mansi-saxena-07610b1ab/</v>
      </c>
      <c r="E2399" s="17"/>
      <c r="F2399" s="17" t="str">
        <f>IFERROR(__xludf.DUMMYFUNCTION("""COMPUTED_VALUE"""),"saxena.mansi231@gmail.com")</f>
        <v>saxena.mansi231@gmail.com</v>
      </c>
      <c r="G2399" s="17"/>
      <c r="H2399" s="17"/>
    </row>
    <row r="2400">
      <c r="A2400" s="17" t="str">
        <f>IFERROR(__xludf.DUMMYFUNCTION("""COMPUTED_VALUE"""),"Route Mobile")</f>
        <v>Route Mobile</v>
      </c>
      <c r="B2400" s="17" t="str">
        <f>IFERROR(__xludf.DUMMYFUNCTION("""COMPUTED_VALUE"""),"Milind PathakView Milind Pathak’s profile")</f>
        <v>Milind PathakView Milind Pathak’s profile</v>
      </c>
      <c r="C2400" s="17" t="str">
        <f>IFERROR(__xludf.DUMMYFUNCTION("""COMPUTED_VALUE"""),"cmo")</f>
        <v>cmo</v>
      </c>
      <c r="D2400" s="27" t="str">
        <f>IFERROR(__xludf.DUMMYFUNCTION("""COMPUTED_VALUE"""),"https://www.linkedin.com/in/milindpathak/")</f>
        <v>https://www.linkedin.com/in/milindpathak/</v>
      </c>
      <c r="E2400" s="17"/>
      <c r="F2400" s="17" t="str">
        <f>IFERROR(__xludf.DUMMYFUNCTION("""COMPUTED_VALUE"""),"patindian@gmail.com")</f>
        <v>patindian@gmail.com</v>
      </c>
      <c r="G2400" s="17" t="str">
        <f>IFERROR(__xludf.DUMMYFUNCTION("""COMPUTED_VALUE"""),"milind@routemobile.com")</f>
        <v>milind@routemobile.com</v>
      </c>
      <c r="H2400" s="17"/>
    </row>
    <row r="2401">
      <c r="A2401" s="17" t="str">
        <f>IFERROR(__xludf.DUMMYFUNCTION("""COMPUTED_VALUE"""),"KPIT Technologies")</f>
        <v>KPIT Technologies</v>
      </c>
      <c r="B2401" s="17" t="str">
        <f>IFERROR(__xludf.DUMMYFUNCTION("""COMPUTED_VALUE"""),"Mohit Kochar")</f>
        <v>Mohit Kochar</v>
      </c>
      <c r="C2401" s="17" t="str">
        <f>IFERROR(__xludf.DUMMYFUNCTION("""COMPUTED_VALUE"""),"CMO &amp; Head Global Alliances@ KPIT")</f>
        <v>CMO &amp; Head Global Alliances@ KPIT</v>
      </c>
      <c r="D2401" s="27" t="str">
        <f>IFERROR(__xludf.DUMMYFUNCTION("""COMPUTED_VALUE"""),"https://www.linkedin.com/in/mohitkochar/")</f>
        <v>https://www.linkedin.com/in/mohitkochar/</v>
      </c>
      <c r="E2401" s="17"/>
      <c r="F2401" s="17" t="str">
        <f>IFERROR(__xludf.DUMMYFUNCTION("""COMPUTED_VALUE"""),"mohit.kochar@kpit.com")</f>
        <v>mohit.kochar@kpit.com</v>
      </c>
      <c r="G2401" s="17" t="str">
        <f>IFERROR(__xludf.DUMMYFUNCTION("""COMPUTED_VALUE"""),"mohitkochar@yahoo.com")</f>
        <v>mohitkochar@yahoo.com</v>
      </c>
      <c r="H2401" s="17" t="str">
        <f>IFERROR(__xludf.DUMMYFUNCTION("""COMPUTED_VALUE"""),"kochar.mohit@gmail.com")</f>
        <v>kochar.mohit@gmail.com</v>
      </c>
    </row>
    <row r="2402">
      <c r="A2402" s="17" t="str">
        <f>IFERROR(__xludf.DUMMYFUNCTION("""COMPUTED_VALUE"""),"Tanla Platforms")</f>
        <v>Tanla Platforms</v>
      </c>
      <c r="B2402" s="17" t="str">
        <f>IFERROR(__xludf.DUMMYFUNCTION("""COMPUTED_VALUE"""),"Muskan Singh")</f>
        <v>Muskan Singh</v>
      </c>
      <c r="C2402" s="17" t="str">
        <f>IFERROR(__xludf.DUMMYFUNCTION("""COMPUTED_VALUE"""),"cmo")</f>
        <v>cmo</v>
      </c>
      <c r="D2402" s="27" t="str">
        <f>IFERROR(__xludf.DUMMYFUNCTION("""COMPUTED_VALUE"""),"https://www.linkedin.com/in/muskan-singh/")</f>
        <v>https://www.linkedin.com/in/muskan-singh/</v>
      </c>
      <c r="E2402" s="17"/>
      <c r="F2402" s="17" t="str">
        <f>IFERROR(__xludf.DUMMYFUNCTION("""COMPUTED_VALUE"""),"muskansinghdy@gmail.com")</f>
        <v>muskansinghdy@gmail.com</v>
      </c>
      <c r="G2402" s="17" t="str">
        <f>IFERROR(__xludf.DUMMYFUNCTION("""COMPUTED_VALUE"""),"muskan.singh@tanla.com")</f>
        <v>muskan.singh@tanla.com</v>
      </c>
      <c r="H2402" s="17"/>
    </row>
    <row r="2403">
      <c r="A2403" s="17" t="str">
        <f>IFERROR(__xludf.DUMMYFUNCTION("""COMPUTED_VALUE"""),"LTIMindtree")</f>
        <v>LTIMindtree</v>
      </c>
      <c r="B2403" s="17" t="str">
        <f>IFERROR(__xludf.DUMMYFUNCTION("""COMPUTED_VALUE"""),"Neha KathuriaView Neha Kathuria’s profile")</f>
        <v>Neha KathuriaView Neha Kathuria’s profile</v>
      </c>
      <c r="C2403" s="17" t="str">
        <f>IFERROR(__xludf.DUMMYFUNCTION("""COMPUTED_VALUE"""),"Chief Marketing Officer, LTIMindtree")</f>
        <v>Chief Marketing Officer, LTIMindtree</v>
      </c>
      <c r="D2403" s="17"/>
      <c r="E2403" s="17"/>
      <c r="F2403" s="17" t="str">
        <f>IFERROR(__xludf.DUMMYFUNCTION("""COMPUTED_VALUE"""),"neha@ltimindtree.com")</f>
        <v>neha@ltimindtree.com</v>
      </c>
      <c r="G2403" s="17" t="str">
        <f>IFERROR(__xludf.DUMMYFUNCTION("""COMPUTED_VALUE"""),"kathuria.neha@gmail.com")</f>
        <v>kathuria.neha@gmail.com</v>
      </c>
      <c r="H2403" s="17"/>
    </row>
    <row r="2404">
      <c r="A2404" s="17" t="str">
        <f>IFERROR(__xludf.DUMMYFUNCTION("""COMPUTED_VALUE"""),"Hexaware Technologies")</f>
        <v>Hexaware Technologies</v>
      </c>
      <c r="B2404" s="17" t="str">
        <f>IFERROR(__xludf.DUMMYFUNCTION("""COMPUTED_VALUE"""),"Nidhi Alexander")</f>
        <v>Nidhi Alexander</v>
      </c>
      <c r="C2404" s="17" t="str">
        <f>IFERROR(__xludf.DUMMYFUNCTION("""COMPUTED_VALUE"""),"Chief Marketing Officer &amp; Growth Leader")</f>
        <v>Chief Marketing Officer &amp; Growth Leader</v>
      </c>
      <c r="D2404" s="27" t="str">
        <f>IFERROR(__xludf.DUMMYFUNCTION("""COMPUTED_VALUE"""),"https://www.linkedin.com/in/nidhialexander/")</f>
        <v>https://www.linkedin.com/in/nidhialexander/</v>
      </c>
      <c r="E2404" s="17"/>
      <c r="F2404" s="17" t="str">
        <f>IFERROR(__xludf.DUMMYFUNCTION("""COMPUTED_VALUE"""),"nidhia@hexaware.com")</f>
        <v>nidhia@hexaware.com</v>
      </c>
      <c r="G2404" s="17" t="str">
        <f>IFERROR(__xludf.DUMMYFUNCTION("""COMPUTED_VALUE"""),"nidhialexander@gmail.com")</f>
        <v>nidhialexander@gmail.com</v>
      </c>
      <c r="H2404" s="17"/>
    </row>
    <row r="2405">
      <c r="A2405" s="17" t="str">
        <f>IFERROR(__xludf.DUMMYFUNCTION("""COMPUTED_VALUE"""),"Tata Elxsi ")</f>
        <v>Tata Elxsi </v>
      </c>
      <c r="B2405" s="17" t="str">
        <f>IFERROR(__xludf.DUMMYFUNCTION("""COMPUTED_VALUE"""),"Nitin PaiView Nitin Pai’s profile")</f>
        <v>Nitin PaiView Nitin Pai’s profile</v>
      </c>
      <c r="C2405" s="17" t="str">
        <f>IFERROR(__xludf.DUMMYFUNCTION("""COMPUTED_VALUE"""),"cmo")</f>
        <v>cmo</v>
      </c>
      <c r="D2405" s="17"/>
      <c r="E2405" s="17"/>
      <c r="F2405" s="17" t="str">
        <f>IFERROR(__xludf.DUMMYFUNCTION("""COMPUTED_VALUE"""),"nitinpai@tataelxsi.com")</f>
        <v>nitinpai@tataelxsi.com</v>
      </c>
      <c r="G2405" s="17" t="str">
        <f>IFERROR(__xludf.DUMMYFUNCTION("""COMPUTED_VALUE"""),"nitinpai@tataelxsi.co.in")</f>
        <v>nitinpai@tataelxsi.co.in</v>
      </c>
      <c r="H2405" s="17"/>
    </row>
    <row r="2406">
      <c r="A2406" s="17" t="str">
        <f>IFERROR(__xludf.DUMMYFUNCTION("""COMPUTED_VALUE"""),"Maruti Suzuki India")</f>
        <v>Maruti Suzuki India</v>
      </c>
      <c r="B2406" s="17" t="str">
        <f>IFERROR(__xludf.DUMMYFUNCTION("""COMPUTED_VALUE"""),"Partho Banerjee (Head of Marketing &amp; Sales)")</f>
        <v>Partho Banerjee (Head of Marketing &amp; Sales)</v>
      </c>
      <c r="C2406" s="17" t="str">
        <f>IFERROR(__xludf.DUMMYFUNCTION("""COMPUTED_VALUE"""),"Automotive")</f>
        <v>Automotive</v>
      </c>
      <c r="D2406" s="17"/>
      <c r="E2406" s="17"/>
      <c r="F2406" s="17"/>
      <c r="G2406" s="17"/>
      <c r="H2406" s="17"/>
    </row>
    <row r="2407">
      <c r="A2407" s="17" t="str">
        <f>IFERROR(__xludf.DUMMYFUNCTION("""COMPUTED_VALUE"""),"Subex")</f>
        <v>Subex</v>
      </c>
      <c r="B2407" s="17" t="str">
        <f>IFERROR(__xludf.DUMMYFUNCTION("""COMPUTED_VALUE"""),"Poonam WadhwaView Poonam Wadhwa’s profile")</f>
        <v>Poonam WadhwaView Poonam Wadhwa’s profile</v>
      </c>
      <c r="C2407" s="17" t="str">
        <f>IFERROR(__xludf.DUMMYFUNCTION("""COMPUTED_VALUE"""),"cmo")</f>
        <v>cmo</v>
      </c>
      <c r="D2407" s="17"/>
      <c r="E2407" s="17"/>
      <c r="F2407" s="17" t="str">
        <f>IFERROR(__xludf.DUMMYFUNCTION("""COMPUTED_VALUE"""),"poonamkhanna1@gmail.com")</f>
        <v>poonamkhanna1@gmail.com</v>
      </c>
      <c r="G2407" s="17" t="str">
        <f>IFERROR(__xludf.DUMMYFUNCTION("""COMPUTED_VALUE"""),"poonam.wadhwa@subex.com")</f>
        <v>poonam.wadhwa@subex.com</v>
      </c>
      <c r="H2407" s="17" t="str">
        <f>IFERROR(__xludf.DUMMYFUNCTION("""COMPUTED_VALUE"""),"poonam.wadhwa@comviva.com")</f>
        <v>poonam.wadhwa@comviva.com</v>
      </c>
    </row>
    <row r="2408">
      <c r="A2408" s="17" t="str">
        <f>IFERROR(__xludf.DUMMYFUNCTION("""COMPUTED_VALUE"""),"123. VIP Industries")</f>
        <v>123. VIP Industries</v>
      </c>
      <c r="B2408" s="17" t="str">
        <f>IFERROR(__xludf.DUMMYFUNCTION("""COMPUTED_VALUE"""),"Praful Gupta")</f>
        <v>Praful Gupta</v>
      </c>
      <c r="C2408" s="17" t="str">
        <f>IFERROR(__xludf.DUMMYFUNCTION("""COMPUTED_VALUE"""),"VP - Sales")</f>
        <v>VP - Sales</v>
      </c>
      <c r="D2408" s="27" t="str">
        <f>IFERROR(__xludf.DUMMYFUNCTION("""COMPUTED_VALUE"""),"https://www.linkedin.com/in/prafulg/")</f>
        <v>https://www.linkedin.com/in/prafulg/</v>
      </c>
      <c r="E2408" s="17"/>
      <c r="F2408" s="17" t="str">
        <f>IFERROR(__xludf.DUMMYFUNCTION("""COMPUTED_VALUE"""),"guptapraful@hotmail.com")</f>
        <v>guptapraful@hotmail.com</v>
      </c>
      <c r="G2408" s="17"/>
      <c r="H2408" s="17"/>
    </row>
    <row r="2409">
      <c r="A2409" s="17" t="str">
        <f>IFERROR(__xludf.DUMMYFUNCTION("""COMPUTED_VALUE"""),"MRF")</f>
        <v>MRF</v>
      </c>
      <c r="B2409" s="17" t="str">
        <f>IFERROR(__xludf.DUMMYFUNCTION("""COMPUTED_VALUE"""),"Pratip Francis")</f>
        <v>Pratip Francis</v>
      </c>
      <c r="C2409" s="17" t="str">
        <f>IFERROR(__xludf.DUMMYFUNCTION("""COMPUTED_VALUE"""),"Head of Brand Marketing")</f>
        <v>Head of Brand Marketing</v>
      </c>
      <c r="D2409" s="27" t="str">
        <f>IFERROR(__xludf.DUMMYFUNCTION("""COMPUTED_VALUE"""),"https://www.linkedin.com/in/pratip-francis-82ab537/?originalSubdomain=in")</f>
        <v>https://www.linkedin.com/in/pratip-francis-82ab537/?originalSubdomain=in</v>
      </c>
      <c r="E2409" s="17"/>
      <c r="F2409" s="17" t="str">
        <f>IFERROR(__xludf.DUMMYFUNCTION("""COMPUTED_VALUE"""),"pratip.francis@mrfmail.com")</f>
        <v>pratip.francis@mrfmail.com</v>
      </c>
      <c r="G2409" s="17"/>
      <c r="H2409" s="17"/>
    </row>
    <row r="2410">
      <c r="A2410" s="17" t="str">
        <f>IFERROR(__xludf.DUMMYFUNCTION("""COMPUTED_VALUE""")," Wipro Limited")</f>
        <v> Wipro Limited</v>
      </c>
      <c r="B2410" s="17" t="str">
        <f>IFERROR(__xludf.DUMMYFUNCTION("""COMPUTED_VALUE"""),"Ranjita Ghosh")</f>
        <v>Ranjita Ghosh</v>
      </c>
      <c r="C2410" s="17" t="str">
        <f>IFERROR(__xludf.DUMMYFUNCTION("""COMPUTED_VALUE"""),"Global Chief Marketing Officer, Wipro")</f>
        <v>Global Chief Marketing Officer, Wipro</v>
      </c>
      <c r="D2410" s="27" t="str">
        <f>IFERROR(__xludf.DUMMYFUNCTION("""COMPUTED_VALUE"""),"https://www.linkedin.com/in/ranjita-ghosh-24137120/")</f>
        <v>https://www.linkedin.com/in/ranjita-ghosh-24137120/</v>
      </c>
      <c r="E2410" s="17" t="str">
        <f>IFERROR(__xludf.DUMMYFUNCTION("""COMPUTED_VALUE"""),"9845046407")</f>
        <v>9845046407</v>
      </c>
      <c r="F2410" s="17" t="str">
        <f>IFERROR(__xludf.DUMMYFUNCTION("""COMPUTED_VALUE"""),"ranjitaghosh@gmail.com")</f>
        <v>ranjitaghosh@gmail.com</v>
      </c>
      <c r="G2410" s="17"/>
      <c r="H2410" s="17"/>
    </row>
    <row r="2411">
      <c r="A2411" s="17" t="str">
        <f>IFERROR(__xludf.DUMMYFUNCTION("""COMPUTED_VALUE"""),"Amazon India")</f>
        <v>Amazon India</v>
      </c>
      <c r="B2411" s="17" t="str">
        <f>IFERROR(__xludf.DUMMYFUNCTION("""COMPUTED_VALUE"""),"Ravi Desai (Director, Brand Marketing &amp; APAC)")</f>
        <v>Ravi Desai (Director, Brand Marketing &amp; APAC)</v>
      </c>
      <c r="C2411" s="17" t="str">
        <f>IFERROR(__xludf.DUMMYFUNCTION("""COMPUTED_VALUE"""),"E-commerce")</f>
        <v>E-commerce</v>
      </c>
      <c r="D2411" s="17"/>
      <c r="E2411" s="17"/>
      <c r="F2411" s="17"/>
      <c r="G2411" s="17"/>
      <c r="H2411" s="17"/>
    </row>
    <row r="2412">
      <c r="A2412" s="17" t="str">
        <f>IFERROR(__xludf.DUMMYFUNCTION("""COMPUTED_VALUE"""),"HDFC Bank")</f>
        <v>HDFC Bank</v>
      </c>
      <c r="B2412" s="17" t="str">
        <f>IFERROR(__xludf.DUMMYFUNCTION("""COMPUTED_VALUE"""),"Ravi Santhanam")</f>
        <v>Ravi Santhanam</v>
      </c>
      <c r="C2412" s="17" t="str">
        <f>IFERROR(__xludf.DUMMYFUNCTION("""COMPUTED_VALUE"""),"cmo")</f>
        <v>cmo</v>
      </c>
      <c r="D2412" s="27" t="str">
        <f>IFERROR(__xludf.DUMMYFUNCTION("""COMPUTED_VALUE"""),"https://www.linkedin.com/in/ravi-santhanam-089b065/")</f>
        <v>https://www.linkedin.com/in/ravi-santhanam-089b065/</v>
      </c>
      <c r="E2412" s="17" t="str">
        <f>IFERROR(__xludf.DUMMYFUNCTION("""COMPUTED_VALUE"""),"919820418100")</f>
        <v>919820418100</v>
      </c>
      <c r="F2412" s="17" t="str">
        <f>IFERROR(__xludf.DUMMYFUNCTION("""COMPUTED_VALUE"""),"laravis69@gmail.com")</f>
        <v>laravis69@gmail.com</v>
      </c>
      <c r="G2412" s="17" t="str">
        <f>IFERROR(__xludf.DUMMYFUNCTION("""COMPUTED_VALUE"""),"laravis@rediffmail.com")</f>
        <v>laravis@rediffmail.com</v>
      </c>
      <c r="H2412" s="17"/>
    </row>
    <row r="2413">
      <c r="A2413" s="17" t="str">
        <f>IFERROR(__xludf.DUMMYFUNCTION("""COMPUTED_VALUE"""),"Sasken Technologies")</f>
        <v>Sasken Technologies</v>
      </c>
      <c r="B2413" s="17" t="str">
        <f>IFERROR(__xludf.DUMMYFUNCTION("""COMPUTED_VALUE"""),"Rekha Sahay")</f>
        <v>Rekha Sahay</v>
      </c>
      <c r="C2413" s="17" t="str">
        <f>IFERROR(__xludf.DUMMYFUNCTION("""COMPUTED_VALUE"""),"cmo")</f>
        <v>cmo</v>
      </c>
      <c r="D2413" s="27" t="str">
        <f>IFERROR(__xludf.DUMMYFUNCTION("""COMPUTED_VALUE"""),"https://www.linkedin.com/in/rekha-sahay-3aa6961/")</f>
        <v>https://www.linkedin.com/in/rekha-sahay-3aa6961/</v>
      </c>
      <c r="E2413" s="17"/>
      <c r="F2413" s="17" t="str">
        <f>IFERROR(__xludf.DUMMYFUNCTION("""COMPUTED_VALUE"""),"rekhasahay@gmail.com")</f>
        <v>rekhasahay@gmail.com</v>
      </c>
      <c r="G2413" s="17"/>
      <c r="H2413" s="17"/>
    </row>
    <row r="2414">
      <c r="A2414" s="17" t="str">
        <f>IFERROR(__xludf.DUMMYFUNCTION("""COMPUTED_VALUE"""),"Kotak Mahindra Group")</f>
        <v>Kotak Mahindra Group</v>
      </c>
      <c r="B2414" s="17" t="str">
        <f>IFERROR(__xludf.DUMMYFUNCTION("""COMPUTED_VALUE"""),"Rohit Bhasin (President &amp; Head of Marketing)")</f>
        <v>Rohit Bhasin (President &amp; Head of Marketing)</v>
      </c>
      <c r="C2414" s="17" t="str">
        <f>IFERROR(__xludf.DUMMYFUNCTION("""COMPUTED_VALUE"""),"Banking &amp; Financial Services")</f>
        <v>Banking &amp; Financial Services</v>
      </c>
      <c r="D2414" s="17"/>
      <c r="E2414" s="17"/>
      <c r="F2414" s="17" t="str">
        <f>IFERROR(__xludf.DUMMYFUNCTION("""COMPUTED_VALUE"""),"rohit.bhasin@kotak.com")</f>
        <v>rohit.bhasin@kotak.com</v>
      </c>
      <c r="G2414" s="17" t="str">
        <f>IFERROR(__xludf.DUMMYFUNCTION("""COMPUTED_VALUE"""),"rohitb23dec@gmail.com")</f>
        <v>rohitb23dec@gmail.com</v>
      </c>
      <c r="H2414" s="17"/>
    </row>
    <row r="2415">
      <c r="A2415" s="17" t="str">
        <f>IFERROR(__xludf.DUMMYFUNCTION("""COMPUTED_VALUE"""),"Newgen Software")</f>
        <v>Newgen Software</v>
      </c>
      <c r="B2415" s="17" t="str">
        <f>IFERROR(__xludf.DUMMYFUNCTION("""COMPUTED_VALUE"""),"Runki Goswami")</f>
        <v>Runki Goswami</v>
      </c>
      <c r="C2415" s="17" t="str">
        <f>IFERROR(__xludf.DUMMYFUNCTION("""COMPUTED_VALUE"""),"cmo")</f>
        <v>cmo</v>
      </c>
      <c r="D2415" s="27" t="str">
        <f>IFERROR(__xludf.DUMMYFUNCTION("""COMPUTED_VALUE"""),"https://www.linkedin.com/in/runkigoswami/")</f>
        <v>https://www.linkedin.com/in/runkigoswami/</v>
      </c>
      <c r="E2415" s="17"/>
      <c r="F2415" s="17" t="str">
        <f>IFERROR(__xludf.DUMMYFUNCTION("""COMPUTED_VALUE"""),"runki.goswami@newgensoft.com")</f>
        <v>runki.goswami@newgensoft.com</v>
      </c>
      <c r="G2415" s="17" t="str">
        <f>IFERROR(__xludf.DUMMYFUNCTION("""COMPUTED_VALUE"""),"runkig@yahoo.com")</f>
        <v>runkig@yahoo.com</v>
      </c>
      <c r="H2415" s="17"/>
    </row>
    <row r="2416">
      <c r="A2416" s="17" t="str">
        <f>IFERROR(__xludf.DUMMYFUNCTION("""COMPUTED_VALUE"""),"Wipro Consumer Care")</f>
        <v>Wipro Consumer Care</v>
      </c>
      <c r="B2416" s="17" t="str">
        <f>IFERROR(__xludf.DUMMYFUNCTION("""COMPUTED_VALUE"""),"S. Prasanna Rai (CMO &amp; Head - Ecommerce Business)")</f>
        <v>S. Prasanna Rai (CMO &amp; Head - Ecommerce Business)</v>
      </c>
      <c r="C2416" s="17" t="str">
        <f>IFERROR(__xludf.DUMMYFUNCTION("""COMPUTED_VALUE"""),"FMCG")</f>
        <v>FMCG</v>
      </c>
      <c r="D2416" s="17"/>
      <c r="E2416" s="17"/>
      <c r="F2416" s="17"/>
      <c r="G2416" s="17"/>
      <c r="H2416" s="17"/>
    </row>
    <row r="2417">
      <c r="A2417" s="17" t="str">
        <f>IFERROR(__xludf.DUMMYFUNCTION("""COMPUTED_VALUE"""),"L&amp;T Technology Services")</f>
        <v>L&amp;T Technology Services</v>
      </c>
      <c r="B2417" s="17" t="str">
        <f>IFERROR(__xludf.DUMMYFUNCTION("""COMPUTED_VALUE"""),"Samir Bagga")</f>
        <v>Samir Bagga</v>
      </c>
      <c r="C2417" s="17" t="str">
        <f>IFERROR(__xludf.DUMMYFUNCTION("""COMPUTED_VALUE"""),"CMO, L&amp;T Technology Services")</f>
        <v>CMO, L&amp;T Technology Services</v>
      </c>
      <c r="D2417" s="27" t="str">
        <f>IFERROR(__xludf.DUMMYFUNCTION("""COMPUTED_VALUE"""),"https://www.linkedin.com/in/samirbagga/")</f>
        <v>https://www.linkedin.com/in/samirbagga/</v>
      </c>
      <c r="E2417" s="17"/>
      <c r="F2417" s="17" t="str">
        <f>IFERROR(__xludf.DUMMYFUNCTION("""COMPUTED_VALUE"""),"samir.bagga@ltts.com")</f>
        <v>samir.bagga@ltts.com</v>
      </c>
      <c r="G2417" s="17" t="str">
        <f>IFERROR(__xludf.DUMMYFUNCTION("""COMPUTED_VALUE"""),"samir_bagga@yahoo.com")</f>
        <v>samir_bagga@yahoo.com</v>
      </c>
      <c r="H2417" s="17"/>
    </row>
    <row r="2418">
      <c r="A2418" s="17" t="str">
        <f>IFERROR(__xludf.DUMMYFUNCTION("""COMPUTED_VALUE"""),"Titan Company (Eyewear)")</f>
        <v>Titan Company (Eyewear)</v>
      </c>
      <c r="B2418" s="17" t="str">
        <f>IFERROR(__xludf.DUMMYFUNCTION("""COMPUTED_VALUE"""),"Shalini Gupta (CMO, Titan Eye Wear)")</f>
        <v>Shalini Gupta (CMO, Titan Eye Wear)</v>
      </c>
      <c r="C2418" s="17" t="str">
        <f>IFERROR(__xludf.DUMMYFUNCTION("""COMPUTED_VALUE"""),"Retail / Consumer Goods")</f>
        <v>Retail / Consumer Goods</v>
      </c>
      <c r="D2418" s="17"/>
      <c r="E2418" s="17"/>
      <c r="F2418" s="17" t="str">
        <f>IFERROR(__xludf.DUMMYFUNCTION("""COMPUTED_VALUE"""),"kevan.anand@gmail.com")</f>
        <v>kevan.anand@gmail.com</v>
      </c>
      <c r="G2418" s="17"/>
      <c r="H2418" s="17"/>
    </row>
    <row r="2419">
      <c r="A2419" s="17" t="str">
        <f>IFERROR(__xludf.DUMMYFUNCTION("""COMPUTED_VALUE"""),"Persistent Systems")</f>
        <v>Persistent Systems</v>
      </c>
      <c r="B2419" s="17" t="str">
        <f>IFERROR(__xludf.DUMMYFUNCTION("""COMPUTED_VALUE"""),"Shimona Chadha")</f>
        <v>Shimona Chadha</v>
      </c>
      <c r="C2419" s="17" t="str">
        <f>IFERROR(__xludf.DUMMYFUNCTION("""COMPUTED_VALUE"""),"cmo Office || Tech Mahindra")</f>
        <v>cmo Office || Tech Mahindra</v>
      </c>
      <c r="D2419" s="27" t="str">
        <f>IFERROR(__xludf.DUMMYFUNCTION("""COMPUTED_VALUE"""),"https://www.linkedin.com/in/shimona-chadha-7879288/")</f>
        <v>https://www.linkedin.com/in/shimona-chadha-7879288/</v>
      </c>
      <c r="E2419" s="17"/>
      <c r="F2419" s="17" t="str">
        <f>IFERROR(__xludf.DUMMYFUNCTION("""COMPUTED_VALUE"""),"shimona.chadha@gmail.com")</f>
        <v>shimona.chadha@gmail.com</v>
      </c>
      <c r="G2419" s="17" t="str">
        <f>IFERROR(__xludf.DUMMYFUNCTION("""COMPUTED_VALUE"""),"shimona_chadha@persistent.com")</f>
        <v>shimona_chadha@persistent.com</v>
      </c>
      <c r="H2419" s="17"/>
    </row>
    <row r="2420">
      <c r="A2420" s="17" t="str">
        <f>IFERROR(__xludf.DUMMYFUNCTION("""COMPUTED_VALUE"""),"Tata Motors (CVBU)")</f>
        <v>Tata Motors (CVBU)</v>
      </c>
      <c r="B2420" s="17" t="str">
        <f>IFERROR(__xludf.DUMMYFUNCTION("""COMPUTED_VALUE"""),"Shubhranshu Singh (CMO - Commercial Vehicle Business Unit)")</f>
        <v>Shubhranshu Singh (CMO - Commercial Vehicle Business Unit)</v>
      </c>
      <c r="C2420" s="17" t="str">
        <f>IFERROR(__xludf.DUMMYFUNCTION("""COMPUTED_VALUE"""),"Automotive")</f>
        <v>Automotive</v>
      </c>
      <c r="D2420" s="17"/>
      <c r="E2420" s="17"/>
      <c r="F2420" s="17"/>
      <c r="G2420" s="17"/>
      <c r="H2420" s="17"/>
    </row>
    <row r="2421">
      <c r="A2421" s="17" t="str">
        <f>IFERROR(__xludf.DUMMYFUNCTION("""COMPUTED_VALUE"""),"ITC Limited")</f>
        <v>ITC Limited</v>
      </c>
      <c r="B2421" s="17" t="str">
        <f>IFERROR(__xludf.DUMMYFUNCTION("""COMPUTED_VALUE"""),"Shuvadip Banerjee (Chief Digital Marketing Officer) / Kavita Chaturvedi (COO, Snacks Business)")</f>
        <v>Shuvadip Banerjee (Chief Digital Marketing Officer) / Kavita Chaturvedi (COO, Snacks Business)</v>
      </c>
      <c r="C2421" s="17" t="str">
        <f>IFERROR(__xludf.DUMMYFUNCTION("""COMPUTED_VALUE"""),"cmo")</f>
        <v>cmo</v>
      </c>
      <c r="D2421" s="27" t="str">
        <f>IFERROR(__xludf.DUMMYFUNCTION("""COMPUTED_VALUE"""),"https://www.linkedin.com/in/shuvadip-banerjee-1667725/")</f>
        <v>https://www.linkedin.com/in/shuvadip-banerjee-1667725/</v>
      </c>
      <c r="E2421" s="17" t="str">
        <f>IFERROR(__xludf.DUMMYFUNCTION("""COMPUTED_VALUE"""),"919902444429")</f>
        <v>919902444429</v>
      </c>
      <c r="F2421" s="17" t="str">
        <f>IFERROR(__xludf.DUMMYFUNCTION("""COMPUTED_VALUE"""),"shuvadip@gmail.com")</f>
        <v>shuvadip@gmail.com</v>
      </c>
      <c r="G2421" s="17" t="str">
        <f>IFERROR(__xludf.DUMMYFUNCTION("""COMPUTED_VALUE"""),"shuvadip.banerjee@up-online.org")</f>
        <v>shuvadip.banerjee@up-online.org</v>
      </c>
      <c r="H2421" s="17"/>
    </row>
    <row r="2422">
      <c r="A2422" s="17" t="str">
        <f>IFERROR(__xludf.DUMMYFUNCTION("""COMPUTED_VALUE"""),"Quick heal ")</f>
        <v>Quick heal </v>
      </c>
      <c r="B2422" s="17" t="str">
        <f>IFERROR(__xludf.DUMMYFUNCTION("""COMPUTED_VALUE"""),"Sudhanshu Tripathi")</f>
        <v>Sudhanshu Tripathi</v>
      </c>
      <c r="C2422" s="17" t="str">
        <f>IFERROR(__xludf.DUMMYFUNCTION("""COMPUTED_VALUE"""),"Chief Marketing Officer | Marketing 40U40 | Top 100 CMO | ESG | Policy Advocacy | IPO | AI &amp; Cybersecurity | P&amp;L Growth")</f>
        <v>Chief Marketing Officer | Marketing 40U40 | Top 100 CMO | ESG | Policy Advocacy | IPO | AI &amp; Cybersecurity | P&amp;L Growth</v>
      </c>
      <c r="D2422" s="27" t="str">
        <f>IFERROR(__xludf.DUMMYFUNCTION("""COMPUTED_VALUE"""),"https://www.linkedin.com/in/tripathisudhanshu/")</f>
        <v>https://www.linkedin.com/in/tripathisudhanshu/</v>
      </c>
      <c r="E2422" s="17"/>
      <c r="F2422" s="17" t="str">
        <f>IFERROR(__xludf.DUMMYFUNCTION("""COMPUTED_VALUE"""),"sudhanshu.tripathi@quickheal.com")</f>
        <v>sudhanshu.tripathi@quickheal.com</v>
      </c>
      <c r="G2422" s="17" t="str">
        <f>IFERROR(__xludf.DUMMYFUNCTION("""COMPUTED_VALUE"""),"sudhanshut@gmail.com")</f>
        <v>sudhanshut@gmail.com</v>
      </c>
      <c r="H2422" s="17"/>
    </row>
    <row r="2423">
      <c r="A2423" s="17" t="str">
        <f>IFERROR(__xludf.DUMMYFUNCTION("""COMPUTED_VALUE"""),"ICICI Bank")</f>
        <v>ICICI Bank</v>
      </c>
      <c r="B2423" s="17" t="str">
        <f>IFERROR(__xludf.DUMMYFUNCTION("""COMPUTED_VALUE"""),"Sujit Ganguli")</f>
        <v>Sujit Ganguli</v>
      </c>
      <c r="C2423" s="17" t="str">
        <f>IFERROR(__xludf.DUMMYFUNCTION("""COMPUTED_VALUE"""),"cmo")</f>
        <v>cmo</v>
      </c>
      <c r="D2423" s="27" t="str">
        <f>IFERROR(__xludf.DUMMYFUNCTION("""COMPUTED_VALUE"""),"https://www.linkedin.com/in/sujit-ganguli-9072a3a/")</f>
        <v>https://www.linkedin.com/in/sujit-ganguli-9072a3a/</v>
      </c>
      <c r="E2423" s="17" t="str">
        <f>IFERROR(__xludf.DUMMYFUNCTION("""COMPUTED_VALUE"""),"919820144777")</f>
        <v>919820144777</v>
      </c>
      <c r="F2423" s="17" t="str">
        <f>IFERROR(__xludf.DUMMYFUNCTION("""COMPUTED_VALUE"""),"sujitganguli@rediffmail.com")</f>
        <v>sujitganguli@rediffmail.com</v>
      </c>
      <c r="G2423" s="17"/>
      <c r="H2423" s="17"/>
    </row>
    <row r="2424">
      <c r="A2424" s="17" t="str">
        <f>IFERROR(__xludf.DUMMYFUNCTION("""COMPUTED_VALUE"""),"Birlasoft")</f>
        <v>Birlasoft</v>
      </c>
      <c r="B2424" s="17" t="str">
        <f>IFERROR(__xludf.DUMMYFUNCTION("""COMPUTED_VALUE"""),"Sumit Dave [L.I.O.N]")</f>
        <v>Sumit Dave [L.I.O.N]</v>
      </c>
      <c r="C2424" s="17" t="str">
        <f>IFERROR(__xludf.DUMMYFUNCTION("""COMPUTED_VALUE"""),"CMO Office || Tech Mahindra")</f>
        <v>CMO Office || Tech Mahindra</v>
      </c>
      <c r="D2424" s="27" t="str">
        <f>IFERROR(__xludf.DUMMYFUNCTION("""COMPUTED_VALUE"""),"https://www.linkedin.com/in/sumitdave/")</f>
        <v>https://www.linkedin.com/in/sumitdave/</v>
      </c>
      <c r="E2424" s="17"/>
      <c r="F2424" s="17" t="str">
        <f>IFERROR(__xludf.DUMMYFUNCTION("""COMPUTED_VALUE"""),"sumit.dave@gmail.com")</f>
        <v>sumit.dave@gmail.com</v>
      </c>
      <c r="G2424" s="17"/>
      <c r="H2424" s="17"/>
    </row>
    <row r="2425">
      <c r="A2425" s="17" t="str">
        <f>IFERROR(__xludf.DUMMYFUNCTION("""COMPUTED_VALUE"""),"Infosys")</f>
        <v>Infosys</v>
      </c>
      <c r="B2425" s="17" t="str">
        <f>IFERROR(__xludf.DUMMYFUNCTION("""COMPUTED_VALUE"""),"Sumit Virmani")</f>
        <v>Sumit Virmani</v>
      </c>
      <c r="C2425" s="17" t="str">
        <f>IFERROR(__xludf.DUMMYFUNCTION("""COMPUTED_VALUE"""),"cmo")</f>
        <v>cmo</v>
      </c>
      <c r="D2425" s="27" t="str">
        <f>IFERROR(__xludf.DUMMYFUNCTION("""COMPUTED_VALUE"""),"https://www.linkedin.com/in/virmanisumit/")</f>
        <v>https://www.linkedin.com/in/virmanisumit/</v>
      </c>
      <c r="E2425" s="17" t="str">
        <f>IFERROR(__xludf.DUMMYFUNCTION("""COMPUTED_VALUE"""),"919880008339")</f>
        <v>919880008339</v>
      </c>
      <c r="F2425" s="17" t="str">
        <f>IFERROR(__xludf.DUMMYFUNCTION("""COMPUTED_VALUE"""),"s_virmani27@yahoo.com")</f>
        <v>s_virmani27@yahoo.com</v>
      </c>
      <c r="G2425" s="17"/>
      <c r="H2425" s="17"/>
    </row>
    <row r="2426">
      <c r="A2426" s="17" t="str">
        <f>IFERROR(__xludf.DUMMYFUNCTION("""COMPUTED_VALUE"""),"Myntra")</f>
        <v>Myntra</v>
      </c>
      <c r="B2426" s="17" t="str">
        <f>IFERROR(__xludf.DUMMYFUNCTION("""COMPUTED_VALUE"""),"Sunder Balasubramanian")</f>
        <v>Sunder Balasubramanian</v>
      </c>
      <c r="C2426" s="17" t="str">
        <f>IFERROR(__xludf.DUMMYFUNCTION("""COMPUTED_VALUE"""),"E-commerce")</f>
        <v>E-commerce</v>
      </c>
      <c r="D2426" s="17"/>
      <c r="E2426" s="17"/>
      <c r="F2426" s="17" t="str">
        <f>IFERROR(__xludf.DUMMYFUNCTION("""COMPUTED_VALUE"""),"sunderb@gmail.com")</f>
        <v>sunderb@gmail.com</v>
      </c>
      <c r="G2426" s="17"/>
      <c r="H2426" s="17"/>
    </row>
    <row r="2427">
      <c r="A2427" s="17" t="str">
        <f>IFERROR(__xludf.DUMMYFUNCTION("""COMPUTED_VALUE"""),"PepsiCo India")</f>
        <v>PepsiCo India</v>
      </c>
      <c r="B2427" s="17" t="str">
        <f>IFERROR(__xludf.DUMMYFUNCTION("""COMPUTED_VALUE"""),"Tarun Bhagat (Chief Marketing Officer)")</f>
        <v>Tarun Bhagat (Chief Marketing Officer)</v>
      </c>
      <c r="C2427" s="17" t="str">
        <f>IFERROR(__xludf.DUMMYFUNCTION("""COMPUTED_VALUE"""),"Food &amp; Beverages")</f>
        <v>Food &amp; Beverages</v>
      </c>
      <c r="D2427" s="17"/>
      <c r="E2427" s="17"/>
      <c r="F2427" s="17"/>
      <c r="G2427" s="17"/>
      <c r="H2427" s="17"/>
    </row>
    <row r="2428">
      <c r="A2428" s="17" t="str">
        <f>IFERROR(__xludf.DUMMYFUNCTION("""COMPUTED_VALUE"""),"Ramco Systems")</f>
        <v>Ramco Systems</v>
      </c>
      <c r="B2428" s="17" t="str">
        <f>IFERROR(__xludf.DUMMYFUNCTION("""COMPUTED_VALUE"""),"Tarun Devasia")</f>
        <v>Tarun Devasia</v>
      </c>
      <c r="C2428" s="17" t="str">
        <f>IFERROR(__xludf.DUMMYFUNCTION("""COMPUTED_VALUE"""),"cmo")</f>
        <v>cmo</v>
      </c>
      <c r="D2428" s="27" t="str">
        <f>IFERROR(__xludf.DUMMYFUNCTION("""COMPUTED_VALUE"""),"https://www.linkedin.com/in/tarun-devasia-2483074/")</f>
        <v>https://www.linkedin.com/in/tarun-devasia-2483074/</v>
      </c>
      <c r="E2428" s="17"/>
      <c r="F2428" s="17" t="str">
        <f>IFERROR(__xludf.DUMMYFUNCTION("""COMPUTED_VALUE"""),"tarun.devasia@ramco.com")</f>
        <v>tarun.devasia@ramco.com</v>
      </c>
      <c r="G2428" s="17" t="str">
        <f>IFERROR(__xludf.DUMMYFUNCTION("""COMPUTED_VALUE"""),"tarundevasia@yahoo.com")</f>
        <v>tarundevasia@yahoo.com</v>
      </c>
      <c r="H2428" s="17"/>
    </row>
    <row r="2429">
      <c r="A2429" s="17" t="str">
        <f>IFERROR(__xludf.DUMMYFUNCTION("""COMPUTED_VALUE"""),"Cyient")</f>
        <v>Cyient</v>
      </c>
      <c r="B2429" s="17" t="str">
        <f>IFERROR(__xludf.DUMMYFUNCTION("""COMPUTED_VALUE"""),"Utkarsh SrivastavView Utkarsh Srivastav’s profile")</f>
        <v>Utkarsh SrivastavView Utkarsh Srivastav’s profile</v>
      </c>
      <c r="C2429" s="17"/>
      <c r="D2429" s="17"/>
      <c r="E2429" s="17"/>
      <c r="F2429" s="17" t="str">
        <f>IFERROR(__xludf.DUMMYFUNCTION("""COMPUTED_VALUE"""),"utkarsh.srivastav@cyient.com")</f>
        <v>utkarsh.srivastav@cyient.com</v>
      </c>
      <c r="G2429" s="17" t="str">
        <f>IFERROR(__xludf.DUMMYFUNCTION("""COMPUTED_VALUE"""),"utkarsh.srivastav@ltts.com")</f>
        <v>utkarsh.srivastav@ltts.com</v>
      </c>
      <c r="H2429" s="17" t="str">
        <f>IFERROR(__xludf.DUMMYFUNCTION("""COMPUTED_VALUE"""),"utkarsh.dei@gmail.com")</f>
        <v>utkarsh.dei@gmail.com</v>
      </c>
    </row>
    <row r="2430">
      <c r="A2430" s="17" t="str">
        <f>IFERROR(__xludf.DUMMYFUNCTION("""COMPUTED_VALUE"""),"Mphasis")</f>
        <v>Mphasis</v>
      </c>
      <c r="B2430" s="17" t="str">
        <f>IFERROR(__xludf.DUMMYFUNCTION("""COMPUTED_VALUE"""),"Veda Iyer")</f>
        <v>Veda Iyer</v>
      </c>
      <c r="C2430" s="17" t="str">
        <f>IFERROR(__xludf.DUMMYFUNCTION("""COMPUTED_VALUE"""),"Global CMO")</f>
        <v>Global CMO</v>
      </c>
      <c r="D2430" s="17"/>
      <c r="E2430" s="17"/>
      <c r="F2430" s="17" t="str">
        <f>IFERROR(__xludf.DUMMYFUNCTION("""COMPUTED_VALUE"""),"veda.iyr@gmail.com")</f>
        <v>veda.iyr@gmail.com</v>
      </c>
      <c r="G2430" s="17" t="str">
        <f>IFERROR(__xludf.DUMMYFUNCTION("""COMPUTED_VALUE"""),"vedaiyer@yahoo.co.in")</f>
        <v>vedaiyer@yahoo.co.in</v>
      </c>
      <c r="H2430" s="17"/>
    </row>
    <row r="2431">
      <c r="A2431" s="17" t="str">
        <f>IFERROR(__xludf.DUMMYFUNCTION("""COMPUTED_VALUE"""),"Automotive, Auto Components &amp; Engineering (25)")</f>
        <v>Automotive, Auto Components &amp; Engineering (25)</v>
      </c>
      <c r="B2431" s="17"/>
      <c r="C2431" s="17"/>
      <c r="D2431" s="17"/>
      <c r="E2431" s="17"/>
      <c r="F2431" s="17"/>
      <c r="G2431" s="17"/>
      <c r="H2431" s="17"/>
    </row>
    <row r="2432">
      <c r="A2432" s="17" t="str">
        <f>IFERROR(__xludf.DUMMYFUNCTION("""COMPUTED_VALUE"""),"Hero MotoCorp")</f>
        <v>Hero MotoCorp</v>
      </c>
      <c r="B2432" s="17" t="str">
        <f>IFERROR(__xludf.DUMMYFUNCTION("""COMPUTED_VALUE"""),"Rohit Sharma")</f>
        <v>Rohit Sharma</v>
      </c>
      <c r="C2432" s="17" t="str">
        <f>IFERROR(__xludf.DUMMYFUNCTION("""COMPUTED_VALUE"""),"cmo")</f>
        <v>cmo</v>
      </c>
      <c r="D2432" s="27" t="str">
        <f>IFERROR(__xludf.DUMMYFUNCTION("""COMPUTED_VALUE"""),"https://www.linkedin.com/in/rohit-sharma-527b722/")</f>
        <v>https://www.linkedin.com/in/rohit-sharma-527b722/</v>
      </c>
      <c r="E2432" s="17" t="str">
        <f>IFERROR(__xludf.DUMMYFUNCTION("""COMPUTED_VALUE"""),"919818200715")</f>
        <v>919818200715</v>
      </c>
      <c r="F2432" s="17" t="str">
        <f>IFERROR(__xludf.DUMMYFUNCTION("""COMPUTED_VALUE"""),"rohsharma@gmail.com")</f>
        <v>rohsharma@gmail.com</v>
      </c>
      <c r="G2432" s="17" t="str">
        <f>IFERROR(__xludf.DUMMYFUNCTION("""COMPUTED_VALUE"""),"rohit.sharma@herocycles.com")</f>
        <v>rohit.sharma@herocycles.com</v>
      </c>
      <c r="H2432" s="17"/>
    </row>
    <row r="2433">
      <c r="A2433" s="17" t="str">
        <f>IFERROR(__xludf.DUMMYFUNCTION("""COMPUTED_VALUE""")," Bajaj Auto")</f>
        <v> Bajaj Auto</v>
      </c>
      <c r="B2433" s="17" t="str">
        <f>IFERROR(__xludf.DUMMYFUNCTION("""COMPUTED_VALUE"""),"Shakti Upadhyay")</f>
        <v>Shakti Upadhyay</v>
      </c>
      <c r="C2433" s="17" t="str">
        <f>IFERROR(__xludf.DUMMYFUNCTION("""COMPUTED_VALUE"""),"Vice President - Brands")</f>
        <v>Vice President - Brands</v>
      </c>
      <c r="D2433" s="27" t="str">
        <f>IFERROR(__xludf.DUMMYFUNCTION("""COMPUTED_VALUE"""),"https://www.linkedin.com/in/shaktiu/")</f>
        <v>https://www.linkedin.com/in/shaktiu/</v>
      </c>
      <c r="E2433" s="17"/>
      <c r="F2433" s="17" t="str">
        <f>IFERROR(__xludf.DUMMYFUNCTION("""COMPUTED_VALUE"""),"shakti.hmil@gmail.com")</f>
        <v>shakti.hmil@gmail.com</v>
      </c>
      <c r="G2433" s="17"/>
      <c r="H2433" s="17"/>
    </row>
    <row r="2434">
      <c r="A2434" s="17" t="str">
        <f>IFERROR(__xludf.DUMMYFUNCTION("""COMPUTED_VALUE"""),"TVS Motor Company ")</f>
        <v>TVS Motor Company </v>
      </c>
      <c r="B2434" s="17" t="str">
        <f>IFERROR(__xludf.DUMMYFUNCTION("""COMPUTED_VALUE"""),"rajan babu")</f>
        <v>rajan babu</v>
      </c>
      <c r="C2434" s="17" t="str">
        <f>IFERROR(__xludf.DUMMYFUNCTION("""COMPUTED_VALUE"""),"cmo at TVS Motor Company")</f>
        <v>cmo at TVS Motor Company</v>
      </c>
      <c r="D2434" s="27" t="str">
        <f>IFERROR(__xludf.DUMMYFUNCTION("""COMPUTED_VALUE"""),"https://www.linkedin.com/in/rajan-babu-91852447/")</f>
        <v>https://www.linkedin.com/in/rajan-babu-91852447/</v>
      </c>
      <c r="E2434" s="17"/>
      <c r="F2434" s="17" t="str">
        <f>IFERROR(__xludf.DUMMYFUNCTION("""COMPUTED_VALUE"""),"rajan.babu@tvsmotor.co.in")</f>
        <v>rajan.babu@tvsmotor.co.in</v>
      </c>
      <c r="G2434" s="17"/>
      <c r="H2434" s="17"/>
    </row>
    <row r="2435">
      <c r="A2435" s="17" t="str">
        <f>IFERROR(__xludf.DUMMYFUNCTION("""COMPUTED_VALUE"""),"Ashok Leyland")</f>
        <v>Ashok Leyland</v>
      </c>
      <c r="B2435" s="17" t="str">
        <f>IFERROR(__xludf.DUMMYFUNCTION("""COMPUTED_VALUE"""),"Rajesh Mani")</f>
        <v>Rajesh Mani</v>
      </c>
      <c r="C2435" s="17" t="str">
        <f>IFERROR(__xludf.DUMMYFUNCTION("""COMPUTED_VALUE"""),"Head Marketing and Corporate Communication Ashok Leyland")</f>
        <v>Head Marketing and Corporate Communication Ashok Leyland</v>
      </c>
      <c r="D2435" s="27" t="str">
        <f>IFERROR(__xludf.DUMMYFUNCTION("""COMPUTED_VALUE"""),"https://www.linkedin.com/in/rajeshrajmani/?originalSubdomain=in")</f>
        <v>https://www.linkedin.com/in/rajeshrajmani/?originalSubdomain=in</v>
      </c>
      <c r="E2435" s="17"/>
      <c r="F2435" s="17" t="str">
        <f>IFERROR(__xludf.DUMMYFUNCTION("""COMPUTED_VALUE"""),"rajeshrajmani@gmail.com")</f>
        <v>rajeshrajmani@gmail.com</v>
      </c>
      <c r="G2435" s="17"/>
      <c r="H2435" s="17"/>
    </row>
    <row r="2436">
      <c r="A2436" s="17" t="str">
        <f>IFERROR(__xludf.DUMMYFUNCTION("""COMPUTED_VALUE"""),"Eicher Motors (Royal Enfield)")</f>
        <v>Eicher Motors (Royal Enfield)</v>
      </c>
      <c r="B2436" s="17" t="str">
        <f>IFERROR(__xludf.DUMMYFUNCTION("""COMPUTED_VALUE"""),"Yadvinder Singh Guleria")</f>
        <v>Yadvinder Singh Guleria</v>
      </c>
      <c r="C2436" s="17" t="str">
        <f>IFERROR(__xludf.DUMMYFUNCTION("""COMPUTED_VALUE"""),"Chief Commercial Officer (CCO) - Royal Enfield, Spearheading Sales, Marketing and Aftermarket functions across India &amp; all international markets as a part of management team")</f>
        <v>Chief Commercial Officer (CCO) - Royal Enfield, Spearheading Sales, Marketing and Aftermarket functions across India &amp; all international markets as a part of management team</v>
      </c>
      <c r="D2436" s="17"/>
      <c r="E2436" s="17"/>
      <c r="F2436" s="17" t="str">
        <f>IFERROR(__xludf.DUMMYFUNCTION("""COMPUTED_VALUE"""),"guleria72@yahoo.co.in")</f>
        <v>guleria72@yahoo.co.in</v>
      </c>
      <c r="G2436" s="17"/>
      <c r="H2436" s="17"/>
    </row>
    <row r="2437">
      <c r="A2437" s="17" t="str">
        <f>IFERROR(__xludf.DUMMYFUNCTION("""COMPUTED_VALUE"""),"Force Motors")</f>
        <v>Force Motors</v>
      </c>
      <c r="B2437" s="17" t="str">
        <f>IFERROR(__xludf.DUMMYFUNCTION("""COMPUTED_VALUE"""),"Kshitij Saxena")</f>
        <v>Kshitij Saxena</v>
      </c>
      <c r="C2437" s="17" t="str">
        <f>IFERROR(__xludf.DUMMYFUNCTION("""COMPUTED_VALUE"""),"Automotive Sales &amp; Marketing | Premium Automotive (Ex-Audi OEM &amp; Retail) |")</f>
        <v>Automotive Sales &amp; Marketing | Premium Automotive (Ex-Audi OEM &amp; Retail) |</v>
      </c>
      <c r="D2437" s="17"/>
      <c r="E2437" s="17"/>
      <c r="F2437" s="17" t="str">
        <f>IFERROR(__xludf.DUMMYFUNCTION("""COMPUTED_VALUE"""),"saxenakshitij6@gmail.com")</f>
        <v>saxenakshitij6@gmail.com</v>
      </c>
      <c r="G2437" s="17"/>
      <c r="H2437" s="17"/>
    </row>
    <row r="2438">
      <c r="A2438" s="17" t="str">
        <f>IFERROR(__xludf.DUMMYFUNCTION("""COMPUTED_VALUE"""),"Escorts Kubota (Escorts Group)")</f>
        <v>Escorts Kubota (Escorts Group)</v>
      </c>
      <c r="B2438" s="17" t="str">
        <f>IFERROR(__xludf.DUMMYFUNCTION("""COMPUTED_VALUE"""),"Nidhi Nagpal")</f>
        <v>Nidhi Nagpal</v>
      </c>
      <c r="C2438" s="17" t="str">
        <f>IFERROR(__xludf.DUMMYFUNCTION("""COMPUTED_VALUE"""),"Chief Marketing Manager at Escorts Kubota Limited | EAA-ASEAN")</f>
        <v>Chief Marketing Manager at Escorts Kubota Limited | EAA-ASEAN</v>
      </c>
      <c r="D2438" s="17"/>
      <c r="E2438" s="17"/>
      <c r="F2438" s="17" t="str">
        <f>IFERROR(__xludf.DUMMYFUNCTION("""COMPUTED_VALUE"""),"nagpalnidhi86@gmail.com")</f>
        <v>nagpalnidhi86@gmail.com</v>
      </c>
      <c r="G2438" s="17"/>
      <c r="H2438" s="17"/>
    </row>
    <row r="2439">
      <c r="A2439" s="17" t="str">
        <f>IFERROR(__xludf.DUMMYFUNCTION("""COMPUTED_VALUE"""),"SML Isuzu")</f>
        <v>SML Isuzu</v>
      </c>
      <c r="B2439" s="17" t="str">
        <f>IFERROR(__xludf.DUMMYFUNCTION("""COMPUTED_VALUE"""),"Prashant Kumar")</f>
        <v>Prashant Kumar</v>
      </c>
      <c r="C2439" s="17" t="str">
        <f>IFERROR(__xludf.DUMMYFUNCTION("""COMPUTED_VALUE"""),"CV Sales I Chief General Manager")</f>
        <v>CV Sales I Chief General Manager</v>
      </c>
      <c r="D2439" s="17"/>
      <c r="E2439" s="17"/>
      <c r="F2439" s="17" t="str">
        <f>IFERROR(__xludf.DUMMYFUNCTION("""COMPUTED_VALUE"""),"prashantkumar7t@gmail.com")</f>
        <v>prashantkumar7t@gmail.com</v>
      </c>
      <c r="G2439" s="17"/>
      <c r="H2439" s="17"/>
    </row>
    <row r="2440">
      <c r="A2440" s="17" t="str">
        <f>IFERROR(__xludf.DUMMYFUNCTION("""COMPUTED_VALUE""")," JBM Auto")</f>
        <v> JBM Auto</v>
      </c>
      <c r="B2440" s="17" t="str">
        <f>IFERROR(__xludf.DUMMYFUNCTION("""COMPUTED_VALUE"""),"Dushyant Sharma")</f>
        <v>Dushyant Sharma</v>
      </c>
      <c r="C2440" s="17" t="str">
        <f>IFERROR(__xludf.DUMMYFUNCTION("""COMPUTED_VALUE"""),"General Manager &amp; Group Head, Marketing Communications &amp;")</f>
        <v>General Manager &amp; Group Head, Marketing Communications &amp;</v>
      </c>
      <c r="D2440" s="17"/>
      <c r="E2440" s="17"/>
      <c r="F2440" s="17" t="str">
        <f>IFERROR(__xludf.DUMMYFUNCTION("""COMPUTED_VALUE"""),"dddsss05@gmail.com")</f>
        <v>dddsss05@gmail.com</v>
      </c>
      <c r="G2440" s="17" t="str">
        <f>IFERROR(__xludf.DUMMYFUNCTION("""COMPUTED_VALUE"""),"dushyantsharma@outlook.com")</f>
        <v>dushyantsharma@outlook.com</v>
      </c>
      <c r="H2440" s="17" t="str">
        <f>IFERROR(__xludf.DUMMYFUNCTION("""COMPUTED_VALUE"""),"dushyant.sharma@jbmgroup.com")</f>
        <v>dushyant.sharma@jbmgroup.com</v>
      </c>
    </row>
    <row r="2441">
      <c r="A2441" s="17" t="str">
        <f>IFERROR(__xludf.DUMMYFUNCTION("""COMPUTED_VALUE""")," CEAT Limited ")</f>
        <v> CEAT Limited </v>
      </c>
      <c r="B2441" s="17" t="str">
        <f>IFERROR(__xludf.DUMMYFUNCTION("""COMPUTED_VALUE"""),"Lakshmi Narayanan B")</f>
        <v>Lakshmi Narayanan B</v>
      </c>
      <c r="C2441" s="17" t="str">
        <f>IFERROR(__xludf.DUMMYFUNCTION("""COMPUTED_VALUE"""),"Marketing &amp; Brand Leader | Consumer Experience in Retail")</f>
        <v>Marketing &amp; Brand Leader | Consumer Experience in Retail</v>
      </c>
      <c r="D2441" s="17"/>
      <c r="E2441" s="17"/>
      <c r="F2441" s="17" t="str">
        <f>IFERROR(__xludf.DUMMYFUNCTION("""COMPUTED_VALUE"""),"narayanan_b@ceat.com")</f>
        <v>narayanan_b@ceat.com</v>
      </c>
      <c r="G2441" s="17" t="str">
        <f>IFERROR(__xludf.DUMMYFUNCTION("""COMPUTED_VALUE"""),"lakshminarayanan.b@gmail.com")</f>
        <v>lakshminarayanan.b@gmail.com</v>
      </c>
      <c r="H2441" s="17"/>
    </row>
    <row r="2442">
      <c r="A2442" s="17" t="str">
        <f>IFERROR(__xludf.DUMMYFUNCTION("""COMPUTED_VALUE"""),"JK Tyre &amp; Industries")</f>
        <v>JK Tyre &amp; Industries</v>
      </c>
      <c r="B2442" s="17" t="str">
        <f>IFERROR(__xludf.DUMMYFUNCTION("""COMPUTED_VALUE"""),"Amit Gujral")</f>
        <v>Amit Gujral</v>
      </c>
      <c r="C2442" s="17" t="str">
        <f>IFERROR(__xludf.DUMMYFUNCTION("""COMPUTED_VALUE"""),"CxO Leadership | Brand Growth Driven Strategy")</f>
        <v>CxO Leadership | Brand Growth Driven Strategy</v>
      </c>
      <c r="D2442" s="17"/>
      <c r="E2442" s="17"/>
      <c r="F2442" s="17" t="str">
        <f>IFERROR(__xludf.DUMMYFUNCTION("""COMPUTED_VALUE"""),"amitgujral2@gmail.com")</f>
        <v>amitgujral2@gmail.com</v>
      </c>
      <c r="G2442" s="17"/>
      <c r="H2442" s="17"/>
    </row>
    <row r="2443">
      <c r="A2443" s="17" t="str">
        <f>IFERROR(__xludf.DUMMYFUNCTION("""COMPUTED_VALUE"""),"Sundaram Clayton")</f>
        <v>Sundaram Clayton</v>
      </c>
      <c r="B2443" s="17" t="str">
        <f>IFERROR(__xludf.DUMMYFUNCTION("""COMPUTED_VALUE"""),"Rajender Dagar")</f>
        <v>Rajender Dagar</v>
      </c>
      <c r="C2443" s="17" t="str">
        <f>IFERROR(__xludf.DUMMYFUNCTION("""COMPUTED_VALUE"""),"Head Sales &amp; Marketing at Sundaram Clayton Ltd")</f>
        <v>Head Sales &amp; Marketing at Sundaram Clayton Ltd</v>
      </c>
      <c r="D2443" s="17"/>
      <c r="E2443" s="17"/>
      <c r="F2443" s="17" t="str">
        <f>IFERROR(__xludf.DUMMYFUNCTION("""COMPUTED_VALUE"""),"rdagar@scl.co.in")</f>
        <v>rdagar@scl.co.in</v>
      </c>
      <c r="G2443" s="17"/>
      <c r="H2443" s="17"/>
    </row>
    <row r="2444">
      <c r="A2444" s="17" t="str">
        <f>IFERROR(__xludf.DUMMYFUNCTION("""COMPUTED_VALUE""")," Amara Raja Batteries")</f>
        <v> Amara Raja Batteries</v>
      </c>
      <c r="B2444" s="17" t="str">
        <f>IFERROR(__xludf.DUMMYFUNCTION("""COMPUTED_VALUE"""),"Rajesh Jindal")</f>
        <v>Rajesh Jindal</v>
      </c>
      <c r="C2444" s="17"/>
      <c r="D2444" s="17"/>
      <c r="E2444" s="17" t="str">
        <f>IFERROR(__xludf.DUMMYFUNCTION("""COMPUTED_VALUE"""),"919701990019")</f>
        <v>919701990019</v>
      </c>
      <c r="F2444" s="17" t="str">
        <f>IFERROR(__xludf.DUMMYFUNCTION("""COMPUTED_VALUE"""),"rajeshjin@gmail.com")</f>
        <v>rajeshjin@gmail.com</v>
      </c>
      <c r="G2444" s="17" t="str">
        <f>IFERROR(__xludf.DUMMYFUNCTION("""COMPUTED_VALUE"""),"rj@amararaja.co.in")</f>
        <v>rj@amararaja.co.in</v>
      </c>
      <c r="H2444" s="17"/>
    </row>
    <row r="2445">
      <c r="A2445" s="17" t="str">
        <f>IFERROR(__xludf.DUMMYFUNCTION("""COMPUTED_VALUE"""),"Exide Industries")</f>
        <v>Exide Industries</v>
      </c>
      <c r="B2445" s="17"/>
      <c r="C2445" s="17"/>
      <c r="D2445" s="17" t="str">
        <f>IFERROR(__xludf.DUMMYFUNCTION("""COMPUTED_VALUE"""),"Uttio Majumdar")</f>
        <v>Uttio Majumdar</v>
      </c>
      <c r="E2445" s="17" t="str">
        <f>IFERROR(__xludf.DUMMYFUNCTION("""COMPUTED_VALUE"""),"919831054514")</f>
        <v>919831054514</v>
      </c>
      <c r="F2445" s="17" t="str">
        <f>IFERROR(__xludf.DUMMYFUNCTION("""COMPUTED_VALUE"""),"uttiom@gmail.com")</f>
        <v>uttiom@gmail.com</v>
      </c>
      <c r="G2445" s="17"/>
      <c r="H2445" s="17"/>
    </row>
    <row r="2446">
      <c r="A2446" s="17" t="str">
        <f>IFERROR(__xludf.DUMMYFUNCTION("""COMPUTED_VALUE"""),"Bharat Forge")</f>
        <v>Bharat Forge</v>
      </c>
      <c r="B2446" s="17" t="str">
        <f>IFERROR(__xludf.DUMMYFUNCTION("""COMPUTED_VALUE"""),"Sarita Prakash")</f>
        <v>Sarita Prakash</v>
      </c>
      <c r="C2446" s="17" t="str">
        <f>IFERROR(__xludf.DUMMYFUNCTION("""COMPUTED_VALUE"""),"AVP Corporate Communications at Bharat Forge Ltd")</f>
        <v>AVP Corporate Communications at Bharat Forge Ltd</v>
      </c>
      <c r="D2446" s="17"/>
      <c r="E2446" s="17"/>
      <c r="F2446" s="17" t="str">
        <f>IFERROR(__xludf.DUMMYFUNCTION("""COMPUTED_VALUE"""),"swats002000@yahoo.com")</f>
        <v>swats002000@yahoo.com</v>
      </c>
      <c r="G2446" s="17"/>
      <c r="H2446" s="17"/>
    </row>
    <row r="2447">
      <c r="A2447" s="17" t="str">
        <f>IFERROR(__xludf.DUMMYFUNCTION("""COMPUTED_VALUE"""),"Sundram Fasteners")</f>
        <v>Sundram Fasteners</v>
      </c>
      <c r="B2447" s="17" t="str">
        <f>IFERROR(__xludf.DUMMYFUNCTION("""COMPUTED_VALUE"""),"Krishnan Ramanujan")</f>
        <v>Krishnan Ramanujan</v>
      </c>
      <c r="C2447" s="17" t="str">
        <f>IFERROR(__xludf.DUMMYFUNCTION("""COMPUTED_VALUE"""),"Vice President Marketing at Sundram Fasteners Limited - India")</f>
        <v>Vice President Marketing at Sundram Fasteners Limited - India</v>
      </c>
      <c r="D2447" s="17"/>
      <c r="E2447" s="17"/>
      <c r="F2447" s="17" t="str">
        <f>IFERROR(__xludf.DUMMYFUNCTION("""COMPUTED_VALUE"""),"krishnan_ramanujan@yahoo.co.in")</f>
        <v>krishnan_ramanujan@yahoo.co.in</v>
      </c>
      <c r="G2447" s="17"/>
      <c r="H2447" s="17"/>
    </row>
    <row r="2448">
      <c r="A2448" s="17" t="str">
        <f>IFERROR(__xludf.DUMMYFUNCTION("""COMPUTED_VALUE"""),"Samvardhana Motherson International")</f>
        <v>Samvardhana Motherson International</v>
      </c>
      <c r="B2448" s="17" t="str">
        <f>IFERROR(__xludf.DUMMYFUNCTION("""COMPUTED_VALUE"""),"Mukul Malik")</f>
        <v>Mukul Malik</v>
      </c>
      <c r="C2448" s="17"/>
      <c r="D2448" s="17"/>
      <c r="E2448" s="17"/>
      <c r="F2448" s="17" t="str">
        <f>IFERROR(__xludf.DUMMYFUNCTION("""COMPUTED_VALUE"""),"memukulmalik@gmail.com")</f>
        <v>memukulmalik@gmail.com</v>
      </c>
      <c r="G2448" s="17" t="str">
        <f>IFERROR(__xludf.DUMMYFUNCTION("""COMPUTED_VALUE"""),"mukul.malik@motherson.com")</f>
        <v>mukul.malik@motherson.com</v>
      </c>
      <c r="H2448" s="17"/>
    </row>
    <row r="2449">
      <c r="A2449" s="17" t="str">
        <f>IFERROR(__xludf.DUMMYFUNCTION("""COMPUTED_VALUE"""),"Thermax")</f>
        <v>Thermax</v>
      </c>
      <c r="B2449" s="17" t="str">
        <f>IFERROR(__xludf.DUMMYFUNCTION("""COMPUTED_VALUE"""),"R Venkatesh")</f>
        <v>R Venkatesh</v>
      </c>
      <c r="C2449" s="17"/>
      <c r="D2449" s="17"/>
      <c r="E2449" s="17"/>
      <c r="F2449" s="17" t="str">
        <f>IFERROR(__xludf.DUMMYFUNCTION("""COMPUTED_VALUE"""),"venky_rahul@yahoo.com")</f>
        <v>venky_rahul@yahoo.com</v>
      </c>
      <c r="G2449" s="17"/>
      <c r="H2449" s="17"/>
    </row>
    <row r="2450">
      <c r="A2450" s="17" t="str">
        <f>IFERROR(__xludf.DUMMYFUNCTION("""COMPUTED_VALUE"""),"Kirloskar Oil Engines")</f>
        <v>Kirloskar Oil Engines</v>
      </c>
      <c r="B2450" s="17"/>
      <c r="C2450" s="17"/>
      <c r="D2450" s="17" t="str">
        <f>IFERROR(__xludf.DUMMYFUNCTION("""COMPUTED_VALUE"""),"Sarvesh Dayal")</f>
        <v>Sarvesh Dayal</v>
      </c>
      <c r="E2450" s="17"/>
      <c r="F2450" s="17" t="str">
        <f>IFERROR(__xludf.DUMMYFUNCTION("""COMPUTED_VALUE"""),"sarveshdayal@gmail.com")</f>
        <v>sarveshdayal@gmail.com</v>
      </c>
      <c r="G2450" s="17"/>
      <c r="H2450" s="17"/>
    </row>
    <row r="2451">
      <c r="A2451" s="17" t="str">
        <f>IFERROR(__xludf.DUMMYFUNCTION("""COMPUTED_VALUE"""),"Kirloskar Brothers")</f>
        <v>Kirloskar Brothers</v>
      </c>
      <c r="B2451" s="17" t="str">
        <f>IFERROR(__xludf.DUMMYFUNCTION("""COMPUTED_VALUE"""),"Shravan Bhumkar")</f>
        <v>Shravan Bhumkar</v>
      </c>
      <c r="C2451" s="17" t="str">
        <f>IFERROR(__xludf.DUMMYFUNCTION("""COMPUTED_VALUE"""),"Strategic Marketing Leader | DGM – Marketing at Kirloskar Brothers Ltd |")</f>
        <v>Strategic Marketing Leader | DGM – Marketing at Kirloskar Brothers Ltd |</v>
      </c>
      <c r="D2451" s="17"/>
      <c r="E2451" s="17" t="str">
        <f>IFERROR(__xludf.DUMMYFUNCTION("""COMPUTED_VALUE"""),"919322606117")</f>
        <v>919322606117</v>
      </c>
      <c r="F2451" s="17" t="str">
        <f>IFERROR(__xludf.DUMMYFUNCTION("""COMPUTED_VALUE"""),"shravanbhumkar@gmail.com")</f>
        <v>shravanbhumkar@gmail.com</v>
      </c>
      <c r="G2451" s="17" t="str">
        <f>IFERROR(__xludf.DUMMYFUNCTION("""COMPUTED_VALUE"""),"shravan.bhumkar@kbl.co.in")</f>
        <v>shravan.bhumkar@kbl.co.in</v>
      </c>
      <c r="H2451" s="17"/>
    </row>
    <row r="2452">
      <c r="A2452" s="17" t="str">
        <f>IFERROR(__xludf.DUMMYFUNCTION("""COMPUTED_VALUE"""),"Greaves Cotton")</f>
        <v>Greaves Cotton</v>
      </c>
      <c r="B2452" s="17" t="str">
        <f>IFERROR(__xludf.DUMMYFUNCTION("""COMPUTED_VALUE"""),"Jaylaxmi Kumar")</f>
        <v>Jaylaxmi Kumar</v>
      </c>
      <c r="C2452" s="17"/>
      <c r="D2452" s="17"/>
      <c r="E2452" s="17" t="str">
        <f>IFERROR(__xludf.DUMMYFUNCTION("""COMPUTED_VALUE"""),"919342564780")</f>
        <v>919342564780</v>
      </c>
      <c r="F2452" s="17" t="str">
        <f>IFERROR(__xludf.DUMMYFUNCTION("""COMPUTED_VALUE"""),"happyjaya@gmail.com")</f>
        <v>happyjaya@gmail.com</v>
      </c>
      <c r="G2452" s="17" t="str">
        <f>IFERROR(__xludf.DUMMYFUNCTION("""COMPUTED_VALUE"""),"jaylaxmi.kumar@greavescotton.com")</f>
        <v>jaylaxmi.kumar@greavescotton.com</v>
      </c>
      <c r="H2452" s="17"/>
    </row>
    <row r="2453">
      <c r="A2453" s="17" t="str">
        <f>IFERROR(__xludf.DUMMYFUNCTION("""COMPUTED_VALUE"""),"Blue Star")</f>
        <v>Blue Star</v>
      </c>
      <c r="B2453" s="17" t="str">
        <f>IFERROR(__xludf.DUMMYFUNCTION("""COMPUTED_VALUE"""),"Girish Hingorani")</f>
        <v>Girish Hingorani</v>
      </c>
      <c r="C2453" s="17" t="str">
        <f>IFERROR(__xludf.DUMMYFUNCTION("""COMPUTED_VALUE"""),"Vice President - Marketing (Consumer Products) &amp; Corporate Communications")</f>
        <v>Vice President - Marketing (Consumer Products) &amp; Corporate Communications</v>
      </c>
      <c r="D2453" s="17"/>
      <c r="E2453" s="17"/>
      <c r="F2453" s="17" t="str">
        <f>IFERROR(__xludf.DUMMYFUNCTION("""COMPUTED_VALUE"""),"girishhingorani@bluestarindia.com")</f>
        <v>girishhingorani@bluestarindia.com</v>
      </c>
      <c r="G2453" s="17"/>
      <c r="H2453" s="17"/>
    </row>
    <row r="2454">
      <c r="A2454" s="17" t="str">
        <f>IFERROR(__xludf.DUMMYFUNCTION("""COMPUTED_VALUE"""),"Banking, NBFC &amp; Financial Services (25)")</f>
        <v>Banking, NBFC &amp; Financial Services (25)</v>
      </c>
      <c r="B2454" s="17"/>
      <c r="C2454" s="17"/>
      <c r="D2454" s="17"/>
      <c r="E2454" s="17"/>
      <c r="F2454" s="17"/>
      <c r="G2454" s="17"/>
      <c r="H2454" s="17"/>
    </row>
    <row r="2455">
      <c r="A2455" s="17" t="str">
        <f>IFERROR(__xludf.DUMMYFUNCTION("""COMPUTED_VALUE"""),"76. State Bank of India ")</f>
        <v>76. State Bank of India </v>
      </c>
      <c r="B2455" s="17" t="str">
        <f>IFERROR(__xludf.DUMMYFUNCTION("""COMPUTED_VALUE"""),"Simrandeep Singh")</f>
        <v>Simrandeep Singh</v>
      </c>
      <c r="C2455" s="17" t="str">
        <f>IFERROR(__xludf.DUMMYFUNCTION("""COMPUTED_VALUE"""),"Chief Manager (Marketing) at State Bank of India")</f>
        <v>Chief Manager (Marketing) at State Bank of India</v>
      </c>
      <c r="D2455" s="17"/>
      <c r="E2455" s="17"/>
      <c r="F2455" s="17" t="str">
        <f>IFERROR(__xludf.DUMMYFUNCTION("""COMPUTED_VALUE"""),"ssaidans@yahoo.co.in")</f>
        <v>ssaidans@yahoo.co.in</v>
      </c>
      <c r="G2455" s="17"/>
      <c r="H2455" s="17"/>
    </row>
    <row r="2456">
      <c r="A2456" s="17" t="str">
        <f>IFERROR(__xludf.DUMMYFUNCTION("""COMPUTED_VALUE"""),"77. Bank of Baroda")</f>
        <v>77. Bank of Baroda</v>
      </c>
      <c r="B2456" s="17" t="str">
        <f>IFERROR(__xludf.DUMMYFUNCTION("""COMPUTED_VALUE"""),"Aniruddha Sohoni")</f>
        <v>Aniruddha Sohoni</v>
      </c>
      <c r="C2456" s="17" t="str">
        <f>IFERROR(__xludf.DUMMYFUNCTION("""COMPUTED_VALUE"""),"Head Of Marketing at Bank of Baroda")</f>
        <v>Head Of Marketing at Bank of Baroda</v>
      </c>
      <c r="D2456" s="17"/>
      <c r="E2456" s="17"/>
      <c r="F2456" s="17" t="str">
        <f>IFERROR(__xludf.DUMMYFUNCTION("""COMPUTED_VALUE"""),"aniruddha.sohoni@bankofbaroda.com")</f>
        <v>aniruddha.sohoni@bankofbaroda.com</v>
      </c>
      <c r="G2456" s="17"/>
      <c r="H2456" s="17"/>
    </row>
    <row r="2457">
      <c r="A2457" s="17" t="str">
        <f>IFERROR(__xludf.DUMMYFUNCTION("""COMPUTED_VALUE"""),"79. Canara Bank")</f>
        <v>79. Canara Bank</v>
      </c>
      <c r="B2457" s="17" t="str">
        <f>IFERROR(__xludf.DUMMYFUNCTION("""COMPUTED_VALUE"""),"GAURAV BHARGAVA")</f>
        <v>GAURAV BHARGAVA</v>
      </c>
      <c r="C2457" s="17" t="str">
        <f>IFERROR(__xludf.DUMMYFUNCTION("""COMPUTED_VALUE"""),"Senior Marketing Manager at Canara Bank")</f>
        <v>Senior Marketing Manager at Canara Bank</v>
      </c>
      <c r="D2457" s="17"/>
      <c r="E2457" s="17"/>
      <c r="F2457" s="322" t="str">
        <f>IFERROR(__xludf.DUMMYFUNCTION("""COMPUTED_VALUE"""),"gbh1984@gmail.com")</f>
        <v>gbh1984@gmail.com</v>
      </c>
      <c r="G2457" s="17" t="str">
        <f>IFERROR(__xludf.DUMMYFUNCTION("""COMPUTED_VALUE"""),"gbhargava84@gmail.com")</f>
        <v>gbhargava84@gmail.com</v>
      </c>
      <c r="H2457" s="17"/>
    </row>
    <row r="2458">
      <c r="A2458" s="17" t="str">
        <f>IFERROR(__xludf.DUMMYFUNCTION("""COMPUTED_VALUE"""),"80. Union Bank of India")</f>
        <v>80. Union Bank of India</v>
      </c>
      <c r="B2458" s="17" t="str">
        <f>IFERROR(__xludf.DUMMYFUNCTION("""COMPUTED_VALUE"""),"Mohit Main")</f>
        <v>Mohit Main</v>
      </c>
      <c r="C2458" s="17" t="str">
        <f>IFERROR(__xludf.DUMMYFUNCTION("""COMPUTED_VALUE"""),"Marketing Officer at Union Bank of India")</f>
        <v>Marketing Officer at Union Bank of India</v>
      </c>
      <c r="D2458" s="17"/>
      <c r="E2458" s="17"/>
      <c r="F2458" s="17"/>
      <c r="G2458" s="17" t="str">
        <f>IFERROR(__xludf.DUMMYFUNCTION("""COMPUTED_VALUE"""),"mohitmain37@gmail.com")</f>
        <v>mohitmain37@gmail.com</v>
      </c>
      <c r="H2458" s="17"/>
    </row>
    <row r="2459">
      <c r="A2459" s="17" t="str">
        <f>IFERROR(__xludf.DUMMYFUNCTION("""COMPUTED_VALUE"""),"81. Indian Bank")</f>
        <v>81. Indian Bank</v>
      </c>
      <c r="B2459" s="17" t="str">
        <f>IFERROR(__xludf.DUMMYFUNCTION("""COMPUTED_VALUE"""),"ANTONY CHRISTOPHER M")</f>
        <v>ANTONY CHRISTOPHER M</v>
      </c>
      <c r="C2459" s="17" t="str">
        <f>IFERROR(__xludf.DUMMYFUNCTION("""COMPUTED_VALUE"""),"Chief Manager - Marketing at Indian Bank")</f>
        <v>Chief Manager - Marketing at Indian Bank</v>
      </c>
      <c r="D2459" s="17"/>
      <c r="E2459" s="17"/>
      <c r="F2459" s="17" t="str">
        <f>IFERROR(__xludf.DUMMYFUNCTION("""COMPUTED_VALUE"""),"chrisanto1987@gmail.com")</f>
        <v>chrisanto1987@gmail.com</v>
      </c>
      <c r="G2459" s="17"/>
      <c r="H2459" s="17"/>
    </row>
    <row r="2460">
      <c r="A2460" s="17" t="str">
        <f>IFERROR(__xludf.DUMMYFUNCTION("""COMPUTED_VALUE"""),"82. Bank of India")</f>
        <v>82. Bank of India</v>
      </c>
      <c r="B2460" s="17" t="str">
        <f>IFERROR(__xludf.DUMMYFUNCTION("""COMPUTED_VALUE"""),"PIYUSH PATHAK")</f>
        <v>PIYUSH PATHAK</v>
      </c>
      <c r="C2460" s="17"/>
      <c r="D2460" s="27" t="str">
        <f>IFERROR(__xludf.DUMMYFUNCTION("""COMPUTED_VALUE"""),"https://www.linkedin.com/in/piyush-pathak-35465b27/")</f>
        <v>https://www.linkedin.com/in/piyush-pathak-35465b27/</v>
      </c>
      <c r="E2460" s="17"/>
      <c r="F2460" s="17" t="str">
        <f>IFERROR(__xludf.DUMMYFUNCTION("""COMPUTED_VALUE"""),"piyushpathak2@in.com")</f>
        <v>piyushpathak2@in.com</v>
      </c>
      <c r="G2460" s="17" t="str">
        <f>IFERROR(__xludf.DUMMYFUNCTION("""COMPUTED_VALUE"""),"piyush.pathak@bankofindia.co.in")</f>
        <v>piyush.pathak@bankofindia.co.in</v>
      </c>
      <c r="H2460" s="17"/>
    </row>
    <row r="2461">
      <c r="A2461" s="17" t="str">
        <f>IFERROR(__xludf.DUMMYFUNCTION("""COMPUTED_VALUE"""),"85. IDBI Bank")</f>
        <v>85. IDBI Bank</v>
      </c>
      <c r="B2461" s="17" t="str">
        <f>IFERROR(__xludf.DUMMYFUNCTION("""COMPUTED_VALUE"""),"RAHUL JAISWAL")</f>
        <v>RAHUL JAISWAL</v>
      </c>
      <c r="C2461" s="17"/>
      <c r="D2461" s="27" t="str">
        <f>IFERROR(__xludf.DUMMYFUNCTION("""COMPUTED_VALUE"""),"https://www.linkedin.com/in/rahul-jaiswal-2504b121/")</f>
        <v>https://www.linkedin.com/in/rahul-jaiswal-2504b121/</v>
      </c>
      <c r="E2461" s="17"/>
      <c r="F2461" s="17" t="str">
        <f>IFERROR(__xludf.DUMMYFUNCTION("""COMPUTED_VALUE"""),"rahul.jaiswal29@rediffmail.com")</f>
        <v>rahul.jaiswal29@rediffmail.com</v>
      </c>
      <c r="G2461" s="17" t="str">
        <f>IFERROR(__xludf.DUMMYFUNCTION("""COMPUTED_VALUE"""),"rahul.jaiswal29@rediffmail.com")</f>
        <v>rahul.jaiswal29@rediffmail.com</v>
      </c>
      <c r="H2461" s="17"/>
    </row>
    <row r="2462">
      <c r="A2462" s="17" t="str">
        <f>IFERROR(__xludf.DUMMYFUNCTION("""COMPUTED_VALUE"""),"86. IndusInd Bank")</f>
        <v>86. IndusInd Bank</v>
      </c>
      <c r="B2462" s="17" t="str">
        <f>IFERROR(__xludf.DUMMYFUNCTION("""COMPUTED_VALUE"""),"Sheran Mendiratta Mehra")</f>
        <v>Sheran Mendiratta Mehra</v>
      </c>
      <c r="C2462" s="17"/>
      <c r="D2462" s="27" t="str">
        <f>IFERROR(__xludf.DUMMYFUNCTION("""COMPUTED_VALUE"""),"https://www.linkedin.com/in/sheranmehra/")</f>
        <v>https://www.linkedin.com/in/sheranmehra/</v>
      </c>
      <c r="E2462" s="17"/>
      <c r="F2462" s="17" t="str">
        <f>IFERROR(__xludf.DUMMYFUNCTION("""COMPUTED_VALUE"""),"sheran.mehra@tatadigital.in")</f>
        <v>sheran.mehra@tatadigital.in</v>
      </c>
      <c r="G2462" s="17" t="str">
        <f>IFERROR(__xludf.DUMMYFUNCTION("""COMPUTED_VALUE"""),"sheran.mehra@gmail.com")</f>
        <v>sheran.mehra@gmail.com</v>
      </c>
      <c r="H2462" s="17"/>
    </row>
    <row r="2463">
      <c r="A2463" s="17" t="str">
        <f>IFERROR(__xludf.DUMMYFUNCTION("""COMPUTED_VALUE"""),"87. Yes Bank")</f>
        <v>87. Yes Bank</v>
      </c>
      <c r="B2463" s="17" t="str">
        <f>IFERROR(__xludf.DUMMYFUNCTION("""COMPUTED_VALUE"""),"Nipun Kaushal")</f>
        <v>Nipun Kaushal</v>
      </c>
      <c r="C2463" s="17"/>
      <c r="D2463" s="27" t="str">
        <f>IFERROR(__xludf.DUMMYFUNCTION("""COMPUTED_VALUE"""),"https://www.linkedin.com/in/nipun-kaushal-4818039/")</f>
        <v>https://www.linkedin.com/in/nipun-kaushal-4818039/</v>
      </c>
      <c r="E2463" s="17"/>
      <c r="F2463" s="17" t="str">
        <f>IFERROR(__xludf.DUMMYFUNCTION("""COMPUTED_VALUE"""),"nipun.kaushal@yesbank.in")</f>
        <v>nipun.kaushal@yesbank.in</v>
      </c>
      <c r="G2463" s="17" t="str">
        <f>IFERROR(__xludf.DUMMYFUNCTION("""COMPUTED_VALUE"""),"nipun.kaushal@gmail.com")</f>
        <v>nipun.kaushal@gmail.com</v>
      </c>
      <c r="H2463" s="17"/>
    </row>
    <row r="2464">
      <c r="A2464" s="17" t="str">
        <f>IFERROR(__xludf.DUMMYFUNCTION("""COMPUTED_VALUE"""),"88. Federal Bank")</f>
        <v>88. Federal Bank</v>
      </c>
      <c r="B2464" s="17" t="str">
        <f>IFERROR(__xludf.DUMMYFUNCTION("""COMPUTED_VALUE"""),"M V S Murthy ( MVS )")</f>
        <v>M V S Murthy ( MVS )</v>
      </c>
      <c r="C2464" s="17"/>
      <c r="D2464" s="27" t="str">
        <f>IFERROR(__xludf.DUMMYFUNCTION("""COMPUTED_VALUE"""),"http://linkedin.com/in/mvsmurthy/")</f>
        <v>http://linkedin.com/in/mvsmurthy/</v>
      </c>
      <c r="E2464" s="17"/>
      <c r="F2464" s="17" t="str">
        <f>IFERROR(__xludf.DUMMYFUNCTION("""COMPUTED_VALUE"""),"himvs@hotmail.com")</f>
        <v>himvs@hotmail.com</v>
      </c>
      <c r="G2464" s="17"/>
      <c r="H2464" s="17"/>
    </row>
    <row r="2465">
      <c r="A2465" s="17" t="str">
        <f>IFERROR(__xludf.DUMMYFUNCTION("""COMPUTED_VALUE"""),"89. IDFC First Bank")</f>
        <v>89. IDFC First Bank</v>
      </c>
      <c r="B2465" s="17" t="str">
        <f>IFERROR(__xludf.DUMMYFUNCTION("""COMPUTED_VALUE"""),"Shreepad Shende")</f>
        <v>Shreepad Shende</v>
      </c>
      <c r="C2465" s="17"/>
      <c r="D2465" s="27" t="str">
        <f>IFERROR(__xludf.DUMMYFUNCTION("""COMPUTED_VALUE"""),"https://www.linkedin.com/in/shreepadshende/")</f>
        <v>https://www.linkedin.com/in/shreepadshende/</v>
      </c>
      <c r="E2465" s="17"/>
      <c r="F2465" s="17" t="str">
        <f>IFERROR(__xludf.DUMMYFUNCTION("""COMPUTED_VALUE"""),"shreepad_shende@yahoo.co.in")</f>
        <v>shreepad_shende@yahoo.co.in</v>
      </c>
      <c r="G2465" s="17"/>
      <c r="H2465" s="17"/>
    </row>
    <row r="2466">
      <c r="A2466" s="17" t="str">
        <f>IFERROR(__xludf.DUMMYFUNCTION("""COMPUTED_VALUE"""),"90. Bandhan Bank")</f>
        <v>90. Bandhan Bank</v>
      </c>
      <c r="B2466" s="17" t="str">
        <f>IFERROR(__xludf.DUMMYFUNCTION("""COMPUTED_VALUE"""),"Prasann Shrivastava")</f>
        <v>Prasann Shrivastava</v>
      </c>
      <c r="C2466" s="17"/>
      <c r="D2466" s="27" t="str">
        <f>IFERROR(__xludf.DUMMYFUNCTION("""COMPUTED_VALUE"""),"https://www.linkedin.com/in/prasann-shrivastava-6396b3b/")</f>
        <v>https://www.linkedin.com/in/prasann-shrivastava-6396b3b/</v>
      </c>
      <c r="E2466" s="17"/>
      <c r="F2466" s="17" t="str">
        <f>IFERROR(__xludf.DUMMYFUNCTION("""COMPUTED_VALUE"""),"prasann707@gmail.com")</f>
        <v>prasann707@gmail.com</v>
      </c>
      <c r="G2466" s="17"/>
      <c r="H2466" s="17"/>
    </row>
    <row r="2467">
      <c r="A2467" s="17" t="str">
        <f>IFERROR(__xludf.DUMMYFUNCTION("""COMPUTED_VALUE"""),"91. RBL Bank")</f>
        <v>91. RBL Bank</v>
      </c>
      <c r="B2467" s="17" t="str">
        <f>IFERROR(__xludf.DUMMYFUNCTION("""COMPUTED_VALUE"""),"Abhijit Somvanshi")</f>
        <v>Abhijit Somvanshi</v>
      </c>
      <c r="C2467" s="17"/>
      <c r="D2467" s="27" t="str">
        <f>IFERROR(__xludf.DUMMYFUNCTION("""COMPUTED_VALUE"""),"https://www.linkedin.com/in/abhijitsomvanshi/")</f>
        <v>https://www.linkedin.com/in/abhijitsomvanshi/</v>
      </c>
      <c r="E2467" s="17"/>
      <c r="F2467" s="17" t="str">
        <f>IFERROR(__xludf.DUMMYFUNCTION("""COMPUTED_VALUE"""),"abhijit.somvanshi@rblbank.com")</f>
        <v>abhijit.somvanshi@rblbank.com</v>
      </c>
      <c r="G2467" s="17" t="str">
        <f>IFERROR(__xludf.DUMMYFUNCTION("""COMPUTED_VALUE"""),"abhijit_44@hotmail.com")</f>
        <v>abhijit_44@hotmail.com</v>
      </c>
      <c r="H2467" s="17"/>
    </row>
    <row r="2468">
      <c r="A2468" s="17" t="str">
        <f>IFERROR(__xludf.DUMMYFUNCTION("""COMPUTED_VALUE"""),"92. City Union Bank")</f>
        <v>92. City Union Bank</v>
      </c>
      <c r="B2468" s="17" t="str">
        <f>IFERROR(__xludf.DUMMYFUNCTION("""COMPUTED_VALUE"""),"Vijay Anandh")</f>
        <v>Vijay Anandh</v>
      </c>
      <c r="C2468" s="17"/>
      <c r="D2468" s="27" t="str">
        <f>IFERROR(__xludf.DUMMYFUNCTION("""COMPUTED_VALUE"""),"https://www.linkedin.com/in/vijay-anandh-888a9612/")</f>
        <v>https://www.linkedin.com/in/vijay-anandh-888a9612/</v>
      </c>
      <c r="E2468" s="17"/>
      <c r="F2468" s="17" t="str">
        <f>IFERROR(__xludf.DUMMYFUNCTION("""COMPUTED_VALUE"""),"vijay_anandh_us@yahoo.com")</f>
        <v>vijay_anandh_us@yahoo.com</v>
      </c>
      <c r="G2468" s="17"/>
      <c r="H2468" s="17"/>
    </row>
    <row r="2469">
      <c r="A2469" s="17" t="str">
        <f>IFERROR(__xludf.DUMMYFUNCTION("""COMPUTED_VALUE"""),"93. South Indian Bank")</f>
        <v>93. South Indian Bank</v>
      </c>
      <c r="B2469" s="17" t="str">
        <f>IFERROR(__xludf.DUMMYFUNCTION("""COMPUTED_VALUE"""),"Azmat (Attari) Habibulla")</f>
        <v>Azmat (Attari) Habibulla</v>
      </c>
      <c r="C2469" s="17"/>
      <c r="D2469" s="27" t="str">
        <f>IFERROR(__xludf.DUMMYFUNCTION("""COMPUTED_VALUE"""),"https://www.linkedin.com/in/azmat-habibulla62765911/")</f>
        <v>https://www.linkedin.com/in/azmat-habibulla62765911/</v>
      </c>
      <c r="E2469" s="17"/>
      <c r="F2469" s="17" t="str">
        <f>IFERROR(__xludf.DUMMYFUNCTION("""COMPUTED_VALUE"""),"azmoiz@gmail.com")</f>
        <v>azmoiz@gmail.com</v>
      </c>
      <c r="G2469" s="17"/>
      <c r="H2469" s="17"/>
    </row>
    <row r="2470">
      <c r="A2470" s="17" t="str">
        <f>IFERROR(__xludf.DUMMYFUNCTION("""COMPUTED_VALUE"""),"96. SBI Life Insurance")</f>
        <v>96. SBI Life Insurance</v>
      </c>
      <c r="B2470" s="17" t="str">
        <f>IFERROR(__xludf.DUMMYFUNCTION("""COMPUTED_VALUE"""),"Rathin Lahiri")</f>
        <v>Rathin Lahiri</v>
      </c>
      <c r="C2470" s="17" t="str">
        <f>IFERROR(__xludf.DUMMYFUNCTION("""COMPUTED_VALUE"""),"Head Marketing &amp; CSR SBI General Insurance Ltd.CMO l BUSINESS HEAD l ANGEL INVESTOR l KEYNOTE SPEAKER")</f>
        <v>Head Marketing &amp; CSR SBI General Insurance Ltd.CMO l BUSINESS HEAD l ANGEL INVESTOR l KEYNOTE SPEAKER</v>
      </c>
      <c r="D2470" s="17"/>
      <c r="E2470" s="17"/>
      <c r="F2470" s="17" t="str">
        <f>IFERROR(__xludf.DUMMYFUNCTION("""COMPUTED_VALUE"""),"rathin.lahiri@sbigeneral.in")</f>
        <v>rathin.lahiri@sbigeneral.in</v>
      </c>
      <c r="G2470" s="17" t="str">
        <f>IFERROR(__xludf.DUMMYFUNCTION("""COMPUTED_VALUE"""),"rathin300@gmail.com")</f>
        <v>rathin300@gmail.com</v>
      </c>
      <c r="H2470" s="17"/>
    </row>
    <row r="2471">
      <c r="A2471" s="17" t="str">
        <f>IFERROR(__xludf.DUMMYFUNCTION("""COMPUTED_VALUE"""),"97. HDFC Life Insurance")</f>
        <v>97. HDFC Life Insurance</v>
      </c>
      <c r="B2471" s="17" t="str">
        <f>IFERROR(__xludf.DUMMYFUNCTION("""COMPUTED_VALUE"""),"Pritika Shah")</f>
        <v>Pritika Shah</v>
      </c>
      <c r="C2471" s="17" t="str">
        <f>IFERROR(__xludf.DUMMYFUNCTION("""COMPUTED_VALUE"""),"Head-Marketing (Brand | Product Mktg | Channel Mktg | Research | Comms | Digital | Events | CRM | CSR)")</f>
        <v>Head-Marketing (Brand | Product Mktg | Channel Mktg | Research | Comms | Digital | Events | CRM | CSR)</v>
      </c>
      <c r="D2471" s="17"/>
      <c r="E2471" s="17"/>
      <c r="F2471" s="17" t="str">
        <f>IFERROR(__xludf.DUMMYFUNCTION("""COMPUTED_VALUE"""),"pritikashah@gmail.com")</f>
        <v>pritikashah@gmail.com</v>
      </c>
      <c r="G2471" s="17" t="str">
        <f>IFERROR(__xludf.DUMMYFUNCTION("""COMPUTED_VALUE"""),"pshah@hdfclife.com")</f>
        <v>pshah@hdfclife.com</v>
      </c>
      <c r="H2471" s="17"/>
    </row>
    <row r="2472">
      <c r="A2472" s="17" t="str">
        <f>IFERROR(__xludf.DUMMYFUNCTION("""COMPUTED_VALUE"""),"98. ICICI Prudential Life Insurance")</f>
        <v>98. ICICI Prudential Life Insurance</v>
      </c>
      <c r="B2472" s="17" t="str">
        <f>IFERROR(__xludf.DUMMYFUNCTION("""COMPUTED_VALUE"""),"Sumit Mohindra")</f>
        <v>Sumit Mohindra</v>
      </c>
      <c r="C2472" s="17" t="str">
        <f>IFERROR(__xludf.DUMMYFUNCTION("""COMPUTED_VALUE"""),"Chief Executive Officer at ICICI PRUDENTIAL PENSION FUNDS MANAGEMENT COMPANY LIMITED")</f>
        <v>Chief Executive Officer at ICICI PRUDENTIAL PENSION FUNDS MANAGEMENT COMPANY LIMITED</v>
      </c>
      <c r="D2472" s="17"/>
      <c r="E2472" s="17"/>
      <c r="F2472" s="17" t="str">
        <f>IFERROR(__xludf.DUMMYFUNCTION("""COMPUTED_VALUE"""),"sumit.mohindra@iciciprupension.com")</f>
        <v>sumit.mohindra@iciciprupension.com</v>
      </c>
      <c r="G2472" s="17" t="str">
        <f>IFERROR(__xludf.DUMMYFUNCTION("""COMPUTED_VALUE"""),"sumit.mohindra@rediffmail.com")</f>
        <v>sumit.mohindra@rediffmail.com</v>
      </c>
      <c r="H2472" s="17"/>
    </row>
    <row r="2473">
      <c r="A2473" s="17" t="str">
        <f>IFERROR(__xludf.DUMMYFUNCTION("""COMPUTED_VALUE"""),"99. Bajaj Finance")</f>
        <v>99. Bajaj Finance</v>
      </c>
      <c r="B2473" s="17" t="str">
        <f>IFERROR(__xludf.DUMMYFUNCTION("""COMPUTED_VALUE"""),"Vishesh Sharma")</f>
        <v>Vishesh Sharma</v>
      </c>
      <c r="C2473" s="17" t="str">
        <f>IFERROR(__xludf.DUMMYFUNCTION("""COMPUTED_VALUE"""),"Former CMO - Bajaj Broking I FinTech Marketing Leader I Organic Growth Expert I Marketing Person of The Year by Nasscom")</f>
        <v>Former CMO - Bajaj Broking I FinTech Marketing Leader I Organic Growth Expert I Marketing Person of The Year by Nasscom</v>
      </c>
      <c r="D2473" s="17"/>
      <c r="E2473" s="17"/>
      <c r="F2473" s="17" t="str">
        <f>IFERROR(__xludf.DUMMYFUNCTION("""COMPUTED_VALUE"""),"vishesh.sr@gmail.com")</f>
        <v>vishesh.sr@gmail.com</v>
      </c>
      <c r="G2473" s="17"/>
      <c r="H2473" s="17"/>
    </row>
    <row r="2474">
      <c r="A2474" s="17" t="str">
        <f>IFERROR(__xludf.DUMMYFUNCTION("""COMPUTED_VALUE"""),"100. Bajaj Finserv")</f>
        <v>100. Bajaj Finserv</v>
      </c>
      <c r="B2474" s="17" t="str">
        <f>IFERROR(__xludf.DUMMYFUNCTION("""COMPUTED_VALUE"""),"Gourav sharma")</f>
        <v>Gourav sharma</v>
      </c>
      <c r="C2474" s="17" t="str">
        <f>IFERROR(__xludf.DUMMYFUNCTION("""COMPUTED_VALUE"""),"Chief Marketing Officer at Bajaj Finserv")</f>
        <v>Chief Marketing Officer at Bajaj Finserv</v>
      </c>
      <c r="D2474" s="17"/>
      <c r="E2474" s="17"/>
      <c r="F2474" s="17" t="str">
        <f>IFERROR(__xludf.DUMMYFUNCTION("""COMPUTED_VALUE"""),"gourav.sharma@bajajfinserv.in")</f>
        <v>gourav.sharma@bajajfinserv.in</v>
      </c>
      <c r="G2474" s="17"/>
      <c r="H2474" s="17"/>
    </row>
    <row r="2475">
      <c r="A2475" s="17" t="str">
        <f>IFERROR(__xludf.DUMMYFUNCTION("""COMPUTED_VALUE"""),"FMCG, Food, Beverage &amp; Consumer Brands (25)")</f>
        <v>FMCG, Food, Beverage &amp; Consumer Brands (25)</v>
      </c>
      <c r="B2475" s="17"/>
      <c r="C2475" s="17"/>
      <c r="D2475" s="17"/>
      <c r="E2475" s="17"/>
      <c r="F2475" s="17"/>
      <c r="G2475" s="17"/>
      <c r="H2475" s="17"/>
    </row>
    <row r="2476">
      <c r="A2476" s="17" t="str">
        <f>IFERROR(__xludf.DUMMYFUNCTION("""COMPUTED_VALUE""")," Dabur India")</f>
        <v> Dabur India</v>
      </c>
      <c r="B2476" s="17" t="str">
        <f>IFERROR(__xludf.DUMMYFUNCTION("""COMPUTED_VALUE"""),"Mayank Kumar")</f>
        <v>Mayank Kumar</v>
      </c>
      <c r="C2476" s="17" t="str">
        <f>IFERROR(__xludf.DUMMYFUNCTION("""COMPUTED_VALUE"""),"Head of Marketing, Foods at Dabur India Limited")</f>
        <v>Head of Marketing, Foods at Dabur India Limited</v>
      </c>
      <c r="D2476" s="17"/>
      <c r="E2476" s="17"/>
      <c r="F2476" s="17" t="str">
        <f>IFERROR(__xludf.DUMMYFUNCTION("""COMPUTED_VALUE"""),"mayankadi@gmail.com")</f>
        <v>mayankadi@gmail.com</v>
      </c>
      <c r="G2476" s="17" t="str">
        <f>IFERROR(__xludf.DUMMYFUNCTION("""COMPUTED_VALUE"""),"mayank.kumar@dabur.com")</f>
        <v>mayank.kumar@dabur.com</v>
      </c>
      <c r="H2476" s="17"/>
    </row>
    <row r="2477">
      <c r="A2477" s="17" t="str">
        <f>IFERROR(__xludf.DUMMYFUNCTION("""COMPUTED_VALUE"""),"102. Marico")</f>
        <v>102. Marico</v>
      </c>
      <c r="B2477" s="17" t="str">
        <f>IFERROR(__xludf.DUMMYFUNCTION("""COMPUTED_VALUE"""),"Somasree Bose Awasthi")</f>
        <v>Somasree Bose Awasthi</v>
      </c>
      <c r="C2477" s="17" t="str">
        <f>IFERROR(__xludf.DUMMYFUNCTION("""COMPUTED_VALUE"""),"Ex-Chief Marketing Officer at MARICO | Ex-CMO Godrej Consumer Products Ltd")</f>
        <v>Ex-Chief Marketing Officer at MARICO | Ex-CMO Godrej Consumer Products Ltd</v>
      </c>
      <c r="D2477" s="27" t="str">
        <f>IFERROR(__xludf.DUMMYFUNCTION("""COMPUTED_VALUE"""),"https://www.linkedin.com/in/somasreebose/")</f>
        <v>https://www.linkedin.com/in/somasreebose/</v>
      </c>
      <c r="E2477" s="17"/>
      <c r="F2477" s="17" t="str">
        <f>IFERROR(__xludf.DUMMYFUNCTION("""COMPUTED_VALUE"""),"bosesheher@marico.com")</f>
        <v>bosesheher@marico.com</v>
      </c>
      <c r="G2477" s="17" t="str">
        <f>IFERROR(__xludf.DUMMYFUNCTION("""COMPUTED_VALUE"""),"somasreebose@gmail.com")</f>
        <v>somasreebose@gmail.com</v>
      </c>
      <c r="H2477" s="17"/>
    </row>
    <row r="2478">
      <c r="A2478" s="17" t="str">
        <f>IFERROR(__xludf.DUMMYFUNCTION("""COMPUTED_VALUE"""),"103. Emami")</f>
        <v>103. Emami</v>
      </c>
      <c r="B2478" s="17" t="str">
        <f>IFERROR(__xludf.DUMMYFUNCTION("""COMPUTED_VALUE"""),"Soumyajit Mukherjee")</f>
        <v>Soumyajit Mukherjee</v>
      </c>
      <c r="C2478" s="17"/>
      <c r="D2478" s="27" t="str">
        <f>IFERROR(__xludf.DUMMYFUNCTION("""COMPUTED_VALUE"""),"https://www.linkedin.com/in/soumyajit-mukherjee-9771b827/")</f>
        <v>https://www.linkedin.com/in/soumyajit-mukherjee-9771b827/</v>
      </c>
      <c r="E2478" s="17"/>
      <c r="F2478" s="17" t="str">
        <f>IFERROR(__xludf.DUMMYFUNCTION("""COMPUTED_VALUE"""),"somu723@gmail.com")</f>
        <v>somu723@gmail.com</v>
      </c>
      <c r="G2478" s="17"/>
      <c r="H2478" s="17"/>
    </row>
    <row r="2479">
      <c r="A2479" s="17" t="str">
        <f>IFERROR(__xludf.DUMMYFUNCTION("""COMPUTED_VALUE"""),"104. Britannia Industries")</f>
        <v>104. Britannia Industries</v>
      </c>
      <c r="B2479" s="17" t="str">
        <f>IFERROR(__xludf.DUMMYFUNCTION("""COMPUTED_VALUE"""),"Siddharth Gupta")</f>
        <v>Siddharth Gupta</v>
      </c>
      <c r="C2479" s="17"/>
      <c r="D2479" s="27" t="str">
        <f>IFERROR(__xludf.DUMMYFUNCTION("""COMPUTED_VALUE"""),"https://www.linkedin.com/in/siddharth-gupta-65609214/")</f>
        <v>https://www.linkedin.com/in/siddharth-gupta-65609214/</v>
      </c>
      <c r="E2479" s="17"/>
      <c r="F2479" s="17" t="str">
        <f>IFERROR(__xludf.DUMMYFUNCTION("""COMPUTED_VALUE"""),"siddharthgupta82@gmail.com")</f>
        <v>siddharthgupta82@gmail.com</v>
      </c>
      <c r="G2479" s="17"/>
      <c r="H2479" s="17"/>
    </row>
    <row r="2480">
      <c r="A2480" s="17" t="str">
        <f>IFERROR(__xludf.DUMMYFUNCTION("""COMPUTED_VALUE"""),"105. Parle Products")</f>
        <v>105. Parle Products</v>
      </c>
      <c r="B2480" s="17" t="str">
        <f>IFERROR(__xludf.DUMMYFUNCTION("""COMPUTED_VALUE"""),"Mayank Pravinchandra Shah")</f>
        <v>Mayank Pravinchandra Shah</v>
      </c>
      <c r="C2480" s="17"/>
      <c r="D2480" s="27" t="str">
        <f>IFERROR(__xludf.DUMMYFUNCTION("""COMPUTED_VALUE"""),"https://www.linkedin.com/in/mayank-pravinchandra-shah-bb38a61b/")</f>
        <v>https://www.linkedin.com/in/mayank-pravinchandra-shah-bb38a61b/</v>
      </c>
      <c r="E2480" s="17"/>
      <c r="F2480" s="17" t="str">
        <f>IFERROR(__xludf.DUMMYFUNCTION("""COMPUTED_VALUE"""),"mayank_73@yahoo.com")</f>
        <v>mayank_73@yahoo.com</v>
      </c>
      <c r="G2480" s="17"/>
      <c r="H2480" s="17"/>
    </row>
    <row r="2481">
      <c r="A2481" s="17" t="str">
        <f>IFERROR(__xludf.DUMMYFUNCTION("""COMPUTED_VALUE"""),"106. Amul / Gujarat Cooperative Milk Marketing Federation (GCMMF) ")</f>
        <v>106. Amul / Gujarat Cooperative Milk Marketing Federation (GCMMF) </v>
      </c>
      <c r="B2481" s="17"/>
      <c r="C2481" s="17"/>
      <c r="D2481" s="17"/>
      <c r="E2481" s="17"/>
      <c r="F2481" s="17"/>
      <c r="G2481" s="17"/>
      <c r="H2481" s="17"/>
    </row>
    <row r="2482">
      <c r="A2482" s="17" t="str">
        <f>IFERROR(__xludf.DUMMYFUNCTION("""COMPUTED_VALUE"""),"107. Mother Dairy")</f>
        <v>107. Mother Dairy</v>
      </c>
      <c r="B2482" s="17"/>
      <c r="C2482" s="17"/>
      <c r="D2482" s="17"/>
      <c r="E2482" s="17"/>
      <c r="F2482" s="17"/>
      <c r="G2482" s="17"/>
      <c r="H2482" s="17"/>
    </row>
    <row r="2483">
      <c r="A2483" s="17" t="str">
        <f>IFERROR(__xludf.DUMMYFUNCTION("""COMPUTED_VALUE"""),"108. Parag Milk Foods")</f>
        <v>108. Parag Milk Foods</v>
      </c>
      <c r="B2483" s="17"/>
      <c r="C2483" s="17"/>
      <c r="D2483" s="17"/>
      <c r="E2483" s="17"/>
      <c r="F2483" s="17"/>
      <c r="G2483" s="17"/>
      <c r="H2483" s="17"/>
    </row>
    <row r="2484">
      <c r="A2484" s="17" t="str">
        <f>IFERROR(__xludf.DUMMYFUNCTION("""COMPUTED_VALUE"""),"109. Hatsun Agro Product")</f>
        <v>109. Hatsun Agro Product</v>
      </c>
      <c r="B2484" s="17"/>
      <c r="C2484" s="17"/>
      <c r="D2484" s="17"/>
      <c r="E2484" s="17"/>
      <c r="F2484" s="17"/>
      <c r="G2484" s="17"/>
      <c r="H2484" s="17"/>
    </row>
    <row r="2485">
      <c r="A2485" s="17" t="str">
        <f>IFERROR(__xludf.DUMMYFUNCTION("""COMPUTED_VALUE"""),"110. Heritage Foods")</f>
        <v>110. Heritage Foods</v>
      </c>
      <c r="B2485" s="17"/>
      <c r="C2485" s="17"/>
      <c r="D2485" s="17"/>
      <c r="E2485" s="17"/>
      <c r="F2485" s="17"/>
      <c r="G2485" s="17"/>
      <c r="H2485" s="17"/>
    </row>
    <row r="2486">
      <c r="A2486" s="17" t="str">
        <f>IFERROR(__xludf.DUMMYFUNCTION("""COMPUTED_VALUE"""),"111. Zydus Wellness")</f>
        <v>111. Zydus Wellness</v>
      </c>
      <c r="B2486" s="17"/>
      <c r="C2486" s="17"/>
      <c r="D2486" s="17"/>
      <c r="E2486" s="17"/>
      <c r="F2486" s="17"/>
      <c r="G2486" s="17"/>
      <c r="H2486" s="17"/>
    </row>
    <row r="2487">
      <c r="A2487" s="17" t="str">
        <f>IFERROR(__xludf.DUMMYFUNCTION("""COMPUTED_VALUE"""),"112. Jyothy Labs")</f>
        <v>112. Jyothy Labs</v>
      </c>
      <c r="B2487" s="17"/>
      <c r="C2487" s="17"/>
      <c r="D2487" s="17"/>
      <c r="E2487" s="17"/>
      <c r="F2487" s="17"/>
      <c r="G2487" s="17"/>
      <c r="H2487" s="17"/>
    </row>
    <row r="2488">
      <c r="A2488" s="17" t="str">
        <f>IFERROR(__xludf.DUMMYFUNCTION("""COMPUTED_VALUE"""),"113. Godrej Agrovet")</f>
        <v>113. Godrej Agrovet</v>
      </c>
      <c r="B2488" s="17"/>
      <c r="C2488" s="17"/>
      <c r="D2488" s="17"/>
      <c r="E2488" s="17"/>
      <c r="F2488" s="17"/>
      <c r="G2488" s="17"/>
      <c r="H2488" s="17"/>
    </row>
    <row r="2489">
      <c r="A2489" s="17" t="str">
        <f>IFERROR(__xludf.DUMMYFUNCTION("""COMPUTED_VALUE"""),"114. Karnataka Milk Federation (Nandini) The Times of India")</f>
        <v>114. Karnataka Milk Federation (Nandini) The Times of India</v>
      </c>
      <c r="B2489" s="17"/>
      <c r="C2489" s="17"/>
      <c r="D2489" s="17"/>
      <c r="E2489" s="17"/>
      <c r="F2489" s="17"/>
      <c r="G2489" s="17"/>
      <c r="H2489" s="17"/>
    </row>
    <row r="2490">
      <c r="A2490" s="17" t="str">
        <f>IFERROR(__xludf.DUMMYFUNCTION("""COMPUTED_VALUE"""),"115. Wagh Bakri Tea Group")</f>
        <v>115. Wagh Bakri Tea Group</v>
      </c>
      <c r="B2490" s="17"/>
      <c r="C2490" s="17"/>
      <c r="D2490" s="17"/>
      <c r="E2490" s="17"/>
      <c r="F2490" s="17"/>
      <c r="G2490" s="17"/>
      <c r="H2490" s="17"/>
    </row>
    <row r="2491">
      <c r="A2491" s="17" t="str">
        <f>IFERROR(__xludf.DUMMYFUNCTION("""COMPUTED_VALUE"""),"116. Tata Consumer Products Tickertape")</f>
        <v>116. Tata Consumer Products Tickertape</v>
      </c>
      <c r="B2491" s="17"/>
      <c r="C2491" s="17"/>
      <c r="D2491" s="17"/>
      <c r="E2491" s="17"/>
      <c r="F2491" s="17"/>
      <c r="G2491" s="17"/>
      <c r="H2491" s="17"/>
    </row>
    <row r="2492">
      <c r="A2492" s="17" t="str">
        <f>IFERROR(__xludf.DUMMYFUNCTION("""COMPUTED_VALUE"""),"117. Page Industries (Jockey India)")</f>
        <v>117. Page Industries (Jockey India)</v>
      </c>
      <c r="B2492" s="17"/>
      <c r="C2492" s="17"/>
      <c r="D2492" s="17"/>
      <c r="E2492" s="17"/>
      <c r="F2492" s="17"/>
      <c r="G2492" s="17"/>
      <c r="H2492" s="17"/>
    </row>
    <row r="2493">
      <c r="A2493" s="17" t="str">
        <f>IFERROR(__xludf.DUMMYFUNCTION("""COMPUTED_VALUE"""),"118. Raymond")</f>
        <v>118. Raymond</v>
      </c>
      <c r="B2493" s="17"/>
      <c r="C2493" s="17"/>
      <c r="D2493" s="17"/>
      <c r="E2493" s="17"/>
      <c r="F2493" s="17"/>
      <c r="G2493" s="17"/>
      <c r="H2493" s="17"/>
    </row>
    <row r="2494">
      <c r="A2494" s="17" t="str">
        <f>IFERROR(__xludf.DUMMYFUNCTION("""COMPUTED_VALUE"""),"119. V-Guard Industries")</f>
        <v>119. V-Guard Industries</v>
      </c>
      <c r="B2494" s="17"/>
      <c r="C2494" s="17"/>
      <c r="D2494" s="17"/>
      <c r="E2494" s="17"/>
      <c r="F2494" s="17"/>
      <c r="G2494" s="17"/>
      <c r="H2494" s="17"/>
    </row>
    <row r="2495">
      <c r="A2495" s="17" t="str">
        <f>IFERROR(__xludf.DUMMYFUNCTION("""COMPUTED_VALUE"""),"120. Relaxo Footwears")</f>
        <v>120. Relaxo Footwears</v>
      </c>
      <c r="B2495" s="17"/>
      <c r="C2495" s="17"/>
      <c r="D2495" s="17"/>
      <c r="E2495" s="17"/>
      <c r="F2495" s="17"/>
      <c r="G2495" s="17"/>
      <c r="H2495" s="17"/>
    </row>
    <row r="2496">
      <c r="A2496" s="17" t="str">
        <f>IFERROR(__xludf.DUMMYFUNCTION("""COMPUTED_VALUE"""),"121. Campus Activewear")</f>
        <v>121. Campus Activewear</v>
      </c>
      <c r="B2496" s="17"/>
      <c r="C2496" s="17"/>
      <c r="D2496" s="17"/>
      <c r="E2496" s="17"/>
      <c r="F2496" s="17"/>
      <c r="G2496" s="17"/>
      <c r="H2496" s="17"/>
    </row>
    <row r="2497">
      <c r="A2497" s="17" t="str">
        <f>IFERROR(__xludf.DUMMYFUNCTION("""COMPUTED_VALUE"""),"122. Safari Industries")</f>
        <v>122. Safari Industries</v>
      </c>
      <c r="B2497" s="17"/>
      <c r="C2497" s="17"/>
      <c r="D2497" s="17"/>
      <c r="E2497" s="17"/>
      <c r="F2497" s="17"/>
      <c r="G2497" s="17"/>
      <c r="H2497" s="17"/>
    </row>
    <row r="2498">
      <c r="A2498" s="17" t="str">
        <f>IFERROR(__xludf.DUMMYFUNCTION("""COMPUTED_VALUE"""),"124. United Spirits")</f>
        <v>124. United Spirits</v>
      </c>
      <c r="B2498" s="17"/>
      <c r="C2498" s="17"/>
      <c r="D2498" s="17"/>
      <c r="E2498" s="17"/>
      <c r="F2498" s="17"/>
      <c r="G2498" s="17"/>
      <c r="H2498" s="17"/>
    </row>
    <row r="2499">
      <c r="A2499" s="17" t="str">
        <f>IFERROR(__xludf.DUMMYFUNCTION("""COMPUTED_VALUE"""),"125. United Breweries")</f>
        <v>125. United Breweries</v>
      </c>
      <c r="B2499" s="17"/>
      <c r="C2499" s="17"/>
      <c r="D2499" s="17"/>
      <c r="E2499" s="17"/>
      <c r="F2499" s="17"/>
      <c r="G2499" s="17"/>
      <c r="H2499" s="17"/>
    </row>
    <row r="2500">
      <c r="A2500" s="17" t="str">
        <f>IFERROR(__xludf.DUMMYFUNCTION("""COMPUTED_VALUE"""),"Pharma, Biotech &amp; Healthcare (30) Wikipedia+1")</f>
        <v>Pharma, Biotech &amp; Healthcare (30) Wikipedia+1</v>
      </c>
      <c r="B2500" s="17"/>
      <c r="C2500" s="17"/>
      <c r="D2500" s="17"/>
      <c r="E2500" s="17"/>
      <c r="F2500" s="17"/>
      <c r="G2500" s="17"/>
      <c r="H2500" s="17"/>
    </row>
    <row r="2501">
      <c r="A2501" s="17" t="str">
        <f>IFERROR(__xludf.DUMMYFUNCTION("""COMPUTED_VALUE"""),"127. Dr. Reddy’s Laboratories")</f>
        <v>127. Dr. Reddy’s Laboratories</v>
      </c>
      <c r="B2501" s="17"/>
      <c r="C2501" s="17"/>
      <c r="D2501" s="17"/>
      <c r="E2501" s="17"/>
      <c r="F2501" s="17"/>
      <c r="G2501" s="17"/>
      <c r="H2501" s="17"/>
    </row>
    <row r="2502">
      <c r="A2502" s="17" t="str">
        <f>IFERROR(__xludf.DUMMYFUNCTION("""COMPUTED_VALUE"""),"128. Cipla")</f>
        <v>128. Cipla</v>
      </c>
      <c r="B2502" s="17" t="str">
        <f>IFERROR(__xludf.DUMMYFUNCTION("""COMPUTED_VALUE"""),"Narendra Choudhari")</f>
        <v>Narendra Choudhari</v>
      </c>
      <c r="C2502" s="17" t="str">
        <f>IFERROR(__xludf.DUMMYFUNCTION("""COMPUTED_VALUE"""),"Sr. Marketing Head")</f>
        <v>Sr. Marketing Head</v>
      </c>
      <c r="D2502" s="27" t="str">
        <f>IFERROR(__xludf.DUMMYFUNCTION("""COMPUTED_VALUE"""),"https://www.linkedin.com/in/narendra-choudhari-1a97231a/?originalSubdomain=in")</f>
        <v>https://www.linkedin.com/in/narendra-choudhari-1a97231a/?originalSubdomain=in</v>
      </c>
      <c r="E2502" s="17"/>
      <c r="F2502" s="17" t="str">
        <f>IFERROR(__xludf.DUMMYFUNCTION("""COMPUTED_VALUE"""),"narendra.choudhari@cipla.com")</f>
        <v>narendra.choudhari@cipla.com</v>
      </c>
      <c r="G2502" s="17"/>
      <c r="H2502" s="17"/>
    </row>
    <row r="2503">
      <c r="A2503" s="17" t="str">
        <f>IFERROR(__xludf.DUMMYFUNCTION("""COMPUTED_VALUE"""),"129. Lupin")</f>
        <v>129. Lupin</v>
      </c>
      <c r="B2503" s="17" t="str">
        <f>IFERROR(__xludf.DUMMYFUNCTION("""COMPUTED_VALUE"""),"Supratik Sengupta")</f>
        <v>Supratik Sengupta</v>
      </c>
      <c r="C2503" s="17" t="str">
        <f>IFERROR(__xludf.DUMMYFUNCTION("""COMPUTED_VALUE"""),"Chief Marketing Officer at LupinLife Consumer Healthcare")</f>
        <v>Chief Marketing Officer at LupinLife Consumer Healthcare</v>
      </c>
      <c r="D2503" s="27" t="str">
        <f>IFERROR(__xludf.DUMMYFUNCTION("""COMPUTED_VALUE"""),"https://www.linkedin.com/in/supratiksengupta/")</f>
        <v>https://www.linkedin.com/in/supratiksengupta/</v>
      </c>
      <c r="E2503" s="17"/>
      <c r="F2503" s="17" t="str">
        <f>IFERROR(__xludf.DUMMYFUNCTION("""COMPUTED_VALUE"""),"supratiksengupta@gmail.com")</f>
        <v>supratiksengupta@gmail.com</v>
      </c>
      <c r="G2503" s="17"/>
      <c r="H2503" s="17"/>
    </row>
    <row r="2504">
      <c r="A2504" s="17" t="str">
        <f>IFERROR(__xludf.DUMMYFUNCTION("""COMPUTED_VALUE"""),"130. Aurobindo Pharma")</f>
        <v>130. Aurobindo Pharma</v>
      </c>
      <c r="B2504" s="17" t="str">
        <f>IFERROR(__xludf.DUMMYFUNCTION("""COMPUTED_VALUE"""),"Senior Vice President and Head Emerging Markets at AUROBINDO PHARMA LTD")</f>
        <v>Senior Vice President and Head Emerging Markets at AUROBINDO PHARMA LTD</v>
      </c>
      <c r="C2504" s="17"/>
      <c r="D2504" s="27" t="str">
        <f>IFERROR(__xludf.DUMMYFUNCTION("""COMPUTED_VALUE"""),"https://www.linkedin.com/in/debashis-sarkar-416b2713/")</f>
        <v>https://www.linkedin.com/in/debashis-sarkar-416b2713/</v>
      </c>
      <c r="E2504" s="17"/>
      <c r="F2504" s="17" t="str">
        <f>IFERROR(__xludf.DUMMYFUNCTION("""COMPUTED_VALUE"""),"debus2k@gmail.com")</f>
        <v>debus2k@gmail.com</v>
      </c>
      <c r="G2504" s="17"/>
      <c r="H2504" s="17"/>
    </row>
    <row r="2505">
      <c r="A2505" s="17" t="str">
        <f>IFERROR(__xludf.DUMMYFUNCTION("""COMPUTED_VALUE"""),"131. Biocon")</f>
        <v>131. Biocon</v>
      </c>
      <c r="B2505" s="17" t="str">
        <f>IFERROR(__xludf.DUMMYFUNCTION("""COMPUTED_VALUE"""),"Saurabh Narain")</f>
        <v>Saurabh Narain</v>
      </c>
      <c r="C2505" s="17" t="str">
        <f>IFERROR(__xludf.DUMMYFUNCTION("""COMPUTED_VALUE"""),"Global Branding, Digital, Product &amp; Marketing Communications at Biocon Biologics")</f>
        <v>Global Branding, Digital, Product &amp; Marketing Communications at Biocon Biologics</v>
      </c>
      <c r="D2505" s="27" t="str">
        <f>IFERROR(__xludf.DUMMYFUNCTION("""COMPUTED_VALUE"""),"https://www.linkedin.com/in/saurabhnarain007/")</f>
        <v>https://www.linkedin.com/in/saurabhnarain007/</v>
      </c>
      <c r="E2505" s="17"/>
      <c r="F2505" s="17" t="str">
        <f>IFERROR(__xludf.DUMMYFUNCTION("""COMPUTED_VALUE"""),"narainsaurabh@gmail.com")</f>
        <v>narainsaurabh@gmail.com</v>
      </c>
      <c r="G2505" s="17" t="str">
        <f>IFERROR(__xludf.DUMMYFUNCTION("""COMPUTED_VALUE"""),"narainsaurabh@yahoo.com")</f>
        <v>narainsaurabh@yahoo.com</v>
      </c>
      <c r="H2505" s="17"/>
    </row>
    <row r="2506">
      <c r="A2506" s="17" t="str">
        <f>IFERROR(__xludf.DUMMYFUNCTION("""COMPUTED_VALUE"""),"132. Divi’s Laboratories")</f>
        <v>132. Divi’s Laboratories</v>
      </c>
      <c r="B2506" s="17" t="str">
        <f>IFERROR(__xludf.DUMMYFUNCTION("""COMPUTED_VALUE"""),"Nagbhushan Rao")</f>
        <v>Nagbhushan Rao</v>
      </c>
      <c r="C2506" s="17" t="str">
        <f>IFERROR(__xludf.DUMMYFUNCTION("""COMPUTED_VALUE"""),"Asst. General Manager Marketing at Divis Laboratories Limited")</f>
        <v>Asst. General Manager Marketing at Divis Laboratories Limited</v>
      </c>
      <c r="D2506" s="27" t="str">
        <f>IFERROR(__xludf.DUMMYFUNCTION("""COMPUTED_VALUE"""),"https://www.linkedin.com/in/nagbhushan-rao-41670215/")</f>
        <v>https://www.linkedin.com/in/nagbhushan-rao-41670215/</v>
      </c>
      <c r="E2506" s="17"/>
      <c r="F2506" s="17" t="str">
        <f>IFERROR(__xludf.DUMMYFUNCTION("""COMPUTED_VALUE"""),"ylnrao@divislaboratories.com")</f>
        <v>ylnrao@divislaboratories.com</v>
      </c>
      <c r="G2506" s="17"/>
      <c r="H2506" s="17"/>
    </row>
    <row r="2507">
      <c r="A2507" s="17" t="str">
        <f>IFERROR(__xludf.DUMMYFUNCTION("""COMPUTED_VALUE"""),"133. Torrent Pharmaceuticals")</f>
        <v>133. Torrent Pharmaceuticals</v>
      </c>
      <c r="B2507" s="17" t="str">
        <f>IFERROR(__xludf.DUMMYFUNCTION("""COMPUTED_VALUE"""),"Aman Mehta")</f>
        <v>Aman Mehta</v>
      </c>
      <c r="C2507" s="17" t="str">
        <f>IFERROR(__xludf.DUMMYFUNCTION("""COMPUTED_VALUE"""),"Managing Director at Torrent Pharma")</f>
        <v>Managing Director at Torrent Pharma</v>
      </c>
      <c r="D2507" s="27" t="str">
        <f>IFERROR(__xludf.DUMMYFUNCTION("""COMPUTED_VALUE"""),"https://www.linkedin.com/in/aman-mehta-25170960/")</f>
        <v>https://www.linkedin.com/in/aman-mehta-25170960/</v>
      </c>
      <c r="E2507" s="17" t="str">
        <f>IFERROR(__xludf.DUMMYFUNCTION("""COMPUTED_VALUE"""),"919925044440")</f>
        <v>919925044440</v>
      </c>
      <c r="F2507" s="17" t="str">
        <f>IFERROR(__xludf.DUMMYFUNCTION("""COMPUTED_VALUE"""),"amanmehta91@gmail.com")</f>
        <v>amanmehta91@gmail.com</v>
      </c>
      <c r="G2507" s="17" t="str">
        <f>IFERROR(__xludf.DUMMYFUNCTION("""COMPUTED_VALUE"""),"amanmehta@torrentpharma.com")</f>
        <v>amanmehta@torrentpharma.com</v>
      </c>
      <c r="H2507" s="17"/>
    </row>
    <row r="2508">
      <c r="A2508" s="17" t="str">
        <f>IFERROR(__xludf.DUMMYFUNCTION("""COMPUTED_VALUE"""),"134. Glenmark Pharmaceuticals")</f>
        <v>134. Glenmark Pharmaceuticals</v>
      </c>
      <c r="B2508" s="17" t="str">
        <f>IFERROR(__xludf.DUMMYFUNCTION("""COMPUTED_VALUE"""),"Parimol Balsaraf")</f>
        <v>Parimol Balsaraf</v>
      </c>
      <c r="C2508" s="17" t="str">
        <f>IFERROR(__xludf.DUMMYFUNCTION("""COMPUTED_VALUE"""),"Head of Marketing at Glenmark Pharmaceuticals")</f>
        <v>Head of Marketing at Glenmark Pharmaceuticals</v>
      </c>
      <c r="D2508" s="27" t="str">
        <f>IFERROR(__xludf.DUMMYFUNCTION("""COMPUTED_VALUE"""),"https://www.linkedin.com/in/parimol-balsaraf-47277321/")</f>
        <v>https://www.linkedin.com/in/parimol-balsaraf-47277321/</v>
      </c>
      <c r="E2508" s="17"/>
      <c r="F2508" s="17" t="str">
        <f>IFERROR(__xludf.DUMMYFUNCTION("""COMPUTED_VALUE"""),"parimol.balsaraf@glenmarkpharma.com")</f>
        <v>parimol.balsaraf@glenmarkpharma.com</v>
      </c>
      <c r="G2508" s="17" t="str">
        <f>IFERROR(__xludf.DUMMYFUNCTION("""COMPUTED_VALUE"""),"parimol.balsaraf@sunpharma.com")</f>
        <v>parimol.balsaraf@sunpharma.com</v>
      </c>
      <c r="H2508" s="17"/>
    </row>
    <row r="2509">
      <c r="A2509" s="17" t="str">
        <f>IFERROR(__xludf.DUMMYFUNCTION("""COMPUTED_VALUE"""),"135. Zydus Lifesciences")</f>
        <v>135. Zydus Lifesciences</v>
      </c>
      <c r="B2509" s="17" t="str">
        <f>IFERROR(__xludf.DUMMYFUNCTION("""COMPUTED_VALUE"""),"Snehit Ashok Joshi")</f>
        <v>Snehit Ashok Joshi</v>
      </c>
      <c r="C2509" s="17" t="str">
        <f>IFERROR(__xludf.DUMMYFUNCTION("""COMPUTED_VALUE"""),"Dy General Manager - Zydus Lifesciences -Vaccines &amp; Biologics")</f>
        <v>Dy General Manager - Zydus Lifesciences -Vaccines &amp; Biologics</v>
      </c>
      <c r="D2509" s="27" t="str">
        <f>IFERROR(__xludf.DUMMYFUNCTION("""COMPUTED_VALUE"""),"https://www.linkedin.com/in/snehit-ashok-joshi-1ba0875b/")</f>
        <v>https://www.linkedin.com/in/snehit-ashok-joshi-1ba0875b/</v>
      </c>
      <c r="E2509" s="17"/>
      <c r="F2509" s="17" t="str">
        <f>IFERROR(__xludf.DUMMYFUNCTION("""COMPUTED_VALUE"""),"snehitjoshi@gmail.com")</f>
        <v>snehitjoshi@gmail.com</v>
      </c>
      <c r="G2509" s="17" t="str">
        <f>IFERROR(__xludf.DUMMYFUNCTION("""COMPUTED_VALUE"""),"snehit.joshi@zyduslife.com")</f>
        <v>snehit.joshi@zyduslife.com</v>
      </c>
      <c r="H2509" s="17"/>
    </row>
    <row r="2510">
      <c r="A2510" s="17" t="str">
        <f>IFERROR(__xludf.DUMMYFUNCTION("""COMPUTED_VALUE"""),"136. Alkem Laboratories")</f>
        <v>136. Alkem Laboratories</v>
      </c>
      <c r="B2510" s="17" t="str">
        <f>IFERROR(__xludf.DUMMYFUNCTION("""COMPUTED_VALUE"""),"Nishant Kumar")</f>
        <v>Nishant Kumar</v>
      </c>
      <c r="C2510" s="17" t="str">
        <f>IFERROR(__xludf.DUMMYFUNCTION("""COMPUTED_VALUE"""),"AGM - Marketing Head at Alkem Laboratories Ltd.")</f>
        <v>AGM - Marketing Head at Alkem Laboratories Ltd.</v>
      </c>
      <c r="D2510" s="27" t="str">
        <f>IFERROR(__xludf.DUMMYFUNCTION("""COMPUTED_VALUE"""),"http://linkedin.com/in/nishant-kumar-99240b3a/")</f>
        <v>http://linkedin.com/in/nishant-kumar-99240b3a/</v>
      </c>
      <c r="E2510" s="17"/>
      <c r="F2510" s="17" t="str">
        <f>IFERROR(__xludf.DUMMYFUNCTION("""COMPUTED_VALUE"""),"nishant.ishan@gmail.com")</f>
        <v>nishant.ishan@gmail.com</v>
      </c>
      <c r="G2510" s="17"/>
      <c r="H2510" s="17"/>
    </row>
    <row r="2511">
      <c r="A2511" s="17" t="str">
        <f>IFERROR(__xludf.DUMMYFUNCTION("""COMPUTED_VALUE"""),"137. Jubilant Pharmova (Jubilant Life Sciences)")</f>
        <v>137. Jubilant Pharmova (Jubilant Life Sciences)</v>
      </c>
      <c r="B2511" s="17"/>
      <c r="C2511" s="17"/>
      <c r="D2511" s="17"/>
      <c r="E2511" s="17"/>
      <c r="F2511" s="17"/>
      <c r="G2511" s="17"/>
      <c r="H2511" s="17"/>
    </row>
    <row r="2512">
      <c r="A2512" s="17" t="str">
        <f>IFERROR(__xludf.DUMMYFUNCTION("""COMPUTED_VALUE"""),"138. Natco Pharma")</f>
        <v>138. Natco Pharma</v>
      </c>
      <c r="B2512" s="17"/>
      <c r="C2512" s="17"/>
      <c r="D2512" s="17"/>
      <c r="E2512" s="17"/>
      <c r="F2512" s="17"/>
      <c r="G2512" s="17"/>
      <c r="H2512" s="17"/>
    </row>
    <row r="2513">
      <c r="A2513" s="17" t="str">
        <f>IFERROR(__xludf.DUMMYFUNCTION("""COMPUTED_VALUE"""),"139. Ajanta Pharma")</f>
        <v>139. Ajanta Pharma</v>
      </c>
      <c r="B2513" s="17"/>
      <c r="C2513" s="17"/>
      <c r="D2513" s="17"/>
      <c r="E2513" s="17"/>
      <c r="F2513" s="17"/>
      <c r="G2513" s="17"/>
      <c r="H2513" s="17"/>
    </row>
    <row r="2514">
      <c r="A2514" s="17" t="str">
        <f>IFERROR(__xludf.DUMMYFUNCTION("""COMPUTED_VALUE"""),"140. Cadila Pharmaceuticals")</f>
        <v>140. Cadila Pharmaceuticals</v>
      </c>
      <c r="B2514" s="17"/>
      <c r="C2514" s="17"/>
      <c r="D2514" s="17"/>
      <c r="E2514" s="17"/>
      <c r="F2514" s="17"/>
      <c r="G2514" s="17"/>
      <c r="H2514" s="17"/>
    </row>
    <row r="2515">
      <c r="A2515" s="17" t="str">
        <f>IFERROR(__xludf.DUMMYFUNCTION("""COMPUTED_VALUE"""),"141. Serum Institute of India")</f>
        <v>141. Serum Institute of India</v>
      </c>
      <c r="B2515" s="17"/>
      <c r="C2515" s="17"/>
      <c r="D2515" s="17"/>
      <c r="E2515" s="17"/>
      <c r="F2515" s="17"/>
      <c r="G2515" s="17"/>
      <c r="H2515" s="17"/>
    </row>
    <row r="2516">
      <c r="A2516" s="17" t="str">
        <f>IFERROR(__xludf.DUMMYFUNCTION("""COMPUTED_VALUE"""),"142. Bharat Biotech")</f>
        <v>142. Bharat Biotech</v>
      </c>
      <c r="B2516" s="17"/>
      <c r="C2516" s="17"/>
      <c r="D2516" s="17"/>
      <c r="E2516" s="17"/>
      <c r="F2516" s="17"/>
      <c r="G2516" s="17"/>
      <c r="H2516" s="17"/>
    </row>
    <row r="2517">
      <c r="A2517" s="17" t="str">
        <f>IFERROR(__xludf.DUMMYFUNCTION("""COMPUTED_VALUE"""),"143. Wockhardt")</f>
        <v>143. Wockhardt</v>
      </c>
      <c r="B2517" s="17"/>
      <c r="C2517" s="17"/>
      <c r="D2517" s="17"/>
      <c r="E2517" s="17"/>
      <c r="F2517" s="17"/>
      <c r="G2517" s="17"/>
      <c r="H2517" s="17"/>
    </row>
    <row r="2518">
      <c r="A2518" s="17" t="str">
        <f>IFERROR(__xludf.DUMMYFUNCTION("""COMPUTED_VALUE"""),"144. Alembic Pharmaceuticals")</f>
        <v>144. Alembic Pharmaceuticals</v>
      </c>
      <c r="B2518" s="17"/>
      <c r="C2518" s="17"/>
      <c r="D2518" s="17"/>
      <c r="E2518" s="17"/>
      <c r="F2518" s="17"/>
      <c r="G2518" s="17"/>
      <c r="H2518" s="17"/>
    </row>
    <row r="2519">
      <c r="A2519" s="17" t="str">
        <f>IFERROR(__xludf.DUMMYFUNCTION("""COMPUTED_VALUE"""),"145. IPCA Laboratories")</f>
        <v>145. IPCA Laboratories</v>
      </c>
      <c r="B2519" s="17"/>
      <c r="C2519" s="17"/>
      <c r="D2519" s="17"/>
      <c r="E2519" s="17"/>
      <c r="F2519" s="17"/>
      <c r="G2519" s="17"/>
      <c r="H2519" s="17"/>
    </row>
    <row r="2520">
      <c r="A2520" s="17" t="str">
        <f>IFERROR(__xludf.DUMMYFUNCTION("""COMPUTED_VALUE"""),"146. FDC Limited")</f>
        <v>146. FDC Limited</v>
      </c>
      <c r="B2520" s="17"/>
      <c r="C2520" s="17"/>
      <c r="D2520" s="17"/>
      <c r="E2520" s="17"/>
      <c r="F2520" s="17"/>
      <c r="G2520" s="17"/>
      <c r="H2520" s="17"/>
    </row>
    <row r="2521">
      <c r="A2521" s="17" t="str">
        <f>IFERROR(__xludf.DUMMYFUNCTION("""COMPUTED_VALUE"""),"147. Strides Pharma Science")</f>
        <v>147. Strides Pharma Science</v>
      </c>
      <c r="B2521" s="17"/>
      <c r="C2521" s="17"/>
      <c r="D2521" s="17"/>
      <c r="E2521" s="17"/>
      <c r="F2521" s="17"/>
      <c r="G2521" s="17"/>
      <c r="H2521" s="17"/>
    </row>
    <row r="2522">
      <c r="A2522" s="17" t="str">
        <f>IFERROR(__xludf.DUMMYFUNCTION("""COMPUTED_VALUE"""),"148. Dishman Carbogen Amcis Wikipedia")</f>
        <v>148. Dishman Carbogen Amcis Wikipedia</v>
      </c>
      <c r="B2522" s="17"/>
      <c r="C2522" s="17"/>
      <c r="D2522" s="17"/>
      <c r="E2522" s="17"/>
      <c r="F2522" s="17"/>
      <c r="G2522" s="17"/>
      <c r="H2522" s="17"/>
    </row>
    <row r="2523">
      <c r="A2523" s="17" t="str">
        <f>IFERROR(__xludf.DUMMYFUNCTION("""COMPUTED_VALUE"""),"149. Laurus Labs")</f>
        <v>149. Laurus Labs</v>
      </c>
      <c r="B2523" s="17"/>
      <c r="C2523" s="17"/>
      <c r="D2523" s="17"/>
      <c r="E2523" s="17"/>
      <c r="F2523" s="17"/>
      <c r="G2523" s="17"/>
      <c r="H2523" s="17"/>
    </row>
    <row r="2524">
      <c r="A2524" s="17" t="str">
        <f>IFERROR(__xludf.DUMMYFUNCTION("""COMPUTED_VALUE"""),"150. Suven Pharmaceuticals")</f>
        <v>150. Suven Pharmaceuticals</v>
      </c>
      <c r="B2524" s="17"/>
      <c r="C2524" s="17"/>
      <c r="D2524" s="17"/>
      <c r="E2524" s="17"/>
      <c r="F2524" s="17"/>
      <c r="G2524" s="17"/>
      <c r="H2524" s="17"/>
    </row>
    <row r="2525">
      <c r="A2525" s="17" t="str">
        <f>IFERROR(__xludf.DUMMYFUNCTION("""COMPUTED_VALUE"""),"151. Granules India")</f>
        <v>151. Granules India</v>
      </c>
      <c r="B2525" s="17"/>
      <c r="C2525" s="17"/>
      <c r="D2525" s="17"/>
      <c r="E2525" s="17"/>
      <c r="F2525" s="17"/>
      <c r="G2525" s="17"/>
      <c r="H2525" s="17"/>
    </row>
    <row r="2526">
      <c r="A2526" s="17" t="str">
        <f>IFERROR(__xludf.DUMMYFUNCTION("""COMPUTED_VALUE"""),"152. Eris Lifesciences")</f>
        <v>152. Eris Lifesciences</v>
      </c>
      <c r="B2526" s="17"/>
      <c r="C2526" s="17"/>
      <c r="D2526" s="17"/>
      <c r="E2526" s="17"/>
      <c r="F2526" s="17"/>
      <c r="G2526" s="17"/>
      <c r="H2526" s="17"/>
    </row>
    <row r="2527">
      <c r="A2527" s="17" t="str">
        <f>IFERROR(__xludf.DUMMYFUNCTION("""COMPUTED_VALUE"""),"153. Glenmark Life Sciences")</f>
        <v>153. Glenmark Life Sciences</v>
      </c>
      <c r="B2527" s="17"/>
      <c r="C2527" s="17"/>
      <c r="D2527" s="17"/>
      <c r="E2527" s="17"/>
      <c r="F2527" s="17"/>
      <c r="G2527" s="17"/>
      <c r="H2527" s="17"/>
    </row>
    <row r="2528">
      <c r="A2528" s="17" t="str">
        <f>IFERROR(__xludf.DUMMYFUNCTION("""COMPUTED_VALUE"""),"154. Caplin Point Laboratories")</f>
        <v>154. Caplin Point Laboratories</v>
      </c>
      <c r="B2528" s="17"/>
      <c r="C2528" s="17"/>
      <c r="D2528" s="17"/>
      <c r="E2528" s="17"/>
      <c r="F2528" s="17"/>
      <c r="G2528" s="17"/>
      <c r="H2528" s="17"/>
    </row>
    <row r="2529">
      <c r="A2529" s="17" t="str">
        <f>IFERROR(__xludf.DUMMYFUNCTION("""COMPUTED_VALUE"""),"155. Nectar Lifesciences")</f>
        <v>155. Nectar Lifesciences</v>
      </c>
      <c r="B2529" s="17"/>
      <c r="C2529" s="17"/>
      <c r="D2529" s="17"/>
      <c r="E2529" s="17"/>
      <c r="F2529" s="17"/>
      <c r="G2529" s="17"/>
      <c r="H2529" s="17"/>
    </row>
    <row r="2530">
      <c r="A2530" s="17" t="str">
        <f>IFERROR(__xludf.DUMMYFUNCTION("""COMPUTED_VALUE"""),"Metals, Mining, Cement, Chemicals &amp; Materials (30) Screener+2Screener+2")</f>
        <v>Metals, Mining, Cement, Chemicals &amp; Materials (30) Screener+2Screener+2</v>
      </c>
      <c r="B2530" s="17"/>
      <c r="C2530" s="17"/>
      <c r="D2530" s="17"/>
      <c r="E2530" s="17"/>
      <c r="F2530" s="17"/>
      <c r="G2530" s="17"/>
      <c r="H2530" s="17"/>
    </row>
    <row r="2531">
      <c r="A2531" s="17" t="str">
        <f>IFERROR(__xludf.DUMMYFUNCTION("""COMPUTED_VALUE"""),"156. Tata Steel")</f>
        <v>156. Tata Steel</v>
      </c>
      <c r="B2531" s="17" t="str">
        <f>IFERROR(__xludf.DUMMYFUNCTION("""COMPUTED_VALUE"""),"SATYAJIT MAITY")</f>
        <v>SATYAJIT MAITY</v>
      </c>
      <c r="C2531" s="17" t="str">
        <f>IFERROR(__xludf.DUMMYFUNCTION("""COMPUTED_VALUE"""),"Chief Marketing &amp; Sales, Long Products (Retail) , TATA STEEL LTD")</f>
        <v>Chief Marketing &amp; Sales, Long Products (Retail) , TATA STEEL LTD</v>
      </c>
      <c r="D2531" s="27" t="str">
        <f>IFERROR(__xludf.DUMMYFUNCTION("""COMPUTED_VALUE"""),"https://www.linkedin.com/in/satyajit-maity-617980b/")</f>
        <v>https://www.linkedin.com/in/satyajit-maity-617980b/</v>
      </c>
      <c r="E2531" s="17"/>
      <c r="F2531" s="17" t="str">
        <f>IFERROR(__xludf.DUMMYFUNCTION("""COMPUTED_VALUE"""),"maity.satyajit@gmail.com")</f>
        <v>maity.satyajit@gmail.com</v>
      </c>
      <c r="G2531" s="17"/>
      <c r="H2531" s="17"/>
    </row>
    <row r="2532">
      <c r="A2532" s="17" t="str">
        <f>IFERROR(__xludf.DUMMYFUNCTION("""COMPUTED_VALUE"""),"157. JSW Steel")</f>
        <v>157. JSW Steel</v>
      </c>
      <c r="B2532" s="17" t="str">
        <f>IFERROR(__xludf.DUMMYFUNCTION("""COMPUTED_VALUE"""),"Tarun Jha")</f>
        <v>Tarun Jha</v>
      </c>
      <c r="C2532" s="17" t="str">
        <f>IFERROR(__xludf.DUMMYFUNCTION("""COMPUTED_VALUE"""),"Award-winning Marketing, Growth and Revival Strategist. Head - Marketing, JSW Steel. (Previously, CEO - Havas Creative India; CMO - Škoda Auto India; Ex - Mahindra; Ogilvy &amp; Mudra). Views are personal.")</f>
        <v>Award-winning Marketing, Growth and Revival Strategist. Head - Marketing, JSW Steel. (Previously, CEO - Havas Creative India; CMO - Škoda Auto India; Ex - Mahindra; Ogilvy &amp; Mudra). Views are personal.</v>
      </c>
      <c r="D2532" s="27" t="str">
        <f>IFERROR(__xludf.DUMMYFUNCTION("""COMPUTED_VALUE"""),"https://www.linkedin.com/in/tarun-jha-2823161b/")</f>
        <v>https://www.linkedin.com/in/tarun-jha-2823161b/</v>
      </c>
      <c r="E2532" s="17"/>
      <c r="F2532" s="17" t="str">
        <f>IFERROR(__xludf.DUMMYFUNCTION("""COMPUTED_VALUE"""),"tarunjha@yahoo.com")</f>
        <v>tarunjha@yahoo.com</v>
      </c>
      <c r="G2532" s="17"/>
      <c r="H2532" s="17"/>
    </row>
    <row r="2533">
      <c r="A2533" s="17" t="str">
        <f>IFERROR(__xludf.DUMMYFUNCTION("""COMPUTED_VALUE"""),"158. Hindalco Industries")</f>
        <v>158. Hindalco Industries</v>
      </c>
      <c r="B2533" s="17" t="str">
        <f>IFERROR(__xludf.DUMMYFUNCTION("""COMPUTED_VALUE"""),"Devotosh Kumar Das")</f>
        <v>Devotosh Kumar Das</v>
      </c>
      <c r="C2533" s="17" t="str">
        <f>IFERROR(__xludf.DUMMYFUNCTION("""COMPUTED_VALUE"""),"Ex - Chief Marketing Officer - Hindalco")</f>
        <v>Ex - Chief Marketing Officer - Hindalco</v>
      </c>
      <c r="D2533" s="27" t="str">
        <f>IFERROR(__xludf.DUMMYFUNCTION("""COMPUTED_VALUE"""),"https://www.linkedin.com/in/devotosh-kumar-das/")</f>
        <v>https://www.linkedin.com/in/devotosh-kumar-das/</v>
      </c>
      <c r="E2533" s="17"/>
      <c r="F2533" s="17" t="str">
        <f>IFERROR(__xludf.DUMMYFUNCTION("""COMPUTED_VALUE"""),"devotosh@rediffmail.com")</f>
        <v>devotosh@rediffmail.com</v>
      </c>
      <c r="G2533" s="17"/>
      <c r="H2533" s="17"/>
    </row>
    <row r="2534">
      <c r="A2534" s="17" t="str">
        <f>IFERROR(__xludf.DUMMYFUNCTION("""COMPUTED_VALUE"""),"159. Vedanta Limited")</f>
        <v>159. Vedanta Limited</v>
      </c>
      <c r="B2534" s="17"/>
      <c r="C2534" s="17"/>
      <c r="D2534" s="17"/>
      <c r="E2534" s="17"/>
      <c r="F2534" s="17"/>
      <c r="G2534" s="17"/>
      <c r="H2534" s="17"/>
    </row>
    <row r="2535">
      <c r="A2535" s="17" t="str">
        <f>IFERROR(__xludf.DUMMYFUNCTION("""COMPUTED_VALUE"""),"160. NMDC")</f>
        <v>160. NMDC</v>
      </c>
      <c r="B2535" s="17"/>
      <c r="C2535" s="17"/>
      <c r="D2535" s="17"/>
      <c r="E2535" s="17"/>
      <c r="F2535" s="17"/>
      <c r="G2535" s="17"/>
      <c r="H2535" s="17"/>
    </row>
    <row r="2536">
      <c r="A2536" s="17" t="str">
        <f>IFERROR(__xludf.DUMMYFUNCTION("""COMPUTED_VALUE"""),"161. Steel Authority of India (SAIL)")</f>
        <v>161. Steel Authority of India (SAIL)</v>
      </c>
      <c r="B2536" s="17"/>
      <c r="C2536" s="17"/>
      <c r="D2536" s="17"/>
      <c r="E2536" s="17"/>
      <c r="F2536" s="17"/>
      <c r="G2536" s="17"/>
      <c r="H2536" s="17"/>
    </row>
    <row r="2537">
      <c r="A2537" s="17" t="str">
        <f>IFERROR(__xludf.DUMMYFUNCTION("""COMPUTED_VALUE"""),"162. Jindal Steel &amp; Power")</f>
        <v>162. Jindal Steel &amp; Power</v>
      </c>
      <c r="B2537" s="17"/>
      <c r="C2537" s="17"/>
      <c r="D2537" s="17"/>
      <c r="E2537" s="17"/>
      <c r="F2537" s="17"/>
      <c r="G2537" s="17"/>
      <c r="H2537" s="17"/>
    </row>
    <row r="2538">
      <c r="A2538" s="17" t="str">
        <f>IFERROR(__xludf.DUMMYFUNCTION("""COMPUTED_VALUE"""),"163. National Aluminium Company (NALCO)")</f>
        <v>163. National Aluminium Company (NALCO)</v>
      </c>
      <c r="B2538" s="17"/>
      <c r="C2538" s="17"/>
      <c r="D2538" s="17"/>
      <c r="E2538" s="17"/>
      <c r="F2538" s="17"/>
      <c r="G2538" s="17"/>
      <c r="H2538" s="17"/>
    </row>
    <row r="2539">
      <c r="A2539" s="17" t="str">
        <f>IFERROR(__xludf.DUMMYFUNCTION("""COMPUTED_VALUE"""),"164. Coal India")</f>
        <v>164. Coal India</v>
      </c>
      <c r="B2539" s="17"/>
      <c r="C2539" s="17"/>
      <c r="D2539" s="17"/>
      <c r="E2539" s="17"/>
      <c r="F2539" s="17"/>
      <c r="G2539" s="17"/>
      <c r="H2539" s="17"/>
    </row>
    <row r="2540">
      <c r="A2540" s="17" t="str">
        <f>IFERROR(__xludf.DUMMYFUNCTION("""COMPUTED_VALUE"""),"165. NLC India (Neyveli Lignite)")</f>
        <v>165. NLC India (Neyveli Lignite)</v>
      </c>
      <c r="B2540" s="17"/>
      <c r="C2540" s="17"/>
      <c r="D2540" s="17"/>
      <c r="E2540" s="17"/>
      <c r="F2540" s="17"/>
      <c r="G2540" s="17"/>
      <c r="H2540" s="17"/>
    </row>
    <row r="2541">
      <c r="A2541" s="17" t="str">
        <f>IFERROR(__xludf.DUMMYFUNCTION("""COMPUTED_VALUE"""),"167. Shree Cement")</f>
        <v>167. Shree Cement</v>
      </c>
      <c r="B2541" s="17"/>
      <c r="C2541" s="17"/>
      <c r="D2541" s="17"/>
      <c r="E2541" s="17"/>
      <c r="F2541" s="17"/>
      <c r="G2541" s="17"/>
      <c r="H2541" s="17"/>
    </row>
    <row r="2542">
      <c r="A2542" s="17" t="str">
        <f>IFERROR(__xludf.DUMMYFUNCTION("""COMPUTED_VALUE"""),"168. Dalmia Bharat")</f>
        <v>168. Dalmia Bharat</v>
      </c>
      <c r="B2542" s="17"/>
      <c r="C2542" s="17"/>
      <c r="D2542" s="17"/>
      <c r="E2542" s="17"/>
      <c r="F2542" s="17"/>
      <c r="G2542" s="17"/>
      <c r="H2542" s="17"/>
    </row>
    <row r="2543">
      <c r="A2543" s="17" t="str">
        <f>IFERROR(__xludf.DUMMYFUNCTION("""COMPUTED_VALUE"""),"169. ACC Limited")</f>
        <v>169. ACC Limited</v>
      </c>
      <c r="B2543" s="17"/>
      <c r="C2543" s="17"/>
      <c r="D2543" s="17"/>
      <c r="E2543" s="17"/>
      <c r="F2543" s="17"/>
      <c r="G2543" s="17"/>
      <c r="H2543" s="17"/>
    </row>
    <row r="2544">
      <c r="A2544" s="17" t="str">
        <f>IFERROR(__xludf.DUMMYFUNCTION("""COMPUTED_VALUE"""),"166. UltraTech Cement")</f>
        <v>166. UltraTech Cement</v>
      </c>
      <c r="B2544" s="17" t="str">
        <f>IFERROR(__xludf.DUMMYFUNCTION("""COMPUTED_VALUE"""),"Ajay Dang")</f>
        <v>Ajay Dang</v>
      </c>
      <c r="C2544" s="17" t="str">
        <f>IFERROR(__xludf.DUMMYFUNCTION("""COMPUTED_VALUE"""),"Head - Marketing")</f>
        <v>Head - Marketing</v>
      </c>
      <c r="D2544" s="27" t="str">
        <f>IFERROR(__xludf.DUMMYFUNCTION("""COMPUTED_VALUE"""),"https://www.linkedin.com/in/ajaymdang/?originalSubdomain=in")</f>
        <v>https://www.linkedin.com/in/ajaymdang/?originalSubdomain=in</v>
      </c>
      <c r="E2544" s="17"/>
      <c r="F2544" s="17" t="str">
        <f>IFERROR(__xludf.DUMMYFUNCTION("""COMPUTED_VALUE"""),"ajay.dang@adityabirla.com")</f>
        <v>ajay.dang@adityabirla.com</v>
      </c>
      <c r="G2544" s="17"/>
      <c r="H2544" s="17"/>
    </row>
    <row r="2545">
      <c r="A2545" s="17" t="str">
        <f>IFERROR(__xludf.DUMMYFUNCTION("""COMPUTED_VALUE"""),"172. JK Cement")</f>
        <v>172. JK Cement</v>
      </c>
      <c r="B2545" s="17" t="str">
        <f>IFERROR(__xludf.DUMMYFUNCTION("""COMPUTED_VALUE"""),"Pushp Raj Singh")</f>
        <v>Pushp Raj Singh</v>
      </c>
      <c r="C2545" s="17" t="str">
        <f>IFERROR(__xludf.DUMMYFUNCTION("""COMPUTED_VALUE"""),"Group President - Marketing at JK Cement Ltd.")</f>
        <v>Group President - Marketing at JK Cement Ltd.</v>
      </c>
      <c r="D2545" s="27" t="str">
        <f>IFERROR(__xludf.DUMMYFUNCTION("""COMPUTED_VALUE"""),"https://www.linkedin.com/in/pushp-raj-singh-4103a013/")</f>
        <v>https://www.linkedin.com/in/pushp-raj-singh-4103a013/</v>
      </c>
      <c r="E2545" s="17"/>
      <c r="F2545" s="17" t="str">
        <f>IFERROR(__xludf.DUMMYFUNCTION("""COMPUTED_VALUE"""),"prsingh16@gmail.com")</f>
        <v>prsingh16@gmail.com</v>
      </c>
      <c r="G2545" s="17"/>
      <c r="H2545" s="17"/>
    </row>
    <row r="2546">
      <c r="A2546" s="17" t="str">
        <f>IFERROR(__xludf.DUMMYFUNCTION("""COMPUTED_VALUE"""),"173. India Cements")</f>
        <v>173. India Cements</v>
      </c>
      <c r="B2546" s="17" t="str">
        <f>IFERROR(__xludf.DUMMYFUNCTION("""COMPUTED_VALUE"""),"Parthasarathy Ramanujam")</f>
        <v>Parthasarathy Ramanujam</v>
      </c>
      <c r="C2546" s="17" t="str">
        <f>IFERROR(__xludf.DUMMYFUNCTION("""COMPUTED_VALUE"""),"President/CMO")</f>
        <v>President/CMO</v>
      </c>
      <c r="D2546" s="27" t="str">
        <f>IFERROR(__xludf.DUMMYFUNCTION("""COMPUTED_VALUE"""),"https://www.linkedin.com/in/parthasarathy-ramanujam-7b814349/")</f>
        <v>https://www.linkedin.com/in/parthasarathy-ramanujam-7b814349/</v>
      </c>
      <c r="E2546" s="17"/>
      <c r="F2546" s="17" t="str">
        <f>IFERROR(__xludf.DUMMYFUNCTION("""COMPUTED_VALUE"""),"rajpartha1974@gmail.com")</f>
        <v>rajpartha1974@gmail.com</v>
      </c>
      <c r="G2546" s="17" t="str">
        <f>IFERROR(__xludf.DUMMYFUNCTION("""COMPUTED_VALUE"""),"parthasarathy.r@in.roca.com")</f>
        <v>parthasarathy.r@in.roca.com</v>
      </c>
      <c r="H2546" s="17"/>
    </row>
    <row r="2547">
      <c r="A2547" s="17" t="str">
        <f>IFERROR(__xludf.DUMMYFUNCTION("""COMPUTED_VALUE"""),"174. Grasim Industries")</f>
        <v>174. Grasim Industries</v>
      </c>
      <c r="B2547" s="17" t="str">
        <f>IFERROR(__xludf.DUMMYFUNCTION("""COMPUTED_VALUE"""),"Shailendra Deshpande")</f>
        <v>Shailendra Deshpande</v>
      </c>
      <c r="C2547" s="17" t="str">
        <f>IFERROR(__xludf.DUMMYFUNCTION("""COMPUTED_VALUE"""),"Chief Marketing Officer and Joint President at Grasim Industries Limited : Chemicals Division")</f>
        <v>Chief Marketing Officer and Joint President at Grasim Industries Limited : Chemicals Division</v>
      </c>
      <c r="D2547" s="27" t="str">
        <f>IFERROR(__xludf.DUMMYFUNCTION("""COMPUTED_VALUE"""),"https://www.linkedin.com/in/shailendra-deshpande-8447517/")</f>
        <v>https://www.linkedin.com/in/shailendra-deshpande-8447517/</v>
      </c>
      <c r="E2547" s="17"/>
      <c r="F2547" s="17" t="str">
        <f>IFERROR(__xludf.DUMMYFUNCTION("""COMPUTED_VALUE"""),"anusanu23@yahoo.co.in")</f>
        <v>anusanu23@yahoo.co.in</v>
      </c>
      <c r="G2547" s="17"/>
      <c r="H2547" s="17"/>
    </row>
    <row r="2548">
      <c r="A2548" s="17" t="str">
        <f>IFERROR(__xludf.DUMMYFUNCTION("""COMPUTED_VALUE"""),"175. UPL Limited")</f>
        <v>175. UPL Limited</v>
      </c>
      <c r="B2548" s="17" t="str">
        <f>IFERROR(__xludf.DUMMYFUNCTION("""COMPUTED_VALUE"""),"Jagdish Nainwal")</f>
        <v>Jagdish Nainwal</v>
      </c>
      <c r="C2548" s="17" t="str">
        <f>IFERROR(__xludf.DUMMYFUNCTION("""COMPUTED_VALUE"""),"Global Chief Marketing officer for UPL&amp; Head of global NPP business unit for UPL, Harvard Business School Alumni , Founder President &amp; Board Member for India Mexico Trade and Commerce council (INDMEX)")</f>
        <v>Global Chief Marketing officer for UPL&amp; Head of global NPP business unit for UPL, Harvard Business School Alumni , Founder President &amp; Board Member for India Mexico Trade and Commerce council (INDMEX)</v>
      </c>
      <c r="D2548" s="27" t="str">
        <f>IFERROR(__xludf.DUMMYFUNCTION("""COMPUTED_VALUE"""),"https://www.linkedin.com/in/jagdish-nainwal-48382815/")</f>
        <v>https://www.linkedin.com/in/jagdish-nainwal-48382815/</v>
      </c>
      <c r="E2548" s="17"/>
      <c r="F2548" s="17" t="str">
        <f>IFERROR(__xludf.DUMMYFUNCTION("""COMPUTED_VALUE"""),"nain_wal@rediffmail.com")</f>
        <v>nain_wal@rediffmail.com</v>
      </c>
      <c r="G2548" s="17"/>
      <c r="H2548" s="17"/>
    </row>
    <row r="2549">
      <c r="A2549" s="17" t="str">
        <f>IFERROR(__xludf.DUMMYFUNCTION("""COMPUTED_VALUE"""),"176. Pidilite Industries")</f>
        <v>176. Pidilite Industries</v>
      </c>
      <c r="B2549" s="17" t="str">
        <f>IFERROR(__xludf.DUMMYFUNCTION("""COMPUTED_VALUE"""),"Sandeep tanwani")</f>
        <v>Sandeep tanwani</v>
      </c>
      <c r="C2549" s="17" t="str">
        <f>IFERROR(__xludf.DUMMYFUNCTION("""COMPUTED_VALUE"""),"CMO")</f>
        <v>CMO</v>
      </c>
      <c r="D2549" s="27" t="str">
        <f>IFERROR(__xludf.DUMMYFUNCTION("""COMPUTED_VALUE"""),"https://www.linkedin.com/in/sandeep-tanwani-771797/?originalSubdomain=in")</f>
        <v>https://www.linkedin.com/in/sandeep-tanwani-771797/?originalSubdomain=in</v>
      </c>
      <c r="E2549" s="17"/>
      <c r="F2549" s="17" t="str">
        <f>IFERROR(__xludf.DUMMYFUNCTION("""COMPUTED_VALUE"""),"sandeep.tanwani@pidilite.com")</f>
        <v>sandeep.tanwani@pidilite.com</v>
      </c>
      <c r="G2549" s="17"/>
      <c r="H2549" s="17"/>
    </row>
    <row r="2550">
      <c r="A2550" s="17" t="str">
        <f>IFERROR(__xludf.DUMMYFUNCTION("""COMPUTED_VALUE"""),"177. Asian Paints")</f>
        <v>177. Asian Paints</v>
      </c>
      <c r="B2550" s="17" t="str">
        <f>IFERROR(__xludf.DUMMYFUNCTION("""COMPUTED_VALUE"""),"Nitin Kore")</f>
        <v>Nitin Kore</v>
      </c>
      <c r="C2550" s="17" t="str">
        <f>IFERROR(__xludf.DUMMYFUNCTION("""COMPUTED_VALUE"""),"Project Coordinator| Delivering High Impact client’s projects on time”")</f>
        <v>Project Coordinator| Delivering High Impact client’s projects on time”</v>
      </c>
      <c r="D2550" s="27" t="str">
        <f>IFERROR(__xludf.DUMMYFUNCTION("""COMPUTED_VALUE"""),"http://linkedin.com/in/nitin-kore-b30214338/")</f>
        <v>http://linkedin.com/in/nitin-kore-b30214338/</v>
      </c>
      <c r="E2550" s="17"/>
      <c r="F2550" s="17"/>
      <c r="G2550" s="17"/>
      <c r="H2550" s="17"/>
    </row>
    <row r="2551">
      <c r="A2551" s="17" t="str">
        <f>IFERROR(__xludf.DUMMYFUNCTION("""COMPUTED_VALUE"""),"178. Berger Paints India")</f>
        <v>178. Berger Paints India</v>
      </c>
      <c r="B2551" s="17" t="str">
        <f>IFERROR(__xludf.DUMMYFUNCTION("""COMPUTED_VALUE"""),"Abhimanyu Roy")</f>
        <v>Abhimanyu Roy</v>
      </c>
      <c r="C2551" s="17" t="str">
        <f>IFERROR(__xludf.DUMMYFUNCTION("""COMPUTED_VALUE"""),"Chief Marketing Manager at Berger Paint India Limited | Ex Pidilite Industries Ltd | Ex Lavazza Inc.")</f>
        <v>Chief Marketing Manager at Berger Paint India Limited | Ex Pidilite Industries Ltd | Ex Lavazza Inc.</v>
      </c>
      <c r="D2551" s="27" t="str">
        <f>IFERROR(__xludf.DUMMYFUNCTION("""COMPUTED_VALUE"""),"https://www.linkedin.com/in/abhimanyu-roy-5983b914/")</f>
        <v>https://www.linkedin.com/in/abhimanyu-roy-5983b914/</v>
      </c>
      <c r="E2551" s="17"/>
      <c r="F2551" s="17"/>
      <c r="G2551" s="17"/>
      <c r="H2551" s="17"/>
    </row>
    <row r="2552">
      <c r="A2552" s="17" t="str">
        <f>IFERROR(__xludf.DUMMYFUNCTION("""COMPUTED_VALUE"""),"179. Kansai Nerolac Paints")</f>
        <v>179. Kansai Nerolac Paints</v>
      </c>
      <c r="B2552" s="17"/>
      <c r="C2552" s="17"/>
      <c r="D2552" s="17"/>
      <c r="E2552" s="17"/>
      <c r="F2552" s="17"/>
      <c r="G2552" s="17"/>
      <c r="H2552" s="17"/>
    </row>
    <row r="2553">
      <c r="A2553" s="17" t="str">
        <f>IFERROR(__xludf.DUMMYFUNCTION("""COMPUTED_VALUE"""),"180. SRF Limited")</f>
        <v>180. SRF Limited</v>
      </c>
      <c r="B2553" s="17"/>
      <c r="C2553" s="17"/>
      <c r="D2553" s="17"/>
      <c r="E2553" s="17"/>
      <c r="F2553" s="17"/>
      <c r="G2553" s="17"/>
      <c r="H2553" s="17"/>
    </row>
    <row r="2554">
      <c r="A2554" s="17" t="str">
        <f>IFERROR(__xludf.DUMMYFUNCTION("""COMPUTED_VALUE"""),"181. Aarti Industries")</f>
        <v>181. Aarti Industries</v>
      </c>
      <c r="B2554" s="17"/>
      <c r="C2554" s="17"/>
      <c r="D2554" s="17"/>
      <c r="E2554" s="17"/>
      <c r="F2554" s="17"/>
      <c r="G2554" s="17"/>
      <c r="H2554" s="17"/>
    </row>
    <row r="2555">
      <c r="A2555" s="17" t="str">
        <f>IFERROR(__xludf.DUMMYFUNCTION("""COMPUTED_VALUE"""),"182. Deepak Nitrite")</f>
        <v>182. Deepak Nitrite</v>
      </c>
      <c r="B2555" s="17"/>
      <c r="C2555" s="17"/>
      <c r="D2555" s="17"/>
      <c r="E2555" s="17"/>
      <c r="F2555" s="17"/>
      <c r="G2555" s="17"/>
      <c r="H2555" s="17"/>
    </row>
    <row r="2556">
      <c r="A2556" s="17" t="str">
        <f>IFERROR(__xludf.DUMMYFUNCTION("""COMPUTED_VALUE"""),"183. Atul Ltd")</f>
        <v>183. Atul Ltd</v>
      </c>
      <c r="B2556" s="17"/>
      <c r="C2556" s="17"/>
      <c r="D2556" s="17"/>
      <c r="E2556" s="17"/>
      <c r="F2556" s="17"/>
      <c r="G2556" s="17"/>
      <c r="H2556" s="17"/>
    </row>
    <row r="2557">
      <c r="A2557" s="17" t="str">
        <f>IFERROR(__xludf.DUMMYFUNCTION("""COMPUTED_VALUE"""),"184. GHCL")</f>
        <v>184. GHCL</v>
      </c>
      <c r="B2557" s="17"/>
      <c r="C2557" s="17"/>
      <c r="D2557" s="17"/>
      <c r="E2557" s="17"/>
      <c r="F2557" s="17"/>
      <c r="G2557" s="17"/>
      <c r="H2557" s="17"/>
    </row>
    <row r="2558">
      <c r="A2558" s="17" t="str">
        <f>IFERROR(__xludf.DUMMYFUNCTION("""COMPUTED_VALUE"""),"185. Gujarat Fluorochemicals")</f>
        <v>185. Gujarat Fluorochemicals</v>
      </c>
      <c r="B2558" s="17"/>
      <c r="C2558" s="17"/>
      <c r="D2558" s="17"/>
      <c r="E2558" s="17"/>
      <c r="F2558" s="17"/>
      <c r="G2558" s="17"/>
      <c r="H2558" s="17"/>
    </row>
    <row r="2559">
      <c r="A2559" s="17" t="str">
        <f>IFERROR(__xludf.DUMMYFUNCTION("""COMPUTED_VALUE"""),"Power, Energy, Logistics, Infra, Retail, Hospitality &amp; Misc (15) Companies Market Cap+1")</f>
        <v>Power, Energy, Logistics, Infra, Retail, Hospitality &amp; Misc (15) Companies Market Cap+1</v>
      </c>
      <c r="B2559" s="17"/>
      <c r="C2559" s="17"/>
      <c r="D2559" s="17"/>
      <c r="E2559" s="17"/>
      <c r="F2559" s="17"/>
      <c r="G2559" s="17"/>
      <c r="H2559" s="17"/>
    </row>
    <row r="2560">
      <c r="A2560" s="17" t="str">
        <f>IFERROR(__xludf.DUMMYFUNCTION("""COMPUTED_VALUE"""),"186. NTPC Limited")</f>
        <v>186. NTPC Limited</v>
      </c>
      <c r="B2560" s="17"/>
      <c r="C2560" s="17"/>
      <c r="D2560" s="17"/>
      <c r="E2560" s="17"/>
      <c r="F2560" s="17"/>
      <c r="G2560" s="17"/>
      <c r="H2560" s="17"/>
    </row>
    <row r="2561">
      <c r="A2561" s="17" t="str">
        <f>IFERROR(__xludf.DUMMYFUNCTION("""COMPUTED_VALUE"""),"187. Power Grid Corporation of India")</f>
        <v>187. Power Grid Corporation of India</v>
      </c>
      <c r="B2561" s="17"/>
      <c r="C2561" s="17"/>
      <c r="D2561" s="17"/>
      <c r="E2561" s="17"/>
      <c r="F2561" s="17"/>
      <c r="G2561" s="17"/>
      <c r="H2561" s="17"/>
    </row>
    <row r="2562">
      <c r="A2562" s="17" t="str">
        <f>IFERROR(__xludf.DUMMYFUNCTION("""COMPUTED_VALUE"""),"188. GAIL India")</f>
        <v>188. GAIL India</v>
      </c>
      <c r="B2562" s="17"/>
      <c r="C2562" s="17"/>
      <c r="D2562" s="17"/>
      <c r="E2562" s="17"/>
      <c r="F2562" s="17"/>
      <c r="G2562" s="17"/>
      <c r="H2562" s="17"/>
    </row>
    <row r="2563">
      <c r="A2563" s="17" t="str">
        <f>IFERROR(__xludf.DUMMYFUNCTION("""COMPUTED_VALUE"""),"189. Oil and Natural Gas Corporation (ONGC)")</f>
        <v>189. Oil and Natural Gas Corporation (ONGC)</v>
      </c>
      <c r="B2563" s="17"/>
      <c r="C2563" s="17"/>
      <c r="D2563" s="17"/>
      <c r="E2563" s="17"/>
      <c r="F2563" s="17"/>
      <c r="G2563" s="17"/>
      <c r="H2563" s="17"/>
    </row>
    <row r="2564">
      <c r="A2564" s="17" t="str">
        <f>IFERROR(__xludf.DUMMYFUNCTION("""COMPUTED_VALUE"""),"190. Indian Oil Corporation")</f>
        <v>190. Indian Oil Corporation</v>
      </c>
      <c r="B2564" s="17"/>
      <c r="C2564" s="17"/>
      <c r="D2564" s="17"/>
      <c r="E2564" s="17"/>
      <c r="F2564" s="17"/>
      <c r="G2564" s="17"/>
      <c r="H2564" s="17"/>
    </row>
    <row r="2565">
      <c r="A2565" s="17" t="str">
        <f>IFERROR(__xludf.DUMMYFUNCTION("""COMPUTED_VALUE"""),"191. Bharat Petroleum Corporation (BPCL)")</f>
        <v>191. Bharat Petroleum Corporation (BPCL)</v>
      </c>
      <c r="B2565" s="17"/>
      <c r="C2565" s="17"/>
      <c r="D2565" s="17"/>
      <c r="E2565" s="17"/>
      <c r="F2565" s="17"/>
      <c r="G2565" s="17"/>
      <c r="H2565" s="17"/>
    </row>
    <row r="2566">
      <c r="A2566" s="17" t="str">
        <f>IFERROR(__xludf.DUMMYFUNCTION("""COMPUTED_VALUE"""),"192. Hindustan Petroleum Corporation (HPCL)")</f>
        <v>192. Hindustan Petroleum Corporation (HPCL)</v>
      </c>
      <c r="B2566" s="17"/>
      <c r="C2566" s="17"/>
      <c r="D2566" s="17"/>
      <c r="E2566" s="17"/>
      <c r="F2566" s="17"/>
      <c r="G2566" s="17"/>
      <c r="H2566" s="17"/>
    </row>
    <row r="2567">
      <c r="A2567" s="17" t="str">
        <f>IFERROR(__xludf.DUMMYFUNCTION("""COMPUTED_VALUE"""),"193. Torrent Power")</f>
        <v>193. Torrent Power</v>
      </c>
      <c r="B2567" s="17"/>
      <c r="C2567" s="17"/>
      <c r="D2567" s="17"/>
      <c r="E2567" s="17"/>
      <c r="F2567" s="17"/>
      <c r="G2567" s="17"/>
      <c r="H2567" s="17"/>
    </row>
    <row r="2568">
      <c r="A2568" s="17" t="str">
        <f>IFERROR(__xludf.DUMMYFUNCTION("""COMPUTED_VALUE"""),"194. Adani Green Energy")</f>
        <v>194. Adani Green Energy</v>
      </c>
      <c r="B2568" s="17"/>
      <c r="C2568" s="17"/>
      <c r="D2568" s="17"/>
      <c r="E2568" s="17"/>
      <c r="F2568" s="17"/>
      <c r="G2568" s="17"/>
      <c r="H2568" s="17"/>
    </row>
    <row r="2569">
      <c r="A2569" s="17" t="str">
        <f>IFERROR(__xludf.DUMMYFUNCTION("""COMPUTED_VALUE"""),"195. Adani Ports and Special Economic Zone")</f>
        <v>195. Adani Ports and Special Economic Zone</v>
      </c>
      <c r="B2569" s="17"/>
      <c r="C2569" s="17"/>
      <c r="D2569" s="17"/>
      <c r="E2569" s="17"/>
      <c r="F2569" s="17"/>
      <c r="G2569" s="17"/>
      <c r="H2569" s="17"/>
    </row>
    <row r="2570">
      <c r="A2570" s="17" t="str">
        <f>IFERROR(__xludf.DUMMYFUNCTION("""COMPUTED_VALUE"""),"196. Container Corporation of India")</f>
        <v>196. Container Corporation of India</v>
      </c>
      <c r="B2570" s="17"/>
      <c r="C2570" s="17"/>
      <c r="D2570" s="17"/>
      <c r="E2570" s="17"/>
      <c r="F2570" s="17"/>
      <c r="G2570" s="17"/>
      <c r="H2570" s="17"/>
    </row>
    <row r="2571">
      <c r="A2571" s="17" t="str">
        <f>IFERROR(__xludf.DUMMYFUNCTION("""COMPUTED_VALUE"""),"197. Blue Dart Express")</f>
        <v>197. Blue Dart Express</v>
      </c>
      <c r="B2571" s="17"/>
      <c r="C2571" s="17"/>
      <c r="D2571" s="17"/>
      <c r="E2571" s="17"/>
      <c r="F2571" s="17"/>
      <c r="G2571" s="17"/>
      <c r="H2571" s="17"/>
    </row>
    <row r="2572">
      <c r="A2572" s="17" t="str">
        <f>IFERROR(__xludf.DUMMYFUNCTION("""COMPUTED_VALUE"""),"198. Allcargo Logistics")</f>
        <v>198. Allcargo Logistics</v>
      </c>
      <c r="B2572" s="17"/>
      <c r="C2572" s="17"/>
      <c r="D2572" s="17"/>
      <c r="E2572" s="17"/>
      <c r="F2572" s="17"/>
      <c r="G2572" s="17"/>
      <c r="H2572" s="17"/>
    </row>
    <row r="2573">
      <c r="A2573" s="17" t="str">
        <f>IFERROR(__xludf.DUMMYFUNCTION("""COMPUTED_VALUE"""),"199. Transport Corporation of India")</f>
        <v>199. Transport Corporation of India</v>
      </c>
      <c r="B2573" s="17"/>
      <c r="C2573" s="17"/>
      <c r="D2573" s="17"/>
      <c r="E2573" s="17"/>
      <c r="F2573" s="17"/>
      <c r="G2573" s="17"/>
      <c r="H2573" s="17"/>
    </row>
    <row r="2574">
      <c r="A2574" s="17" t="str">
        <f>IFERROR(__xludf.DUMMYFUNCTION("""COMPUTED_VALUE"""),"200. Avenue Supermarts (DMart)")</f>
        <v>200. Avenue Supermarts (DMart)</v>
      </c>
      <c r="B2574" s="17"/>
      <c r="C2574" s="17"/>
      <c r="D2574" s="17"/>
      <c r="E2574" s="17"/>
      <c r="F2574" s="17"/>
      <c r="G2574" s="17"/>
      <c r="H2574" s="17"/>
    </row>
  </sheetData>
  <conditionalFormatting sqref="F16">
    <cfRule type="expression" dxfId="0" priority="1">
      <formula>COUNTIF($A:$A, $A1) &gt; 1</formula>
    </cfRule>
  </conditionalFormatting>
  <conditionalFormatting sqref="B2:B7712">
    <cfRule type="expression" dxfId="0" priority="2">
      <formula>COUNTIF($B:$B, $B1) &gt; 1</formula>
    </cfRule>
  </conditionalFormatting>
  <conditionalFormatting sqref="A3">
    <cfRule type="notContainsBlanks" dxfId="0" priority="3">
      <formula>LEN(TRIM(A3))&gt;0</formula>
    </cfRule>
  </conditionalFormatting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9"/>
    <hyperlink r:id="rId27" ref="A30"/>
    <hyperlink r:id="rId28" ref="D30"/>
    <hyperlink r:id="rId29" ref="D31"/>
    <hyperlink r:id="rId30" ref="D32"/>
    <hyperlink r:id="rId31" ref="D33"/>
    <hyperlink r:id="rId32" ref="D36"/>
    <hyperlink r:id="rId33" ref="D37"/>
    <hyperlink r:id="rId34" ref="D38"/>
    <hyperlink r:id="rId35" ref="D41"/>
    <hyperlink r:id="rId36" ref="D42"/>
    <hyperlink r:id="rId37" ref="D43"/>
    <hyperlink r:id="rId38" ref="D47"/>
    <hyperlink r:id="rId39" ref="D48"/>
    <hyperlink r:id="rId40" ref="D63"/>
    <hyperlink r:id="rId41" ref="D65"/>
    <hyperlink r:id="rId42" ref="D67"/>
    <hyperlink r:id="rId43" ref="D68"/>
    <hyperlink r:id="rId44" ref="D70"/>
    <hyperlink r:id="rId45" ref="D73"/>
    <hyperlink r:id="rId46" ref="D75"/>
    <hyperlink r:id="rId47" ref="D76"/>
    <hyperlink r:id="rId48" ref="D80"/>
    <hyperlink r:id="rId49" ref="D81"/>
    <hyperlink r:id="rId50" ref="D82"/>
    <hyperlink r:id="rId51" ref="D83"/>
    <hyperlink r:id="rId52" ref="D84"/>
    <hyperlink r:id="rId53" ref="D85"/>
    <hyperlink r:id="rId54" ref="D86"/>
    <hyperlink r:id="rId55" ref="D87"/>
    <hyperlink r:id="rId56" ref="D90"/>
    <hyperlink r:id="rId57" ref="D91"/>
    <hyperlink r:id="rId58" ref="D92"/>
    <hyperlink r:id="rId59" ref="D93"/>
    <hyperlink r:id="rId60" ref="D94"/>
    <hyperlink r:id="rId61" ref="D95"/>
    <hyperlink r:id="rId62" ref="D98"/>
    <hyperlink r:id="rId63" ref="D100"/>
    <hyperlink r:id="rId64" ref="D101"/>
    <hyperlink r:id="rId65" ref="D102"/>
    <hyperlink r:id="rId66" ref="D103"/>
    <hyperlink r:id="rId67" ref="D104"/>
    <hyperlink r:id="rId68" ref="D105"/>
    <hyperlink r:id="rId69" ref="D106"/>
    <hyperlink r:id="rId70" ref="D112"/>
    <hyperlink r:id="rId71" ref="D115"/>
    <hyperlink r:id="rId72" ref="D116"/>
    <hyperlink r:id="rId73" ref="D119"/>
    <hyperlink r:id="rId74" ref="D120"/>
    <hyperlink r:id="rId75" ref="D122"/>
    <hyperlink r:id="rId76" ref="D123"/>
    <hyperlink r:id="rId77" ref="D131"/>
    <hyperlink r:id="rId78" ref="A133"/>
    <hyperlink r:id="rId79" ref="A134"/>
    <hyperlink r:id="rId80" ref="D141"/>
    <hyperlink r:id="rId81" ref="D142"/>
    <hyperlink r:id="rId82" ref="D143"/>
    <hyperlink r:id="rId83" ref="D144"/>
    <hyperlink r:id="rId84" ref="D145"/>
    <hyperlink r:id="rId85" ref="D153"/>
    <hyperlink r:id="rId86" ref="D154"/>
    <hyperlink r:id="rId87" ref="D155"/>
    <hyperlink r:id="rId88" ref="D159"/>
    <hyperlink r:id="rId89" ref="D160"/>
    <hyperlink r:id="rId90" ref="D162"/>
    <hyperlink r:id="rId91" ref="D163"/>
    <hyperlink r:id="rId92" ref="D164"/>
    <hyperlink r:id="rId93" ref="D165"/>
    <hyperlink r:id="rId94" ref="D166"/>
    <hyperlink r:id="rId95" ref="D167"/>
    <hyperlink r:id="rId96" ref="D168"/>
    <hyperlink r:id="rId97" ref="D169"/>
    <hyperlink r:id="rId98" ref="D170"/>
    <hyperlink r:id="rId99" ref="D171"/>
    <hyperlink r:id="rId100" ref="D172"/>
    <hyperlink r:id="rId101" ref="D173"/>
    <hyperlink r:id="rId102" ref="D174"/>
    <hyperlink r:id="rId103" ref="D175"/>
    <hyperlink r:id="rId104" ref="D176"/>
    <hyperlink r:id="rId105" ref="D177"/>
    <hyperlink r:id="rId106" ref="D178"/>
    <hyperlink r:id="rId107" ref="D179"/>
    <hyperlink r:id="rId108" ref="D180"/>
    <hyperlink r:id="rId109" ref="D181"/>
    <hyperlink r:id="rId110" ref="D182"/>
    <hyperlink r:id="rId111" ref="D183"/>
    <hyperlink r:id="rId112" ref="D184"/>
    <hyperlink r:id="rId113" ref="D185"/>
    <hyperlink r:id="rId114" ref="D186"/>
    <hyperlink r:id="rId115" ref="D187"/>
    <hyperlink r:id="rId116" ref="D188"/>
    <hyperlink r:id="rId117" ref="D189"/>
    <hyperlink r:id="rId118" ref="D190"/>
    <hyperlink r:id="rId119" ref="D191"/>
    <hyperlink r:id="rId120" ref="D192"/>
    <hyperlink r:id="rId121" ref="D193"/>
    <hyperlink r:id="rId122" ref="D194"/>
    <hyperlink r:id="rId123" ref="D195"/>
    <hyperlink r:id="rId124" ref="D196"/>
    <hyperlink r:id="rId125" ref="D197"/>
    <hyperlink r:id="rId126" ref="D198"/>
    <hyperlink r:id="rId127" ref="D199"/>
    <hyperlink r:id="rId128" ref="D200"/>
    <hyperlink r:id="rId129" ref="D201"/>
    <hyperlink r:id="rId130" ref="D202"/>
    <hyperlink r:id="rId131" ref="D203"/>
    <hyperlink r:id="rId132" ref="D204"/>
    <hyperlink r:id="rId133" ref="D205"/>
    <hyperlink r:id="rId134" ref="D206"/>
    <hyperlink r:id="rId135" ref="D207"/>
    <hyperlink r:id="rId136" ref="D208"/>
    <hyperlink r:id="rId137" ref="D209"/>
    <hyperlink r:id="rId138" ref="D210"/>
    <hyperlink r:id="rId139" ref="D211"/>
    <hyperlink r:id="rId140" ref="D212"/>
    <hyperlink r:id="rId141" ref="D213"/>
    <hyperlink r:id="rId142" ref="D214"/>
    <hyperlink r:id="rId143" ref="D215"/>
    <hyperlink r:id="rId144" ref="D216"/>
    <hyperlink r:id="rId145" ref="D217"/>
    <hyperlink r:id="rId146" ref="D218"/>
    <hyperlink r:id="rId147" ref="D219"/>
    <hyperlink r:id="rId148" ref="D220"/>
    <hyperlink r:id="rId149" ref="D221"/>
    <hyperlink r:id="rId150" ref="D222"/>
    <hyperlink r:id="rId151" ref="D223"/>
    <hyperlink r:id="rId152" ref="D224"/>
    <hyperlink r:id="rId153" ref="D225"/>
    <hyperlink r:id="rId154" ref="D226"/>
    <hyperlink r:id="rId155" ref="D227"/>
    <hyperlink r:id="rId156" ref="D228"/>
    <hyperlink r:id="rId157" ref="D229"/>
    <hyperlink r:id="rId158" ref="D230"/>
    <hyperlink r:id="rId159" ref="D231"/>
    <hyperlink r:id="rId160" ref="D232"/>
    <hyperlink r:id="rId161" ref="D233"/>
    <hyperlink r:id="rId162" ref="D234"/>
    <hyperlink r:id="rId163" ref="D235"/>
    <hyperlink r:id="rId164" ref="D236"/>
    <hyperlink r:id="rId165" ref="D237"/>
    <hyperlink r:id="rId166" ref="D238"/>
    <hyperlink r:id="rId167" ref="D239"/>
    <hyperlink r:id="rId168" ref="D240"/>
    <hyperlink r:id="rId169" ref="D241"/>
    <hyperlink r:id="rId170" ref="D242"/>
    <hyperlink r:id="rId171" ref="D243"/>
    <hyperlink r:id="rId172" ref="D244"/>
    <hyperlink r:id="rId173" ref="D245"/>
    <hyperlink r:id="rId174" ref="D246"/>
    <hyperlink r:id="rId175" ref="D247"/>
    <hyperlink r:id="rId176" ref="D248"/>
    <hyperlink r:id="rId177" ref="D249"/>
    <hyperlink r:id="rId178" ref="D250"/>
    <hyperlink r:id="rId179" ref="D251"/>
    <hyperlink r:id="rId180" ref="D252"/>
    <hyperlink r:id="rId181" ref="D253"/>
    <hyperlink r:id="rId182" ref="D254"/>
    <hyperlink r:id="rId183" ref="D255"/>
    <hyperlink r:id="rId184" ref="D256"/>
    <hyperlink r:id="rId185" ref="D257"/>
    <hyperlink r:id="rId186" ref="D258"/>
    <hyperlink r:id="rId187" ref="D259"/>
    <hyperlink r:id="rId188" ref="D260"/>
    <hyperlink r:id="rId189" ref="D261"/>
    <hyperlink r:id="rId190" ref="D262"/>
    <hyperlink r:id="rId191" ref="D263"/>
    <hyperlink r:id="rId192" ref="D264"/>
    <hyperlink r:id="rId193" ref="D265"/>
    <hyperlink r:id="rId194" ref="D266"/>
    <hyperlink r:id="rId195" ref="D267"/>
    <hyperlink r:id="rId196" ref="D268"/>
    <hyperlink r:id="rId197" ref="D269"/>
    <hyperlink r:id="rId198" ref="D270"/>
    <hyperlink r:id="rId199" ref="D271"/>
    <hyperlink r:id="rId200" ref="D272"/>
    <hyperlink r:id="rId201" ref="D273"/>
    <hyperlink r:id="rId202" ref="D274"/>
    <hyperlink r:id="rId203" ref="D275"/>
    <hyperlink r:id="rId204" ref="D276"/>
    <hyperlink r:id="rId205" ref="D277"/>
    <hyperlink r:id="rId206" ref="D278"/>
    <hyperlink r:id="rId207" ref="D279"/>
    <hyperlink r:id="rId208" ref="D280"/>
    <hyperlink r:id="rId209" ref="D281"/>
    <hyperlink r:id="rId210" ref="D282"/>
    <hyperlink r:id="rId211" ref="D283"/>
    <hyperlink r:id="rId212" ref="D284"/>
    <hyperlink r:id="rId213" ref="D285"/>
    <hyperlink r:id="rId214" ref="D286"/>
    <hyperlink r:id="rId215" ref="D287"/>
    <hyperlink r:id="rId216" ref="D288"/>
    <hyperlink r:id="rId217" ref="D289"/>
    <hyperlink r:id="rId218" ref="D290"/>
    <hyperlink r:id="rId219" ref="D291"/>
    <hyperlink r:id="rId220" ref="D292"/>
    <hyperlink r:id="rId221" ref="D293"/>
    <hyperlink r:id="rId222" ref="D294"/>
    <hyperlink r:id="rId223" ref="D295"/>
    <hyperlink r:id="rId224" ref="D296"/>
    <hyperlink r:id="rId225" ref="D297"/>
    <hyperlink r:id="rId226" ref="D298"/>
    <hyperlink r:id="rId227" ref="D299"/>
    <hyperlink r:id="rId228" ref="D300"/>
    <hyperlink r:id="rId229" ref="D301"/>
    <hyperlink r:id="rId230" ref="D302"/>
    <hyperlink r:id="rId231" ref="D303"/>
    <hyperlink r:id="rId232" ref="D304"/>
    <hyperlink r:id="rId233" ref="D305"/>
    <hyperlink r:id="rId234" ref="D306"/>
    <hyperlink r:id="rId235" ref="D307"/>
    <hyperlink r:id="rId236" ref="D308"/>
    <hyperlink r:id="rId237" ref="D309"/>
    <hyperlink r:id="rId238" ref="D310"/>
    <hyperlink r:id="rId239" ref="D311"/>
    <hyperlink r:id="rId240" ref="D312"/>
    <hyperlink r:id="rId241" ref="D313"/>
    <hyperlink r:id="rId242" ref="D314"/>
    <hyperlink r:id="rId243" ref="D315"/>
    <hyperlink r:id="rId244" ref="D316"/>
    <hyperlink r:id="rId245" ref="D317"/>
    <hyperlink r:id="rId246" ref="D318"/>
    <hyperlink r:id="rId247" ref="D319"/>
    <hyperlink r:id="rId248" ref="D320"/>
    <hyperlink r:id="rId249" ref="D321"/>
    <hyperlink r:id="rId250" ref="D322"/>
    <hyperlink r:id="rId251" ref="D323"/>
    <hyperlink r:id="rId252" ref="D324"/>
    <hyperlink r:id="rId253" ref="D325"/>
    <hyperlink r:id="rId254" ref="D326"/>
    <hyperlink r:id="rId255" ref="D327"/>
    <hyperlink r:id="rId256" ref="D328"/>
    <hyperlink r:id="rId257" ref="D329"/>
    <hyperlink r:id="rId258" ref="D330"/>
    <hyperlink r:id="rId259" ref="D331"/>
    <hyperlink r:id="rId260" ref="D332"/>
    <hyperlink r:id="rId261" ref="D333"/>
    <hyperlink r:id="rId262" ref="D334"/>
    <hyperlink r:id="rId263" ref="D335"/>
    <hyperlink r:id="rId264" ref="D336"/>
    <hyperlink r:id="rId265" ref="D337"/>
    <hyperlink r:id="rId266" ref="D338"/>
    <hyperlink r:id="rId267" ref="D339"/>
    <hyperlink r:id="rId268" ref="D340"/>
    <hyperlink r:id="rId269" ref="A341"/>
    <hyperlink r:id="rId270" ref="D341"/>
    <hyperlink r:id="rId271" ref="A342"/>
    <hyperlink r:id="rId272" ref="D342"/>
    <hyperlink r:id="rId273" ref="D343"/>
    <hyperlink r:id="rId274" ref="D344"/>
    <hyperlink r:id="rId275" ref="D345"/>
    <hyperlink r:id="rId276" ref="D346"/>
    <hyperlink r:id="rId277" ref="D347"/>
    <hyperlink r:id="rId278" ref="D348"/>
    <hyperlink r:id="rId279" ref="D349"/>
    <hyperlink r:id="rId280" ref="D350"/>
    <hyperlink r:id="rId281" ref="D351"/>
    <hyperlink r:id="rId282" ref="D352"/>
    <hyperlink r:id="rId283" ref="D353"/>
    <hyperlink r:id="rId284" ref="D354"/>
    <hyperlink r:id="rId285" ref="D355"/>
    <hyperlink r:id="rId286" ref="D356"/>
    <hyperlink r:id="rId287" ref="D357"/>
    <hyperlink r:id="rId288" ref="D358"/>
    <hyperlink r:id="rId289" ref="D359"/>
    <hyperlink r:id="rId290" ref="D360"/>
    <hyperlink r:id="rId291" ref="D361"/>
    <hyperlink r:id="rId292" ref="D362"/>
    <hyperlink r:id="rId293" ref="D363"/>
    <hyperlink r:id="rId294" ref="D364"/>
    <hyperlink r:id="rId295" ref="D365"/>
    <hyperlink r:id="rId296" ref="D366"/>
    <hyperlink r:id="rId297" ref="D367"/>
    <hyperlink r:id="rId298" ref="D368"/>
    <hyperlink r:id="rId299" ref="D369"/>
    <hyperlink r:id="rId300" ref="D370"/>
    <hyperlink r:id="rId301" ref="D371"/>
    <hyperlink r:id="rId302" ref="D372"/>
    <hyperlink r:id="rId303" ref="D373"/>
    <hyperlink r:id="rId304" ref="D374"/>
    <hyperlink r:id="rId305" ref="D375"/>
    <hyperlink r:id="rId306" ref="D376"/>
    <hyperlink r:id="rId307" ref="D377"/>
    <hyperlink r:id="rId308" ref="D378"/>
    <hyperlink r:id="rId309" ref="D379"/>
    <hyperlink r:id="rId310" ref="D380"/>
    <hyperlink r:id="rId311" ref="D381"/>
    <hyperlink r:id="rId312" ref="D382"/>
    <hyperlink r:id="rId313" ref="D383"/>
    <hyperlink r:id="rId314" ref="D384"/>
    <hyperlink r:id="rId315" ref="D385"/>
    <hyperlink r:id="rId316" ref="D386"/>
    <hyperlink r:id="rId317" ref="D387"/>
    <hyperlink r:id="rId318" ref="D388"/>
    <hyperlink r:id="rId319" ref="D389"/>
    <hyperlink r:id="rId320" ref="D390"/>
    <hyperlink r:id="rId321" ref="D391"/>
    <hyperlink r:id="rId322" ref="D392"/>
    <hyperlink r:id="rId323" ref="D393"/>
    <hyperlink r:id="rId324" ref="D394"/>
    <hyperlink r:id="rId325" ref="D395"/>
    <hyperlink r:id="rId326" ref="D396"/>
    <hyperlink r:id="rId327" ref="D397"/>
    <hyperlink r:id="rId328" ref="D398"/>
    <hyperlink r:id="rId329" ref="D399"/>
    <hyperlink r:id="rId330" ref="D400"/>
    <hyperlink r:id="rId331" ref="D401"/>
    <hyperlink r:id="rId332" ref="D402"/>
    <hyperlink r:id="rId333" ref="D403"/>
    <hyperlink r:id="rId334" ref="D404"/>
    <hyperlink r:id="rId335" ref="D405"/>
    <hyperlink r:id="rId336" ref="D406"/>
    <hyperlink r:id="rId337" ref="D407"/>
    <hyperlink r:id="rId338" ref="D408"/>
    <hyperlink r:id="rId339" ref="D409"/>
    <hyperlink r:id="rId340" ref="D410"/>
    <hyperlink r:id="rId341" ref="D411"/>
    <hyperlink r:id="rId342" ref="D412"/>
    <hyperlink r:id="rId343" ref="D413"/>
    <hyperlink r:id="rId344" ref="D414"/>
    <hyperlink r:id="rId345" ref="D415"/>
    <hyperlink r:id="rId346" ref="D416"/>
    <hyperlink r:id="rId347" ref="D417"/>
    <hyperlink r:id="rId348" ref="D418"/>
    <hyperlink r:id="rId349" ref="D419"/>
    <hyperlink r:id="rId350" ref="D420"/>
    <hyperlink r:id="rId351" ref="D421"/>
    <hyperlink r:id="rId352" ref="D422"/>
    <hyperlink r:id="rId353" ref="D423"/>
    <hyperlink r:id="rId354" ref="D424"/>
    <hyperlink r:id="rId355" ref="D425"/>
    <hyperlink r:id="rId356" ref="D426"/>
    <hyperlink r:id="rId357" ref="D427"/>
    <hyperlink r:id="rId358" ref="D428"/>
    <hyperlink r:id="rId359" ref="D429"/>
    <hyperlink r:id="rId360" ref="D430"/>
    <hyperlink r:id="rId361" ref="D431"/>
    <hyperlink r:id="rId362" ref="D432"/>
    <hyperlink r:id="rId363" ref="D433"/>
    <hyperlink r:id="rId364" ref="D434"/>
    <hyperlink r:id="rId365" ref="D435"/>
    <hyperlink r:id="rId366" ref="D436"/>
    <hyperlink r:id="rId367" ref="D437"/>
    <hyperlink r:id="rId368" ref="D438"/>
    <hyperlink r:id="rId369" ref="D439"/>
    <hyperlink r:id="rId370" ref="D440"/>
    <hyperlink r:id="rId371" ref="D441"/>
    <hyperlink r:id="rId372" ref="D442"/>
    <hyperlink r:id="rId373" ref="D443"/>
    <hyperlink r:id="rId374" ref="D444"/>
    <hyperlink r:id="rId375" ref="D445"/>
    <hyperlink r:id="rId376" ref="D446"/>
    <hyperlink r:id="rId377" ref="D447"/>
    <hyperlink r:id="rId378" ref="D448"/>
    <hyperlink r:id="rId379" ref="D449"/>
    <hyperlink r:id="rId380" ref="D450"/>
    <hyperlink r:id="rId381" ref="D451"/>
    <hyperlink r:id="rId382" ref="D452"/>
    <hyperlink r:id="rId383" ref="D453"/>
    <hyperlink r:id="rId384" ref="D454"/>
    <hyperlink r:id="rId385" ref="D455"/>
    <hyperlink r:id="rId386" ref="D456"/>
    <hyperlink r:id="rId387" ref="D457"/>
    <hyperlink r:id="rId388" ref="D458"/>
    <hyperlink r:id="rId389" ref="D459"/>
    <hyperlink r:id="rId390" ref="D460"/>
    <hyperlink r:id="rId391" ref="D461"/>
    <hyperlink r:id="rId392" ref="D462"/>
    <hyperlink r:id="rId393" ref="D463"/>
    <hyperlink r:id="rId394" ref="D464"/>
    <hyperlink r:id="rId395" ref="D465"/>
    <hyperlink r:id="rId396" ref="D466"/>
    <hyperlink r:id="rId397" ref="D467"/>
    <hyperlink r:id="rId398" ref="D468"/>
    <hyperlink r:id="rId399" ref="D469"/>
    <hyperlink r:id="rId400" ref="D470"/>
    <hyperlink r:id="rId401" ref="D471"/>
    <hyperlink r:id="rId402" ref="D472"/>
    <hyperlink r:id="rId403" ref="D473"/>
    <hyperlink r:id="rId404" ref="D474"/>
    <hyperlink r:id="rId405" ref="D475"/>
    <hyperlink r:id="rId406" ref="D476"/>
    <hyperlink r:id="rId407" ref="D477"/>
    <hyperlink r:id="rId408" ref="D478"/>
    <hyperlink r:id="rId409" ref="D479"/>
    <hyperlink r:id="rId410" ref="D480"/>
    <hyperlink r:id="rId411" ref="D481"/>
    <hyperlink r:id="rId412" ref="A482"/>
    <hyperlink r:id="rId413" ref="D482"/>
    <hyperlink r:id="rId414" ref="D483"/>
    <hyperlink r:id="rId415" ref="D484"/>
    <hyperlink r:id="rId416" ref="D486"/>
    <hyperlink r:id="rId417" ref="D487"/>
    <hyperlink r:id="rId418" ref="D488"/>
    <hyperlink r:id="rId419" ref="D489"/>
    <hyperlink r:id="rId420" ref="D490"/>
    <hyperlink r:id="rId421" ref="D491"/>
    <hyperlink r:id="rId422" ref="D492"/>
    <hyperlink r:id="rId423" ref="D493"/>
    <hyperlink r:id="rId424" ref="D494"/>
    <hyperlink r:id="rId425" ref="D495"/>
    <hyperlink r:id="rId426" ref="D496"/>
    <hyperlink r:id="rId427" ref="D497"/>
    <hyperlink r:id="rId428" ref="D498"/>
    <hyperlink r:id="rId429" ref="D499"/>
    <hyperlink r:id="rId430" ref="D500"/>
    <hyperlink r:id="rId431" ref="D501"/>
    <hyperlink r:id="rId432" ref="D502"/>
    <hyperlink r:id="rId433" ref="D503"/>
    <hyperlink r:id="rId434" ref="A504"/>
    <hyperlink r:id="rId435" ref="D504"/>
    <hyperlink r:id="rId436" ref="D505"/>
    <hyperlink r:id="rId437" ref="D506"/>
    <hyperlink r:id="rId438" ref="D507"/>
    <hyperlink r:id="rId439" ref="D508"/>
    <hyperlink r:id="rId440" ref="D509"/>
    <hyperlink r:id="rId441" ref="D510"/>
    <hyperlink r:id="rId442" ref="D511"/>
    <hyperlink r:id="rId443" ref="D512"/>
    <hyperlink r:id="rId444" ref="D513"/>
    <hyperlink r:id="rId445" ref="D514"/>
    <hyperlink r:id="rId446" ref="D515"/>
    <hyperlink r:id="rId447" ref="D516"/>
    <hyperlink r:id="rId448" ref="D517"/>
    <hyperlink r:id="rId449" ref="D518"/>
    <hyperlink r:id="rId450" ref="D519"/>
    <hyperlink r:id="rId451" ref="D520"/>
    <hyperlink r:id="rId452" ref="D521"/>
    <hyperlink r:id="rId453" ref="D522"/>
    <hyperlink r:id="rId454" ref="D523"/>
    <hyperlink r:id="rId455" ref="D524"/>
    <hyperlink r:id="rId456" ref="D525"/>
    <hyperlink r:id="rId457" ref="D526"/>
    <hyperlink r:id="rId458" ref="D527"/>
    <hyperlink r:id="rId459" ref="D528"/>
    <hyperlink r:id="rId460" ref="D529"/>
    <hyperlink r:id="rId461" ref="D530"/>
    <hyperlink r:id="rId462" ref="D531"/>
    <hyperlink r:id="rId463" ref="D532"/>
    <hyperlink r:id="rId464" ref="D533"/>
    <hyperlink r:id="rId465" ref="D534"/>
    <hyperlink r:id="rId466" ref="D535"/>
    <hyperlink r:id="rId467" ref="D536"/>
    <hyperlink r:id="rId468" ref="D537"/>
    <hyperlink r:id="rId469" ref="D538"/>
    <hyperlink r:id="rId470" ref="D539"/>
    <hyperlink r:id="rId471" ref="D540"/>
    <hyperlink r:id="rId472" ref="D541"/>
    <hyperlink r:id="rId473" ref="D542"/>
    <hyperlink r:id="rId474" ref="D543"/>
    <hyperlink r:id="rId475" ref="D545"/>
    <hyperlink r:id="rId476" ref="D546"/>
    <hyperlink r:id="rId477" ref="D547"/>
    <hyperlink r:id="rId478" ref="D548"/>
    <hyperlink r:id="rId479" ref="D549"/>
    <hyperlink r:id="rId480" ref="D550"/>
    <hyperlink r:id="rId481" ref="D551"/>
    <hyperlink r:id="rId482" ref="D552"/>
    <hyperlink r:id="rId483" ref="D553"/>
    <hyperlink r:id="rId484" ref="D554"/>
    <hyperlink r:id="rId485" ref="D555"/>
    <hyperlink r:id="rId486" ref="D556"/>
    <hyperlink r:id="rId487" ref="D557"/>
    <hyperlink r:id="rId488" ref="D558"/>
    <hyperlink r:id="rId489" ref="D559"/>
    <hyperlink r:id="rId490" ref="D560"/>
    <hyperlink r:id="rId491" ref="D561"/>
    <hyperlink r:id="rId492" ref="D562"/>
    <hyperlink r:id="rId493" ref="D563"/>
    <hyperlink r:id="rId494" ref="A564"/>
    <hyperlink r:id="rId495" ref="D564"/>
    <hyperlink r:id="rId496" ref="D565"/>
    <hyperlink r:id="rId497" ref="D566"/>
    <hyperlink r:id="rId498" ref="D567"/>
    <hyperlink r:id="rId499" ref="D568"/>
    <hyperlink r:id="rId500" ref="D569"/>
    <hyperlink r:id="rId501" ref="D570"/>
    <hyperlink r:id="rId502" ref="D572"/>
    <hyperlink r:id="rId503" ref="D573"/>
    <hyperlink r:id="rId504" ref="D574"/>
    <hyperlink r:id="rId505" ref="D575"/>
    <hyperlink r:id="rId506" ref="D576"/>
    <hyperlink r:id="rId507" ref="D577"/>
    <hyperlink r:id="rId508" ref="D578"/>
    <hyperlink r:id="rId509" ref="D579"/>
    <hyperlink r:id="rId510" ref="D580"/>
    <hyperlink r:id="rId511" ref="D581"/>
    <hyperlink r:id="rId512" ref="D582"/>
    <hyperlink r:id="rId513" ref="D583"/>
    <hyperlink r:id="rId514" ref="D584"/>
    <hyperlink r:id="rId515" ref="D585"/>
    <hyperlink r:id="rId516" ref="D586"/>
    <hyperlink r:id="rId517" ref="D587"/>
    <hyperlink r:id="rId518" ref="D588"/>
    <hyperlink r:id="rId519" ref="D589"/>
    <hyperlink r:id="rId520" ref="D590"/>
    <hyperlink r:id="rId521" ref="D591"/>
    <hyperlink r:id="rId522" ref="D592"/>
    <hyperlink r:id="rId523" ref="D593"/>
    <hyperlink r:id="rId524" ref="D594"/>
    <hyperlink r:id="rId525" ref="D595"/>
    <hyperlink r:id="rId526" ref="D596"/>
    <hyperlink r:id="rId527" ref="D597"/>
    <hyperlink r:id="rId528" ref="D598"/>
    <hyperlink r:id="rId529" ref="D599"/>
    <hyperlink r:id="rId530" ref="D600"/>
    <hyperlink r:id="rId531" ref="D601"/>
    <hyperlink r:id="rId532" ref="D602"/>
    <hyperlink r:id="rId533" ref="D603"/>
    <hyperlink r:id="rId534" ref="D604"/>
    <hyperlink r:id="rId535" ref="D605"/>
    <hyperlink r:id="rId536" ref="D607"/>
    <hyperlink r:id="rId537" ref="D608"/>
    <hyperlink r:id="rId538" ref="D610"/>
    <hyperlink r:id="rId539" ref="D611"/>
    <hyperlink r:id="rId540" ref="D612"/>
    <hyperlink r:id="rId541" ref="D613"/>
    <hyperlink r:id="rId542" ref="D614"/>
    <hyperlink r:id="rId543" ref="D615"/>
    <hyperlink r:id="rId544" ref="D616"/>
    <hyperlink r:id="rId545" ref="D617"/>
    <hyperlink r:id="rId546" ref="D618"/>
    <hyperlink r:id="rId547" ref="D619"/>
    <hyperlink r:id="rId548" ref="D620"/>
    <hyperlink r:id="rId549" ref="D621"/>
    <hyperlink r:id="rId550" ref="D622"/>
    <hyperlink r:id="rId551" ref="D623"/>
    <hyperlink r:id="rId552" ref="D624"/>
    <hyperlink r:id="rId553" ref="D625"/>
    <hyperlink r:id="rId554" ref="D626"/>
    <hyperlink r:id="rId555" ref="D627"/>
    <hyperlink r:id="rId556" ref="D628"/>
    <hyperlink r:id="rId557" ref="D629"/>
    <hyperlink r:id="rId558" ref="D630"/>
    <hyperlink r:id="rId559" ref="D631"/>
    <hyperlink r:id="rId560" ref="D632"/>
    <hyperlink r:id="rId561" ref="D633"/>
    <hyperlink r:id="rId562" ref="D634"/>
    <hyperlink r:id="rId563" ref="D635"/>
    <hyperlink r:id="rId564" ref="D636"/>
    <hyperlink r:id="rId565" ref="D637"/>
    <hyperlink r:id="rId566" ref="D638"/>
    <hyperlink r:id="rId567" ref="D639"/>
    <hyperlink r:id="rId568" ref="D640"/>
    <hyperlink r:id="rId569" ref="D641"/>
    <hyperlink r:id="rId570" ref="D642"/>
    <hyperlink r:id="rId571" ref="D643"/>
    <hyperlink r:id="rId572" ref="D644"/>
    <hyperlink r:id="rId573" ref="D645"/>
    <hyperlink r:id="rId574" ref="D646"/>
    <hyperlink r:id="rId575" ref="D647"/>
    <hyperlink r:id="rId576" ref="D648"/>
    <hyperlink r:id="rId577" ref="D649"/>
    <hyperlink r:id="rId578" ref="D650"/>
    <hyperlink r:id="rId579" ref="D651"/>
    <hyperlink r:id="rId580" ref="D652"/>
    <hyperlink r:id="rId581" ref="D653"/>
    <hyperlink r:id="rId582" ref="D654"/>
    <hyperlink r:id="rId583" ref="D655"/>
    <hyperlink r:id="rId584" ref="D656"/>
    <hyperlink r:id="rId585" ref="D657"/>
    <hyperlink r:id="rId586" ref="D658"/>
    <hyperlink r:id="rId587" ref="A659"/>
    <hyperlink r:id="rId588" ref="D659"/>
    <hyperlink r:id="rId589" ref="D660"/>
    <hyperlink r:id="rId590" ref="D661"/>
    <hyperlink r:id="rId591" ref="D663"/>
    <hyperlink r:id="rId592" ref="D664"/>
    <hyperlink r:id="rId593" ref="D665"/>
    <hyperlink r:id="rId594" ref="D666"/>
    <hyperlink r:id="rId595" ref="D667"/>
    <hyperlink r:id="rId596" ref="D668"/>
    <hyperlink r:id="rId597" ref="D669"/>
    <hyperlink r:id="rId598" ref="D670"/>
    <hyperlink r:id="rId599" ref="D671"/>
    <hyperlink r:id="rId600" ref="D678"/>
    <hyperlink r:id="rId601" ref="F679"/>
    <hyperlink r:id="rId602" ref="D691"/>
    <hyperlink r:id="rId603" ref="D699"/>
    <hyperlink r:id="rId604" ref="D700"/>
    <hyperlink r:id="rId605" ref="D701"/>
    <hyperlink r:id="rId606" ref="D702"/>
    <hyperlink r:id="rId607" ref="D703"/>
    <hyperlink r:id="rId608" ref="D704"/>
    <hyperlink r:id="rId609" ref="D705"/>
    <hyperlink r:id="rId610" ref="D706"/>
    <hyperlink r:id="rId611" ref="D707"/>
    <hyperlink r:id="rId612" ref="D710"/>
    <hyperlink r:id="rId613" ref="D711"/>
    <hyperlink r:id="rId614" ref="D712"/>
    <hyperlink r:id="rId615" ref="D713"/>
    <hyperlink r:id="rId616" ref="D714"/>
    <hyperlink r:id="rId617" ref="D715"/>
    <hyperlink r:id="rId618" ref="D716"/>
    <hyperlink r:id="rId619" ref="D718"/>
    <hyperlink r:id="rId620" ref="D719"/>
    <hyperlink r:id="rId621" ref="D720"/>
    <hyperlink r:id="rId622" ref="D721"/>
    <hyperlink r:id="rId623" ref="D722"/>
    <hyperlink r:id="rId624" ref="D724"/>
    <hyperlink r:id="rId625" ref="D725"/>
    <hyperlink r:id="rId626" ref="D726"/>
    <hyperlink r:id="rId627" ref="D727"/>
    <hyperlink r:id="rId628" ref="D728"/>
    <hyperlink r:id="rId629" ref="D729"/>
    <hyperlink r:id="rId630" ref="D730"/>
    <hyperlink r:id="rId631" ref="D731"/>
    <hyperlink r:id="rId632" ref="D733"/>
    <hyperlink r:id="rId633" ref="D734"/>
    <hyperlink r:id="rId634" ref="D735"/>
    <hyperlink r:id="rId635" ref="D736"/>
    <hyperlink r:id="rId636" ref="D737"/>
    <hyperlink r:id="rId637" ref="D738"/>
    <hyperlink r:id="rId638" ref="D739"/>
    <hyperlink r:id="rId639" ref="D740"/>
    <hyperlink r:id="rId640" ref="D741"/>
    <hyperlink r:id="rId641" ref="D742"/>
    <hyperlink r:id="rId642" ref="D747"/>
    <hyperlink r:id="rId643" ref="D748"/>
    <hyperlink r:id="rId644" ref="D749"/>
    <hyperlink r:id="rId645" ref="D750"/>
    <hyperlink r:id="rId646" ref="D751"/>
    <hyperlink r:id="rId647" ref="D754"/>
    <hyperlink r:id="rId648" ref="D755"/>
    <hyperlink r:id="rId649" ref="D756"/>
    <hyperlink r:id="rId650" ref="D757"/>
    <hyperlink r:id="rId651" ref="D759"/>
    <hyperlink r:id="rId652" ref="D760"/>
    <hyperlink r:id="rId653" ref="D761"/>
    <hyperlink r:id="rId654" ref="D762"/>
    <hyperlink r:id="rId655" ref="D763"/>
    <hyperlink r:id="rId656" ref="D764"/>
    <hyperlink r:id="rId657" ref="D766"/>
    <hyperlink r:id="rId658" ref="D767"/>
    <hyperlink r:id="rId659" ref="D768"/>
    <hyperlink r:id="rId660" ref="D771"/>
    <hyperlink r:id="rId661" ref="D774"/>
    <hyperlink r:id="rId662" ref="D775"/>
    <hyperlink r:id="rId663" ref="D776"/>
    <hyperlink r:id="rId664" ref="D777"/>
    <hyperlink r:id="rId665" ref="D778"/>
    <hyperlink r:id="rId666" ref="D779"/>
    <hyperlink r:id="rId667" ref="D780"/>
    <hyperlink r:id="rId668" ref="D782"/>
    <hyperlink r:id="rId669" ref="D783"/>
    <hyperlink r:id="rId670" ref="D784"/>
    <hyperlink r:id="rId671" ref="D785"/>
    <hyperlink r:id="rId672" ref="D786"/>
    <hyperlink r:id="rId673" ref="D787"/>
    <hyperlink r:id="rId674" ref="D788"/>
    <hyperlink r:id="rId675" ref="D789"/>
    <hyperlink r:id="rId676" ref="D790"/>
    <hyperlink r:id="rId677" ref="D791"/>
    <hyperlink r:id="rId678" ref="D792"/>
    <hyperlink r:id="rId679" ref="D793"/>
    <hyperlink r:id="rId680" ref="D794"/>
    <hyperlink r:id="rId681" ref="D795"/>
    <hyperlink r:id="rId682" ref="D796"/>
    <hyperlink r:id="rId683" ref="D797"/>
    <hyperlink r:id="rId684" ref="D798"/>
    <hyperlink r:id="rId685" ref="D799"/>
    <hyperlink r:id="rId686" ref="D800"/>
    <hyperlink r:id="rId687" ref="D801"/>
    <hyperlink r:id="rId688" ref="D802"/>
    <hyperlink r:id="rId689" ref="D803"/>
    <hyperlink r:id="rId690" ref="D804"/>
    <hyperlink r:id="rId691" ref="D805"/>
    <hyperlink r:id="rId692" ref="D806"/>
    <hyperlink r:id="rId693" ref="D807"/>
    <hyperlink r:id="rId694" ref="D808"/>
    <hyperlink r:id="rId695" ref="D809"/>
    <hyperlink r:id="rId696" ref="D810"/>
    <hyperlink r:id="rId697" ref="D813"/>
    <hyperlink r:id="rId698" ref="D814"/>
    <hyperlink r:id="rId699" ref="D818"/>
    <hyperlink r:id="rId700" ref="D819"/>
    <hyperlink r:id="rId701" ref="D823"/>
    <hyperlink r:id="rId702" ref="D824"/>
    <hyperlink r:id="rId703" ref="D826"/>
    <hyperlink r:id="rId704" ref="D828"/>
    <hyperlink r:id="rId705" ref="D830"/>
    <hyperlink r:id="rId706" ref="D833"/>
    <hyperlink r:id="rId707" ref="D834"/>
    <hyperlink r:id="rId708" ref="D835"/>
    <hyperlink r:id="rId709" ref="D836"/>
    <hyperlink r:id="rId710" ref="D841"/>
    <hyperlink r:id="rId711" ref="D842"/>
    <hyperlink r:id="rId712" ref="D843"/>
    <hyperlink r:id="rId713" ref="D844"/>
    <hyperlink r:id="rId714" ref="D846"/>
    <hyperlink r:id="rId715" ref="D848"/>
    <hyperlink r:id="rId716" ref="D850"/>
    <hyperlink r:id="rId717" ref="D856"/>
    <hyperlink r:id="rId718" ref="D858"/>
    <hyperlink r:id="rId719" ref="D863"/>
    <hyperlink r:id="rId720" ref="D865"/>
    <hyperlink r:id="rId721" ref="D867"/>
    <hyperlink r:id="rId722" ref="D870"/>
    <hyperlink r:id="rId723" ref="D872"/>
    <hyperlink r:id="rId724" ref="D874"/>
    <hyperlink r:id="rId725" ref="D876"/>
    <hyperlink r:id="rId726" ref="D878"/>
    <hyperlink r:id="rId727" ref="D881"/>
    <hyperlink r:id="rId728" ref="D883"/>
    <hyperlink r:id="rId729" ref="D887"/>
    <hyperlink r:id="rId730" ref="D888"/>
    <hyperlink r:id="rId731" ref="D890"/>
    <hyperlink r:id="rId732" ref="D908"/>
    <hyperlink r:id="rId733" ref="D909"/>
    <hyperlink r:id="rId734" ref="D910"/>
    <hyperlink r:id="rId735" ref="D911"/>
    <hyperlink r:id="rId736" ref="D912"/>
    <hyperlink r:id="rId737" ref="D913"/>
    <hyperlink r:id="rId738" ref="D914"/>
    <hyperlink r:id="rId739" ref="D915"/>
    <hyperlink r:id="rId740" ref="D916"/>
    <hyperlink r:id="rId741" ref="D917"/>
    <hyperlink r:id="rId742" ref="D918"/>
    <hyperlink r:id="rId743" ref="D919"/>
    <hyperlink r:id="rId744" ref="D920"/>
    <hyperlink r:id="rId745" ref="D921"/>
    <hyperlink r:id="rId746" ref="D922"/>
    <hyperlink r:id="rId747" ref="D923"/>
    <hyperlink r:id="rId748" ref="D924"/>
    <hyperlink r:id="rId749" ref="D925"/>
    <hyperlink r:id="rId750" ref="D926"/>
    <hyperlink r:id="rId751" ref="A929"/>
    <hyperlink r:id="rId752" ref="D964"/>
    <hyperlink r:id="rId753" ref="D965"/>
    <hyperlink r:id="rId754" ref="D966"/>
    <hyperlink r:id="rId755" ref="D967"/>
    <hyperlink r:id="rId756" ref="D968"/>
    <hyperlink r:id="rId757" ref="D969"/>
    <hyperlink r:id="rId758" ref="D970"/>
    <hyperlink r:id="rId759" ref="D971"/>
    <hyperlink r:id="rId760" ref="D972"/>
    <hyperlink r:id="rId761" ref="D973"/>
    <hyperlink r:id="rId762" ref="D974"/>
    <hyperlink r:id="rId763" ref="D975"/>
    <hyperlink r:id="rId764" ref="D976"/>
    <hyperlink r:id="rId765" ref="D977"/>
    <hyperlink r:id="rId766" ref="D978"/>
    <hyperlink r:id="rId767" ref="D979"/>
    <hyperlink r:id="rId768" ref="D980"/>
    <hyperlink r:id="rId769" ref="D981"/>
    <hyperlink r:id="rId770" ref="D982"/>
    <hyperlink r:id="rId771" ref="D983"/>
    <hyperlink r:id="rId772" ref="D984"/>
    <hyperlink r:id="rId773" ref="D985"/>
    <hyperlink r:id="rId774" ref="D986"/>
    <hyperlink r:id="rId775" ref="D987"/>
    <hyperlink r:id="rId776" ref="D988"/>
    <hyperlink r:id="rId777" ref="D989"/>
    <hyperlink r:id="rId778" ref="D990"/>
    <hyperlink r:id="rId779" ref="D991"/>
    <hyperlink r:id="rId780" ref="D992"/>
    <hyperlink r:id="rId781" ref="D993"/>
    <hyperlink r:id="rId782" ref="D994"/>
    <hyperlink r:id="rId783" ref="D995"/>
    <hyperlink r:id="rId784" ref="D996"/>
    <hyperlink r:id="rId785" ref="D997"/>
    <hyperlink r:id="rId786" ref="D998"/>
    <hyperlink r:id="rId787" ref="D999"/>
    <hyperlink r:id="rId788" ref="D1000"/>
    <hyperlink r:id="rId789" ref="D1001"/>
    <hyperlink r:id="rId790" ref="D1002"/>
    <hyperlink r:id="rId791" ref="D1003"/>
    <hyperlink r:id="rId792" ref="D1004"/>
    <hyperlink r:id="rId793" ref="D1005"/>
    <hyperlink r:id="rId794" ref="D1006"/>
    <hyperlink r:id="rId795" ref="D1007"/>
    <hyperlink r:id="rId796" ref="D1008"/>
    <hyperlink r:id="rId797" ref="D1009"/>
    <hyperlink r:id="rId798" ref="D1010"/>
    <hyperlink r:id="rId799" ref="D1011"/>
    <hyperlink r:id="rId800" ref="D1013"/>
    <hyperlink r:id="rId801" ref="D1026"/>
    <hyperlink r:id="rId802" ref="D1027"/>
    <hyperlink r:id="rId803" ref="D1028"/>
    <hyperlink r:id="rId804" ref="D1032"/>
    <hyperlink r:id="rId805" ref="D1033"/>
    <hyperlink r:id="rId806" ref="D1034"/>
    <hyperlink r:id="rId807" ref="D1035"/>
    <hyperlink r:id="rId808" ref="D1036"/>
    <hyperlink r:id="rId809" ref="D1037"/>
    <hyperlink r:id="rId810" ref="D1038"/>
    <hyperlink r:id="rId811" ref="D1039"/>
    <hyperlink r:id="rId812" ref="D1040"/>
    <hyperlink r:id="rId813" ref="D1041"/>
    <hyperlink r:id="rId814" ref="D1042"/>
    <hyperlink r:id="rId815" ref="D1043"/>
    <hyperlink r:id="rId816" ref="D1044"/>
    <hyperlink r:id="rId817" ref="D1045"/>
    <hyperlink r:id="rId818" ref="D1046"/>
    <hyperlink r:id="rId819" ref="D1047"/>
    <hyperlink r:id="rId820" ref="D1048"/>
    <hyperlink r:id="rId821" ref="D1049"/>
    <hyperlink r:id="rId822" ref="D1050"/>
    <hyperlink r:id="rId823" ref="D1051"/>
    <hyperlink r:id="rId824" ref="D1052"/>
    <hyperlink r:id="rId825" ref="D1053"/>
    <hyperlink r:id="rId826" ref="D1054"/>
    <hyperlink r:id="rId827" ref="D1055"/>
    <hyperlink r:id="rId828" ref="D1056"/>
    <hyperlink r:id="rId829" ref="D1057"/>
    <hyperlink r:id="rId830" ref="D1058"/>
    <hyperlink r:id="rId831" ref="D1059"/>
    <hyperlink r:id="rId832" ref="D1060"/>
    <hyperlink r:id="rId833" ref="D1061"/>
    <hyperlink r:id="rId834" ref="D1062"/>
    <hyperlink r:id="rId835" ref="D1063"/>
    <hyperlink r:id="rId836" ref="D1064"/>
    <hyperlink r:id="rId837" ref="D1065"/>
    <hyperlink r:id="rId838" ref="D1066"/>
    <hyperlink r:id="rId839" ref="D1067"/>
    <hyperlink r:id="rId840" ref="D1068"/>
    <hyperlink r:id="rId841" ref="D1069"/>
    <hyperlink r:id="rId842" ref="D1070"/>
    <hyperlink r:id="rId843" ref="D1071"/>
    <hyperlink r:id="rId844" ref="D1072"/>
    <hyperlink r:id="rId845" ref="D1073"/>
    <hyperlink r:id="rId846" ref="D1074"/>
    <hyperlink r:id="rId847" ref="D1075"/>
    <hyperlink r:id="rId848" ref="D1076"/>
    <hyperlink r:id="rId849" ref="D1077"/>
    <hyperlink r:id="rId850" ref="A1078"/>
    <hyperlink r:id="rId851" ref="D1078"/>
    <hyperlink r:id="rId852" ref="D1079"/>
    <hyperlink r:id="rId853" ref="D1080"/>
    <hyperlink r:id="rId854" ref="D1081"/>
    <hyperlink r:id="rId855" ref="D1082"/>
    <hyperlink r:id="rId856" ref="D1083"/>
    <hyperlink r:id="rId857" ref="D1084"/>
    <hyperlink r:id="rId858" ref="D1085"/>
    <hyperlink r:id="rId859" ref="D1086"/>
    <hyperlink r:id="rId860" ref="D1087"/>
    <hyperlink r:id="rId861" ref="D1088"/>
    <hyperlink r:id="rId862" ref="D1089"/>
    <hyperlink r:id="rId863" ref="D1090"/>
    <hyperlink r:id="rId864" ref="D1091"/>
    <hyperlink r:id="rId865" ref="D1092"/>
    <hyperlink r:id="rId866" ref="D1093"/>
    <hyperlink r:id="rId867" ref="D1094"/>
    <hyperlink r:id="rId868" ref="D1095"/>
    <hyperlink r:id="rId869" ref="D1096"/>
    <hyperlink r:id="rId870" ref="D1097"/>
    <hyperlink r:id="rId871" ref="D1098"/>
    <hyperlink r:id="rId872" ref="D1099"/>
    <hyperlink r:id="rId873" ref="D1100"/>
    <hyperlink r:id="rId874" ref="D1101"/>
    <hyperlink r:id="rId875" ref="D1103"/>
    <hyperlink r:id="rId876" ref="D1104"/>
    <hyperlink r:id="rId877" ref="D1105"/>
    <hyperlink r:id="rId878" ref="D1106"/>
    <hyperlink r:id="rId879" ref="D1107"/>
    <hyperlink r:id="rId880" ref="D1108"/>
    <hyperlink r:id="rId881" ref="D1109"/>
    <hyperlink r:id="rId882" ref="D1110"/>
    <hyperlink r:id="rId883" ref="D1111"/>
    <hyperlink r:id="rId884" ref="D1112"/>
    <hyperlink r:id="rId885" ref="D1113"/>
    <hyperlink r:id="rId886" ref="D1114"/>
    <hyperlink r:id="rId887" ref="D1115"/>
    <hyperlink r:id="rId888" ref="D1116"/>
    <hyperlink r:id="rId889" ref="D1117"/>
    <hyperlink r:id="rId890" ref="A1118"/>
    <hyperlink r:id="rId891" ref="D1118"/>
    <hyperlink r:id="rId892" ref="D1119"/>
    <hyperlink r:id="rId893" ref="D1120"/>
    <hyperlink r:id="rId894" ref="D1121"/>
    <hyperlink r:id="rId895" ref="D1122"/>
    <hyperlink r:id="rId896" ref="D1123"/>
    <hyperlink r:id="rId897" ref="D1124"/>
    <hyperlink r:id="rId898" ref="D1125"/>
    <hyperlink r:id="rId899" ref="D1126"/>
    <hyperlink r:id="rId900" ref="D1127"/>
    <hyperlink r:id="rId901" ref="D1128"/>
    <hyperlink r:id="rId902" ref="D1129"/>
    <hyperlink r:id="rId903" ref="D1130"/>
    <hyperlink r:id="rId904" ref="D1131"/>
    <hyperlink r:id="rId905" ref="D1132"/>
    <hyperlink r:id="rId906" ref="D1133"/>
    <hyperlink r:id="rId907" ref="D1134"/>
    <hyperlink r:id="rId908" ref="D1135"/>
    <hyperlink r:id="rId909" ref="D1136"/>
    <hyperlink r:id="rId910" ref="D1137"/>
    <hyperlink r:id="rId911" ref="D1138"/>
    <hyperlink r:id="rId912" ref="D1139"/>
    <hyperlink r:id="rId913" ref="D1140"/>
    <hyperlink r:id="rId914" ref="D1141"/>
    <hyperlink r:id="rId915" ref="D1142"/>
    <hyperlink r:id="rId916" ref="D1143"/>
    <hyperlink r:id="rId917" ref="D1144"/>
    <hyperlink r:id="rId918" ref="D1145"/>
    <hyperlink r:id="rId919" ref="D1146"/>
    <hyperlink r:id="rId920" ref="D1147"/>
    <hyperlink r:id="rId921" ref="D1148"/>
    <hyperlink r:id="rId922" ref="D1149"/>
    <hyperlink r:id="rId923" ref="D1150"/>
    <hyperlink r:id="rId924" ref="D1151"/>
    <hyperlink r:id="rId925" ref="D1152"/>
    <hyperlink r:id="rId926" ref="D1153"/>
    <hyperlink r:id="rId927" ref="D1154"/>
    <hyperlink r:id="rId928" ref="G1154"/>
    <hyperlink r:id="rId929" ref="D1155"/>
    <hyperlink r:id="rId930" ref="D1156"/>
    <hyperlink r:id="rId931" ref="D1157"/>
    <hyperlink r:id="rId932" ref="A1158"/>
    <hyperlink r:id="rId933" ref="D1158"/>
    <hyperlink r:id="rId934" ref="D1159"/>
    <hyperlink r:id="rId935" ref="D1160"/>
    <hyperlink r:id="rId936" ref="D1161"/>
    <hyperlink r:id="rId937" ref="D1162"/>
    <hyperlink r:id="rId938" ref="D1163"/>
    <hyperlink r:id="rId939" ref="D1164"/>
    <hyperlink r:id="rId940" ref="A1165"/>
    <hyperlink r:id="rId941" ref="D1165"/>
    <hyperlink r:id="rId942" ref="D1166"/>
    <hyperlink r:id="rId943" ref="D1167"/>
    <hyperlink r:id="rId944" ref="D1168"/>
    <hyperlink r:id="rId945" ref="D1169"/>
    <hyperlink r:id="rId946" ref="D1171"/>
    <hyperlink r:id="rId947" ref="A1172"/>
    <hyperlink r:id="rId948" ref="D1172"/>
    <hyperlink r:id="rId949" location="gid=1720762204" ref="D1173"/>
    <hyperlink r:id="rId950" ref="D1174"/>
    <hyperlink r:id="rId951" ref="D1175"/>
    <hyperlink r:id="rId952" ref="D1176"/>
    <hyperlink r:id="rId953" ref="D1177"/>
    <hyperlink r:id="rId954" ref="D1178"/>
    <hyperlink r:id="rId955" ref="D1179"/>
    <hyperlink r:id="rId956" ref="D1180"/>
    <hyperlink r:id="rId957" ref="A1181"/>
    <hyperlink r:id="rId958" ref="D1181"/>
    <hyperlink r:id="rId959" ref="D1182"/>
    <hyperlink r:id="rId960" ref="D1183"/>
    <hyperlink r:id="rId961" ref="D1184"/>
    <hyperlink r:id="rId962" ref="D1185"/>
    <hyperlink r:id="rId963" ref="D1186"/>
    <hyperlink r:id="rId964" ref="D1187"/>
    <hyperlink r:id="rId965" ref="D1189"/>
    <hyperlink r:id="rId966" ref="D1190"/>
    <hyperlink r:id="rId967" ref="D1191"/>
    <hyperlink r:id="rId968" ref="D1192"/>
    <hyperlink r:id="rId969" ref="D1193"/>
    <hyperlink r:id="rId970" ref="D1194"/>
    <hyperlink r:id="rId971" ref="D1195"/>
    <hyperlink r:id="rId972" ref="D1196"/>
    <hyperlink r:id="rId973" ref="D1197"/>
    <hyperlink r:id="rId974" ref="A1198"/>
    <hyperlink r:id="rId975" ref="D1198"/>
    <hyperlink r:id="rId976" ref="D1199"/>
    <hyperlink r:id="rId977" ref="D1200"/>
    <hyperlink r:id="rId978" ref="D1201"/>
    <hyperlink r:id="rId979" ref="D1202"/>
    <hyperlink r:id="rId980" ref="D1203"/>
    <hyperlink r:id="rId981" ref="A1204"/>
    <hyperlink r:id="rId982" ref="D1204"/>
    <hyperlink r:id="rId983" ref="D1205"/>
    <hyperlink r:id="rId984" ref="D1206"/>
    <hyperlink r:id="rId985" ref="D1207"/>
    <hyperlink r:id="rId986" ref="D1208"/>
    <hyperlink r:id="rId987" ref="D1209"/>
    <hyperlink r:id="rId988" ref="D1210"/>
    <hyperlink r:id="rId989" ref="D1212"/>
    <hyperlink r:id="rId990" ref="D1213"/>
    <hyperlink r:id="rId991" ref="D1214"/>
    <hyperlink r:id="rId992" ref="D1216"/>
    <hyperlink r:id="rId993" ref="D1217"/>
    <hyperlink r:id="rId994" ref="D1218"/>
    <hyperlink r:id="rId995" ref="D1219"/>
    <hyperlink r:id="rId996" ref="D1220"/>
    <hyperlink r:id="rId997" ref="D1221"/>
    <hyperlink r:id="rId998" ref="D1222"/>
    <hyperlink r:id="rId999" ref="D1223"/>
    <hyperlink r:id="rId1000" ref="D1224"/>
    <hyperlink r:id="rId1001" ref="D1225"/>
    <hyperlink r:id="rId1002" ref="D1226"/>
    <hyperlink r:id="rId1003" ref="D1227"/>
    <hyperlink r:id="rId1004" ref="D1228"/>
    <hyperlink r:id="rId1005" ref="D1229"/>
    <hyperlink r:id="rId1006" ref="D1230"/>
    <hyperlink r:id="rId1007" ref="D1231"/>
    <hyperlink r:id="rId1008" ref="D1232"/>
    <hyperlink r:id="rId1009" ref="D1233"/>
    <hyperlink r:id="rId1010" ref="D1234"/>
    <hyperlink r:id="rId1011" ref="D1235"/>
    <hyperlink r:id="rId1012" ref="D1236"/>
    <hyperlink r:id="rId1013" ref="D1237"/>
    <hyperlink r:id="rId1014" ref="D1238"/>
    <hyperlink r:id="rId1015" ref="D1239"/>
    <hyperlink r:id="rId1016" ref="D1240"/>
    <hyperlink r:id="rId1017" ref="D1241"/>
    <hyperlink r:id="rId1018" ref="D1242"/>
    <hyperlink r:id="rId1019" ref="D1243"/>
    <hyperlink r:id="rId1020" ref="D1244"/>
    <hyperlink r:id="rId1021" ref="D1245"/>
    <hyperlink r:id="rId1022" ref="D1246"/>
    <hyperlink r:id="rId1023" ref="D1247"/>
    <hyperlink r:id="rId1024" ref="D1248"/>
    <hyperlink r:id="rId1025" ref="D1249"/>
    <hyperlink r:id="rId1026" ref="D1250"/>
    <hyperlink r:id="rId1027" ref="D1251"/>
    <hyperlink r:id="rId1028" ref="D1252"/>
    <hyperlink r:id="rId1029" ref="D1253"/>
    <hyperlink r:id="rId1030" ref="D1254"/>
    <hyperlink r:id="rId1031" ref="D1255"/>
    <hyperlink r:id="rId1032" ref="D1256"/>
    <hyperlink r:id="rId1033" ref="D1257"/>
    <hyperlink r:id="rId1034" ref="D1258"/>
    <hyperlink r:id="rId1035" ref="D1259"/>
    <hyperlink r:id="rId1036" ref="D1260"/>
    <hyperlink r:id="rId1037" ref="D1261"/>
    <hyperlink r:id="rId1038" ref="D1262"/>
    <hyperlink r:id="rId1039" ref="D1263"/>
    <hyperlink r:id="rId1040" ref="D1264"/>
    <hyperlink r:id="rId1041" ref="D1265"/>
    <hyperlink r:id="rId1042" ref="D1266"/>
    <hyperlink r:id="rId1043" ref="D1267"/>
    <hyperlink r:id="rId1044" ref="D1268"/>
    <hyperlink r:id="rId1045" ref="D1269"/>
    <hyperlink r:id="rId1046" ref="D1270"/>
    <hyperlink r:id="rId1047" ref="D1271"/>
    <hyperlink r:id="rId1048" ref="D1272"/>
    <hyperlink r:id="rId1049" ref="D1273"/>
    <hyperlink r:id="rId1050" ref="A1274"/>
    <hyperlink r:id="rId1051" ref="D1274"/>
    <hyperlink r:id="rId1052" ref="D1275"/>
    <hyperlink r:id="rId1053" ref="D1276"/>
    <hyperlink r:id="rId1054" ref="D1277"/>
    <hyperlink r:id="rId1055" ref="D1278"/>
    <hyperlink r:id="rId1056" ref="D1279"/>
    <hyperlink r:id="rId1057" ref="D1280"/>
    <hyperlink r:id="rId1058" ref="D1281"/>
    <hyperlink r:id="rId1059" ref="D1282"/>
    <hyperlink r:id="rId1060" ref="D1283"/>
    <hyperlink r:id="rId1061" ref="D1284"/>
    <hyperlink r:id="rId1062" ref="D1285"/>
    <hyperlink r:id="rId1063" ref="D1286"/>
    <hyperlink r:id="rId1064" ref="D1287"/>
    <hyperlink r:id="rId1065" ref="D1288"/>
    <hyperlink r:id="rId1066" ref="D1289"/>
    <hyperlink r:id="rId1067" ref="D1290"/>
    <hyperlink r:id="rId1068" ref="D1291"/>
    <hyperlink r:id="rId1069" ref="D1292"/>
    <hyperlink r:id="rId1070" ref="D1293"/>
    <hyperlink r:id="rId1071" ref="D1294"/>
    <hyperlink r:id="rId1072" ref="D1295"/>
    <hyperlink r:id="rId1073" ref="D1296"/>
    <hyperlink r:id="rId1074" ref="D1297"/>
    <hyperlink r:id="rId1075" ref="D1298"/>
    <hyperlink r:id="rId1076" ref="D1299"/>
    <hyperlink r:id="rId1077" ref="D1300"/>
    <hyperlink r:id="rId1078" ref="A1333"/>
    <hyperlink r:id="rId1079" ref="D1377"/>
    <hyperlink r:id="rId1080" ref="D1378"/>
    <hyperlink r:id="rId1081" ref="D1379"/>
    <hyperlink r:id="rId1082" ref="D1380"/>
    <hyperlink r:id="rId1083" ref="D1381"/>
    <hyperlink r:id="rId1084" ref="D1383"/>
    <hyperlink r:id="rId1085" ref="D1384"/>
    <hyperlink r:id="rId1086" ref="D1385"/>
    <hyperlink r:id="rId1087" ref="D1386"/>
    <hyperlink r:id="rId1088" ref="D1387"/>
    <hyperlink r:id="rId1089" ref="D1388"/>
    <hyperlink r:id="rId1090" ref="D1389"/>
    <hyperlink r:id="rId1091" ref="D1390"/>
    <hyperlink r:id="rId1092" ref="D1392"/>
    <hyperlink r:id="rId1093" ref="D1393"/>
    <hyperlink r:id="rId1094" ref="D1394"/>
    <hyperlink r:id="rId1095" ref="D1395"/>
    <hyperlink r:id="rId1096" ref="D1396"/>
    <hyperlink r:id="rId1097" ref="D1397"/>
    <hyperlink r:id="rId1098" ref="D1399"/>
    <hyperlink r:id="rId1099" ref="D1402"/>
    <hyperlink r:id="rId1100" ref="D1403"/>
    <hyperlink r:id="rId1101" ref="D1404"/>
    <hyperlink r:id="rId1102" ref="D1405"/>
    <hyperlink r:id="rId1103" ref="D1406"/>
    <hyperlink r:id="rId1104" ref="D1407"/>
    <hyperlink r:id="rId1105" ref="D1408"/>
    <hyperlink r:id="rId1106" ref="D1409"/>
    <hyperlink r:id="rId1107" ref="D1410"/>
    <hyperlink r:id="rId1108" ref="D1412"/>
    <hyperlink r:id="rId1109" ref="D1414"/>
    <hyperlink r:id="rId1110" ref="D1416"/>
    <hyperlink r:id="rId1111" ref="D1417"/>
    <hyperlink r:id="rId1112" ref="D1420"/>
    <hyperlink r:id="rId1113" ref="D1421"/>
    <hyperlink r:id="rId1114" ref="D1423"/>
    <hyperlink r:id="rId1115" ref="D1424"/>
    <hyperlink r:id="rId1116" ref="D1425"/>
    <hyperlink r:id="rId1117" ref="D1426"/>
    <hyperlink r:id="rId1118" ref="D1427"/>
    <hyperlink r:id="rId1119" ref="D1428"/>
    <hyperlink r:id="rId1120" ref="D1429"/>
    <hyperlink r:id="rId1121" ref="D1430"/>
    <hyperlink r:id="rId1122" ref="D1431"/>
    <hyperlink r:id="rId1123" ref="D1432"/>
    <hyperlink r:id="rId1124" ref="D1433"/>
    <hyperlink r:id="rId1125" ref="D1434"/>
    <hyperlink r:id="rId1126" ref="D1435"/>
    <hyperlink r:id="rId1127" ref="D1436"/>
    <hyperlink r:id="rId1128" ref="D1438"/>
    <hyperlink r:id="rId1129" ref="D1439"/>
    <hyperlink r:id="rId1130" ref="D1440"/>
    <hyperlink r:id="rId1131" ref="D1441"/>
    <hyperlink r:id="rId1132" ref="D1442"/>
    <hyperlink r:id="rId1133" ref="D1443"/>
    <hyperlink r:id="rId1134" ref="D1444"/>
    <hyperlink r:id="rId1135" ref="D1445"/>
    <hyperlink r:id="rId1136" ref="D1446"/>
    <hyperlink r:id="rId1137" ref="D1447"/>
    <hyperlink r:id="rId1138" ref="D1448"/>
    <hyperlink r:id="rId1139" ref="D1449"/>
    <hyperlink r:id="rId1140" ref="D1450"/>
    <hyperlink r:id="rId1141" ref="D1454"/>
    <hyperlink r:id="rId1142" ref="D1455"/>
    <hyperlink r:id="rId1143" ref="D1456"/>
    <hyperlink r:id="rId1144" ref="D1457"/>
    <hyperlink r:id="rId1145" ref="D1459"/>
    <hyperlink r:id="rId1146" ref="D1460"/>
    <hyperlink r:id="rId1147" ref="D1461"/>
    <hyperlink r:id="rId1148" ref="D1462"/>
    <hyperlink r:id="rId1149" ref="D1463"/>
    <hyperlink r:id="rId1150" ref="D1464"/>
    <hyperlink r:id="rId1151" ref="D1465"/>
    <hyperlink r:id="rId1152" ref="D1466"/>
    <hyperlink r:id="rId1153" ref="D1467"/>
    <hyperlink r:id="rId1154" ref="D1468"/>
    <hyperlink r:id="rId1155" ref="D1469"/>
    <hyperlink r:id="rId1156" ref="D1470"/>
    <hyperlink r:id="rId1157" ref="D1471"/>
    <hyperlink r:id="rId1158" ref="D1472"/>
    <hyperlink r:id="rId1159" ref="D1473"/>
    <hyperlink r:id="rId1160" ref="G1473"/>
    <hyperlink r:id="rId1161" ref="D1475"/>
    <hyperlink r:id="rId1162" ref="D1476"/>
    <hyperlink r:id="rId1163" ref="D1477"/>
    <hyperlink r:id="rId1164" ref="D1478"/>
    <hyperlink r:id="rId1165" ref="D1479"/>
    <hyperlink r:id="rId1166" ref="D1480"/>
    <hyperlink r:id="rId1167" ref="D1481"/>
    <hyperlink r:id="rId1168" ref="D1482"/>
    <hyperlink r:id="rId1169" ref="D1483"/>
    <hyperlink r:id="rId1170" ref="D1484"/>
    <hyperlink r:id="rId1171" ref="D1486"/>
    <hyperlink r:id="rId1172" ref="D1487"/>
    <hyperlink r:id="rId1173" ref="D1488"/>
    <hyperlink r:id="rId1174" ref="D1489"/>
    <hyperlink r:id="rId1175" ref="D1490"/>
    <hyperlink r:id="rId1176" ref="D1491"/>
    <hyperlink r:id="rId1177" ref="D1492"/>
    <hyperlink r:id="rId1178" ref="D1493"/>
    <hyperlink r:id="rId1179" ref="D1494"/>
    <hyperlink r:id="rId1180" ref="D1495"/>
    <hyperlink r:id="rId1181" ref="D1496"/>
    <hyperlink r:id="rId1182" ref="D1497"/>
    <hyperlink r:id="rId1183" ref="D1498"/>
    <hyperlink r:id="rId1184" ref="D1499"/>
    <hyperlink r:id="rId1185" ref="D1500"/>
    <hyperlink r:id="rId1186" ref="D1501"/>
    <hyperlink r:id="rId1187" ref="D1502"/>
    <hyperlink r:id="rId1188" ref="D1503"/>
    <hyperlink r:id="rId1189" ref="D1504"/>
    <hyperlink r:id="rId1190" ref="D1505"/>
    <hyperlink r:id="rId1191" ref="A1506"/>
    <hyperlink r:id="rId1192" ref="D1506"/>
    <hyperlink r:id="rId1193" ref="D1507"/>
    <hyperlink r:id="rId1194" ref="D1508"/>
    <hyperlink r:id="rId1195" ref="D1509"/>
    <hyperlink r:id="rId1196" ref="D1510"/>
    <hyperlink r:id="rId1197" ref="D1511"/>
    <hyperlink r:id="rId1198" ref="D1512"/>
    <hyperlink r:id="rId1199" ref="D1513"/>
    <hyperlink r:id="rId1200" ref="D1514"/>
    <hyperlink r:id="rId1201" ref="D1516"/>
    <hyperlink r:id="rId1202" ref="D1517"/>
    <hyperlink r:id="rId1203" ref="D1518"/>
    <hyperlink r:id="rId1204" ref="D1519"/>
    <hyperlink r:id="rId1205" ref="D1520"/>
    <hyperlink r:id="rId1206" ref="D1521"/>
    <hyperlink r:id="rId1207" ref="D1522"/>
    <hyperlink r:id="rId1208" ref="D1528"/>
    <hyperlink r:id="rId1209" ref="A1543"/>
    <hyperlink r:id="rId1210" ref="D1560"/>
    <hyperlink r:id="rId1211" ref="D1563"/>
    <hyperlink r:id="rId1212" ref="D1565"/>
    <hyperlink r:id="rId1213" ref="D1566"/>
    <hyperlink r:id="rId1214" ref="D1567"/>
    <hyperlink r:id="rId1215" ref="D1568"/>
    <hyperlink r:id="rId1216" ref="D1569"/>
    <hyperlink r:id="rId1217" ref="D1570"/>
    <hyperlink r:id="rId1218" ref="D1571"/>
    <hyperlink r:id="rId1219" ref="D1576"/>
    <hyperlink r:id="rId1220" ref="D1577"/>
    <hyperlink r:id="rId1221" ref="D1584"/>
    <hyperlink r:id="rId1222" ref="D1585"/>
    <hyperlink r:id="rId1223" ref="D1586"/>
    <hyperlink r:id="rId1224" ref="D1588"/>
    <hyperlink r:id="rId1225" ref="D1589"/>
    <hyperlink r:id="rId1226" ref="D1590"/>
    <hyperlink r:id="rId1227" ref="D1591"/>
    <hyperlink r:id="rId1228" ref="D1592"/>
    <hyperlink r:id="rId1229" ref="D1593"/>
    <hyperlink r:id="rId1230" ref="D1594"/>
    <hyperlink r:id="rId1231" ref="D1595"/>
    <hyperlink r:id="rId1232" ref="D1596"/>
    <hyperlink r:id="rId1233" ref="D1597"/>
    <hyperlink r:id="rId1234" ref="D1598"/>
    <hyperlink r:id="rId1235" ref="D1599"/>
    <hyperlink r:id="rId1236" ref="D1600"/>
    <hyperlink r:id="rId1237" ref="D1601"/>
    <hyperlink r:id="rId1238" ref="D1602"/>
    <hyperlink r:id="rId1239" ref="D1603"/>
    <hyperlink r:id="rId1240" ref="D1604"/>
    <hyperlink r:id="rId1241" ref="D1605"/>
    <hyperlink r:id="rId1242" ref="D1606"/>
    <hyperlink r:id="rId1243" ref="D1607"/>
    <hyperlink r:id="rId1244" ref="D1608"/>
    <hyperlink r:id="rId1245" ref="D1609"/>
    <hyperlink r:id="rId1246" ref="D1610"/>
    <hyperlink r:id="rId1247" ref="D1611"/>
    <hyperlink r:id="rId1248" ref="D1612"/>
    <hyperlink r:id="rId1249" ref="D1613"/>
    <hyperlink r:id="rId1250" ref="D1614"/>
    <hyperlink r:id="rId1251" ref="D1615"/>
    <hyperlink r:id="rId1252" ref="D1616"/>
    <hyperlink r:id="rId1253" ref="D1617"/>
    <hyperlink r:id="rId1254" ref="D1618"/>
    <hyperlink r:id="rId1255" ref="D1619"/>
    <hyperlink r:id="rId1256" ref="D1620"/>
    <hyperlink r:id="rId1257" ref="D1621"/>
    <hyperlink r:id="rId1258" ref="D1622"/>
    <hyperlink r:id="rId1259" ref="D1623"/>
    <hyperlink r:id="rId1260" ref="D1624"/>
    <hyperlink r:id="rId1261" ref="D1625"/>
    <hyperlink r:id="rId1262" ref="D1626"/>
    <hyperlink r:id="rId1263" ref="D1627"/>
    <hyperlink r:id="rId1264" ref="D1628"/>
    <hyperlink r:id="rId1265" ref="D1629"/>
    <hyperlink r:id="rId1266" ref="D1630"/>
    <hyperlink r:id="rId1267" ref="D1631"/>
    <hyperlink r:id="rId1268" ref="D1632"/>
    <hyperlink r:id="rId1269" ref="D1633"/>
    <hyperlink r:id="rId1270" ref="D1634"/>
    <hyperlink r:id="rId1271" ref="D1635"/>
    <hyperlink r:id="rId1272" ref="D1636"/>
    <hyperlink r:id="rId1273" ref="A1637"/>
    <hyperlink r:id="rId1274" ref="D1637"/>
    <hyperlink r:id="rId1275" ref="D1638"/>
    <hyperlink r:id="rId1276" ref="D1639"/>
    <hyperlink r:id="rId1277" ref="D1640"/>
    <hyperlink r:id="rId1278" ref="D1641"/>
    <hyperlink r:id="rId1279" ref="D1642"/>
    <hyperlink r:id="rId1280" ref="D1643"/>
    <hyperlink r:id="rId1281" ref="D1644"/>
    <hyperlink r:id="rId1282" ref="D1645"/>
    <hyperlink r:id="rId1283" ref="D1646"/>
    <hyperlink r:id="rId1284" ref="D1647"/>
    <hyperlink r:id="rId1285" ref="D1648"/>
    <hyperlink r:id="rId1286" ref="D1649"/>
    <hyperlink r:id="rId1287" ref="D1650"/>
    <hyperlink r:id="rId1288" ref="D1651"/>
    <hyperlink r:id="rId1289" ref="D1652"/>
    <hyperlink r:id="rId1290" ref="D1653"/>
    <hyperlink r:id="rId1291" ref="D1654"/>
    <hyperlink r:id="rId1292" ref="D1655"/>
    <hyperlink r:id="rId1293" ref="D1726"/>
    <hyperlink r:id="rId1294" ref="D1728"/>
    <hyperlink r:id="rId1295" ref="D1734"/>
    <hyperlink r:id="rId1296" ref="D1735"/>
    <hyperlink r:id="rId1297" ref="D1737"/>
    <hyperlink r:id="rId1298" ref="D1740"/>
    <hyperlink r:id="rId1299" ref="D1743"/>
    <hyperlink r:id="rId1300" ref="D1744"/>
    <hyperlink r:id="rId1301" ref="D1745"/>
    <hyperlink r:id="rId1302" ref="D1746"/>
    <hyperlink r:id="rId1303" ref="D1747"/>
    <hyperlink r:id="rId1304" ref="D1748"/>
    <hyperlink r:id="rId1305" ref="D1749"/>
    <hyperlink r:id="rId1306" ref="D1750"/>
    <hyperlink r:id="rId1307" ref="D1751"/>
    <hyperlink r:id="rId1308" ref="D1752"/>
    <hyperlink r:id="rId1309" ref="D1753"/>
    <hyperlink r:id="rId1310" ref="D1754"/>
    <hyperlink r:id="rId1311" ref="A1755"/>
    <hyperlink r:id="rId1312" ref="D1755"/>
    <hyperlink r:id="rId1313" ref="D1756"/>
    <hyperlink r:id="rId1314" ref="D1757"/>
    <hyperlink r:id="rId1315" ref="D1758"/>
    <hyperlink r:id="rId1316" ref="D1759"/>
    <hyperlink r:id="rId1317" ref="D1760"/>
    <hyperlink r:id="rId1318" ref="D1761"/>
    <hyperlink r:id="rId1319" ref="D1762"/>
    <hyperlink r:id="rId1320" ref="D1763"/>
    <hyperlink r:id="rId1321" ref="D1764"/>
    <hyperlink r:id="rId1322" ref="D1765"/>
    <hyperlink r:id="rId1323" ref="D1766"/>
    <hyperlink r:id="rId1324" ref="D1767"/>
    <hyperlink r:id="rId1325" ref="D1768"/>
    <hyperlink r:id="rId1326" ref="D1769"/>
    <hyperlink r:id="rId1327" ref="D1770"/>
    <hyperlink r:id="rId1328" ref="D1771"/>
    <hyperlink r:id="rId1329" ref="D1772"/>
    <hyperlink r:id="rId1330" ref="D1773"/>
    <hyperlink r:id="rId1331" ref="D1774"/>
    <hyperlink r:id="rId1332" ref="D1775"/>
    <hyperlink r:id="rId1333" ref="D1776"/>
    <hyperlink r:id="rId1334" ref="D1777"/>
    <hyperlink r:id="rId1335" ref="D1778"/>
    <hyperlink r:id="rId1336" ref="D1779"/>
    <hyperlink r:id="rId1337" ref="A1780"/>
    <hyperlink r:id="rId1338" ref="D1780"/>
    <hyperlink r:id="rId1339" ref="D1781"/>
    <hyperlink r:id="rId1340" ref="D1782"/>
    <hyperlink r:id="rId1341" ref="D1783"/>
    <hyperlink r:id="rId1342" ref="D1784"/>
    <hyperlink r:id="rId1343" ref="D1786"/>
    <hyperlink r:id="rId1344" ref="D1789"/>
    <hyperlink r:id="rId1345" ref="D1791"/>
    <hyperlink r:id="rId1346" ref="D1792"/>
    <hyperlink r:id="rId1347" ref="D1793"/>
    <hyperlink r:id="rId1348" ref="D1796"/>
    <hyperlink r:id="rId1349" ref="D1797"/>
    <hyperlink r:id="rId1350" ref="D1798"/>
    <hyperlink r:id="rId1351" ref="D1799"/>
    <hyperlink r:id="rId1352" ref="D1800"/>
    <hyperlink r:id="rId1353" ref="D1801"/>
    <hyperlink r:id="rId1354" ref="D1802"/>
    <hyperlink r:id="rId1355" ref="D1803"/>
    <hyperlink r:id="rId1356" ref="D1804"/>
    <hyperlink r:id="rId1357" ref="D1805"/>
    <hyperlink r:id="rId1358" ref="D1806"/>
    <hyperlink r:id="rId1359" ref="D1807"/>
    <hyperlink r:id="rId1360" ref="D1808"/>
    <hyperlink r:id="rId1361" ref="D1809"/>
    <hyperlink r:id="rId1362" ref="D1810"/>
    <hyperlink r:id="rId1363" ref="D1811"/>
    <hyperlink r:id="rId1364" ref="D1812"/>
    <hyperlink r:id="rId1365" ref="D1813"/>
    <hyperlink r:id="rId1366" ref="D1814"/>
    <hyperlink r:id="rId1367" ref="D1815"/>
    <hyperlink r:id="rId1368" ref="D1816"/>
    <hyperlink r:id="rId1369" ref="D1817"/>
    <hyperlink r:id="rId1370" ref="D1818"/>
    <hyperlink r:id="rId1371" ref="D1819"/>
    <hyperlink r:id="rId1372" ref="D1820"/>
    <hyperlink r:id="rId1373" ref="D1821"/>
    <hyperlink r:id="rId1374" ref="D1822"/>
    <hyperlink r:id="rId1375" ref="D1823"/>
    <hyperlink r:id="rId1376" ref="D1824"/>
    <hyperlink r:id="rId1377" ref="D1825"/>
    <hyperlink r:id="rId1378" ref="D1826"/>
    <hyperlink r:id="rId1379" ref="D1827"/>
    <hyperlink r:id="rId1380" ref="D1828"/>
    <hyperlink r:id="rId1381" ref="D1829"/>
    <hyperlink r:id="rId1382" ref="D1830"/>
    <hyperlink r:id="rId1383" ref="D1831"/>
    <hyperlink r:id="rId1384" ref="D1832"/>
    <hyperlink r:id="rId1385" ref="D1833"/>
    <hyperlink r:id="rId1386" ref="D1834"/>
    <hyperlink r:id="rId1387" ref="D1835"/>
    <hyperlink r:id="rId1388" ref="D1836"/>
    <hyperlink r:id="rId1389" ref="D1837"/>
    <hyperlink r:id="rId1390" ref="D1838"/>
    <hyperlink r:id="rId1391" ref="D1839"/>
    <hyperlink r:id="rId1392" ref="D1840"/>
    <hyperlink r:id="rId1393" ref="D1841"/>
    <hyperlink r:id="rId1394" ref="D1842"/>
    <hyperlink r:id="rId1395" ref="D1843"/>
    <hyperlink r:id="rId1396" ref="D1844"/>
    <hyperlink r:id="rId1397" ref="D1846"/>
    <hyperlink r:id="rId1398" ref="D1847"/>
    <hyperlink r:id="rId1399" ref="D1848"/>
    <hyperlink r:id="rId1400" ref="D1849"/>
    <hyperlink r:id="rId1401" ref="D1850"/>
    <hyperlink r:id="rId1402" ref="D1851"/>
    <hyperlink r:id="rId1403" ref="D1852"/>
    <hyperlink r:id="rId1404" ref="D1853"/>
    <hyperlink r:id="rId1405" ref="D1854"/>
    <hyperlink r:id="rId1406" ref="D1856"/>
    <hyperlink r:id="rId1407" ref="D1857"/>
    <hyperlink r:id="rId1408" ref="D1858"/>
    <hyperlink r:id="rId1409" ref="D1860"/>
    <hyperlink r:id="rId1410" ref="D1861"/>
    <hyperlink r:id="rId1411" ref="D1862"/>
    <hyperlink r:id="rId1412" ref="D1863"/>
    <hyperlink r:id="rId1413" ref="D1864"/>
    <hyperlink r:id="rId1414" ref="D1865"/>
    <hyperlink r:id="rId1415" ref="D1866"/>
    <hyperlink r:id="rId1416" ref="D1867"/>
    <hyperlink r:id="rId1417" ref="D1868"/>
    <hyperlink r:id="rId1418" ref="D1869"/>
    <hyperlink r:id="rId1419" ref="D1870"/>
    <hyperlink r:id="rId1420" ref="D1871"/>
    <hyperlink r:id="rId1421" ref="D1872"/>
    <hyperlink r:id="rId1422" ref="D1873"/>
    <hyperlink r:id="rId1423" ref="D1875"/>
    <hyperlink r:id="rId1424" ref="D1876"/>
    <hyperlink r:id="rId1425" ref="D1877"/>
    <hyperlink r:id="rId1426" ref="D1878"/>
    <hyperlink r:id="rId1427" ref="D1879"/>
    <hyperlink r:id="rId1428" ref="D1881"/>
    <hyperlink r:id="rId1429" ref="D1882"/>
    <hyperlink r:id="rId1430" ref="D1883"/>
    <hyperlink r:id="rId1431" ref="D1884"/>
    <hyperlink r:id="rId1432" ref="D1885"/>
    <hyperlink r:id="rId1433" ref="D1886"/>
    <hyperlink r:id="rId1434" ref="D1887"/>
    <hyperlink r:id="rId1435" ref="D1889"/>
    <hyperlink r:id="rId1436" ref="D1890"/>
    <hyperlink r:id="rId1437" ref="D1891"/>
    <hyperlink r:id="rId1438" ref="D1892"/>
    <hyperlink r:id="rId1439" ref="D1893"/>
    <hyperlink r:id="rId1440" ref="D1894"/>
    <hyperlink r:id="rId1441" ref="D1896"/>
    <hyperlink r:id="rId1442" ref="D1897"/>
    <hyperlink r:id="rId1443" ref="D1898"/>
    <hyperlink r:id="rId1444" ref="D1899"/>
    <hyperlink r:id="rId1445" ref="D1900"/>
    <hyperlink r:id="rId1446" ref="D1902"/>
    <hyperlink r:id="rId1447" ref="D1903"/>
    <hyperlink r:id="rId1448" ref="D1904"/>
    <hyperlink r:id="rId1449" ref="D1905"/>
    <hyperlink r:id="rId1450" ref="D1906"/>
    <hyperlink r:id="rId1451" ref="D1907"/>
    <hyperlink r:id="rId1452" ref="D1908"/>
    <hyperlink r:id="rId1453" ref="D1909"/>
    <hyperlink r:id="rId1454" ref="D1910"/>
    <hyperlink r:id="rId1455" ref="D1911"/>
    <hyperlink r:id="rId1456" ref="D1912"/>
    <hyperlink r:id="rId1457" ref="D1913"/>
    <hyperlink r:id="rId1458" ref="D1914"/>
    <hyperlink r:id="rId1459" ref="D1915"/>
    <hyperlink r:id="rId1460" ref="D1916"/>
    <hyperlink r:id="rId1461" ref="D1917"/>
    <hyperlink r:id="rId1462" ref="D1918"/>
    <hyperlink r:id="rId1463" ref="D1919"/>
    <hyperlink r:id="rId1464" ref="D1920"/>
    <hyperlink r:id="rId1465" ref="D1921"/>
    <hyperlink r:id="rId1466" ref="D1922"/>
    <hyperlink r:id="rId1467" ref="D1924"/>
    <hyperlink r:id="rId1468" ref="D1926"/>
    <hyperlink r:id="rId1469" ref="D1927"/>
    <hyperlink r:id="rId1470" ref="D1928"/>
    <hyperlink r:id="rId1471" ref="D1930"/>
    <hyperlink r:id="rId1472" ref="D1931"/>
    <hyperlink r:id="rId1473" ref="D1932"/>
    <hyperlink r:id="rId1474" ref="D1933"/>
    <hyperlink r:id="rId1475" ref="D1934"/>
    <hyperlink r:id="rId1476" ref="D1935"/>
    <hyperlink r:id="rId1477" ref="D1936"/>
    <hyperlink r:id="rId1478" ref="D1937"/>
    <hyperlink r:id="rId1479" ref="D1939"/>
    <hyperlink r:id="rId1480" ref="D1940"/>
    <hyperlink r:id="rId1481" ref="D1941"/>
    <hyperlink r:id="rId1482" ref="D1942"/>
    <hyperlink r:id="rId1483" ref="D1943"/>
    <hyperlink r:id="rId1484" ref="D1944"/>
    <hyperlink r:id="rId1485" ref="D1945"/>
    <hyperlink r:id="rId1486" ref="D1946"/>
    <hyperlink r:id="rId1487" ref="D1947"/>
    <hyperlink r:id="rId1488" ref="D1948"/>
    <hyperlink r:id="rId1489" ref="D1949"/>
    <hyperlink r:id="rId1490" ref="D1950"/>
    <hyperlink r:id="rId1491" ref="D1951"/>
    <hyperlink r:id="rId1492" ref="D1952"/>
    <hyperlink r:id="rId1493" ref="D1953"/>
    <hyperlink r:id="rId1494" ref="D1954"/>
    <hyperlink r:id="rId1495" ref="D1955"/>
    <hyperlink r:id="rId1496" ref="D1956"/>
    <hyperlink r:id="rId1497" ref="D1957"/>
    <hyperlink r:id="rId1498" ref="D1958"/>
    <hyperlink r:id="rId1499" ref="D1959"/>
    <hyperlink r:id="rId1500" ref="D1960"/>
    <hyperlink r:id="rId1501" ref="D1961"/>
    <hyperlink r:id="rId1502" ref="D1962"/>
    <hyperlink r:id="rId1503" ref="D1963"/>
    <hyperlink r:id="rId1504" ref="D1964"/>
    <hyperlink r:id="rId1505" ref="D1965"/>
    <hyperlink r:id="rId1506" ref="D1966"/>
    <hyperlink r:id="rId1507" ref="D1967"/>
    <hyperlink r:id="rId1508" ref="D1968"/>
    <hyperlink r:id="rId1509" ref="D1969"/>
    <hyperlink r:id="rId1510" ref="D1970"/>
    <hyperlink r:id="rId1511" ref="D1971"/>
    <hyperlink r:id="rId1512" ref="D1972"/>
    <hyperlink r:id="rId1513" ref="D1973"/>
    <hyperlink r:id="rId1514" ref="D1974"/>
    <hyperlink r:id="rId1515" ref="D1975"/>
    <hyperlink r:id="rId1516" ref="D1976"/>
    <hyperlink r:id="rId1517" ref="D1977"/>
    <hyperlink r:id="rId1518" ref="D1978"/>
    <hyperlink r:id="rId1519" ref="D1979"/>
    <hyperlink r:id="rId1520" ref="D1980"/>
    <hyperlink r:id="rId1521" ref="D1981"/>
    <hyperlink r:id="rId1522" ref="D1982"/>
    <hyperlink r:id="rId1523" ref="D1983"/>
    <hyperlink r:id="rId1524" ref="D1984"/>
    <hyperlink r:id="rId1525" ref="D1985"/>
    <hyperlink r:id="rId1526" ref="D1986"/>
    <hyperlink r:id="rId1527" ref="D1987"/>
    <hyperlink r:id="rId1528" ref="D1989"/>
    <hyperlink r:id="rId1529" ref="D1990"/>
    <hyperlink r:id="rId1530" ref="D1991"/>
    <hyperlink r:id="rId1531" ref="D1992"/>
    <hyperlink r:id="rId1532" ref="D1993"/>
    <hyperlink r:id="rId1533" ref="D1994"/>
    <hyperlink r:id="rId1534" ref="D1995"/>
    <hyperlink r:id="rId1535" ref="D1996"/>
    <hyperlink r:id="rId1536" ref="D1997"/>
    <hyperlink r:id="rId1537" ref="D1998"/>
    <hyperlink r:id="rId1538" ref="D1999"/>
    <hyperlink r:id="rId1539" ref="D2001"/>
    <hyperlink r:id="rId1540" ref="D2002"/>
    <hyperlink r:id="rId1541" ref="D2003"/>
    <hyperlink r:id="rId1542" ref="D2005"/>
    <hyperlink r:id="rId1543" ref="D2006"/>
    <hyperlink r:id="rId1544" ref="D2007"/>
    <hyperlink r:id="rId1545" ref="D2008"/>
    <hyperlink r:id="rId1546" ref="D2009"/>
    <hyperlink r:id="rId1547" ref="D2010"/>
    <hyperlink r:id="rId1548" ref="D2011"/>
    <hyperlink r:id="rId1549" ref="D2012"/>
    <hyperlink r:id="rId1550" ref="D2013"/>
    <hyperlink r:id="rId1551" ref="D2014"/>
    <hyperlink r:id="rId1552" ref="D2015"/>
    <hyperlink r:id="rId1553" ref="D2016"/>
    <hyperlink r:id="rId1554" ref="D2017"/>
    <hyperlink r:id="rId1555" ref="D2018"/>
    <hyperlink r:id="rId1556" ref="D2019"/>
    <hyperlink r:id="rId1557" ref="D2020"/>
    <hyperlink r:id="rId1558" ref="D2021"/>
    <hyperlink r:id="rId1559" ref="D2022"/>
    <hyperlink r:id="rId1560" ref="D2023"/>
    <hyperlink r:id="rId1561" ref="D2024"/>
    <hyperlink r:id="rId1562" ref="D2025"/>
    <hyperlink r:id="rId1563" ref="D2026"/>
    <hyperlink r:id="rId1564" ref="D2027"/>
    <hyperlink r:id="rId1565" ref="D2028"/>
    <hyperlink r:id="rId1566" ref="D2029"/>
    <hyperlink r:id="rId1567" ref="D2030"/>
    <hyperlink r:id="rId1568" ref="D2031"/>
    <hyperlink r:id="rId1569" ref="D2032"/>
    <hyperlink r:id="rId1570" ref="D2033"/>
    <hyperlink r:id="rId1571" ref="D2041"/>
    <hyperlink r:id="rId1572" ref="D2042"/>
    <hyperlink r:id="rId1573" ref="D2043"/>
    <hyperlink r:id="rId1574" ref="D2044"/>
    <hyperlink r:id="rId1575" ref="D2045"/>
    <hyperlink r:id="rId1576" ref="D2046"/>
    <hyperlink r:id="rId1577" ref="D2047"/>
    <hyperlink r:id="rId1578" ref="D2048"/>
    <hyperlink r:id="rId1579" ref="D2049"/>
    <hyperlink r:id="rId1580" ref="D2052"/>
    <hyperlink r:id="rId1581" ref="D2053"/>
    <hyperlink r:id="rId1582" ref="D2054"/>
    <hyperlink r:id="rId1583" ref="D2055"/>
    <hyperlink r:id="rId1584" ref="D2056"/>
    <hyperlink r:id="rId1585" ref="D2057"/>
    <hyperlink r:id="rId1586" ref="D2058"/>
    <hyperlink r:id="rId1587" ref="D2059"/>
    <hyperlink r:id="rId1588" ref="D2060"/>
    <hyperlink r:id="rId1589" ref="D2061"/>
    <hyperlink r:id="rId1590" ref="D2062"/>
    <hyperlink r:id="rId1591" ref="D2063"/>
    <hyperlink r:id="rId1592" ref="D2064"/>
    <hyperlink r:id="rId1593" ref="D2065"/>
    <hyperlink r:id="rId1594" ref="D2066"/>
    <hyperlink r:id="rId1595" ref="D2067"/>
    <hyperlink r:id="rId1596" ref="D2068"/>
    <hyperlink r:id="rId1597" ref="D2069"/>
    <hyperlink r:id="rId1598" ref="D2070"/>
    <hyperlink r:id="rId1599" ref="D2071"/>
    <hyperlink r:id="rId1600" ref="D2072"/>
    <hyperlink r:id="rId1601" ref="D2073"/>
    <hyperlink r:id="rId1602" ref="D2074"/>
    <hyperlink r:id="rId1603" ref="D2075"/>
    <hyperlink r:id="rId1604" ref="D2076"/>
    <hyperlink r:id="rId1605" ref="D2077"/>
    <hyperlink r:id="rId1606" ref="D2078"/>
    <hyperlink r:id="rId1607" ref="D2079"/>
    <hyperlink r:id="rId1608" ref="D2080"/>
    <hyperlink r:id="rId1609" ref="D2081"/>
    <hyperlink r:id="rId1610" ref="D2082"/>
    <hyperlink r:id="rId1611" ref="D2083"/>
    <hyperlink r:id="rId1612" ref="D2084"/>
    <hyperlink r:id="rId1613" ref="D2085"/>
    <hyperlink r:id="rId1614" ref="D2086"/>
    <hyperlink r:id="rId1615" ref="D2087"/>
    <hyperlink r:id="rId1616" ref="D2088"/>
    <hyperlink r:id="rId1617" ref="D2089"/>
    <hyperlink r:id="rId1618" ref="D2090"/>
    <hyperlink r:id="rId1619" ref="D2091"/>
    <hyperlink r:id="rId1620" ref="D2092"/>
    <hyperlink r:id="rId1621" ref="D2093"/>
    <hyperlink r:id="rId1622" ref="D2094"/>
    <hyperlink r:id="rId1623" ref="D2095"/>
    <hyperlink r:id="rId1624" ref="D2096"/>
    <hyperlink r:id="rId1625" ref="D2097"/>
    <hyperlink r:id="rId1626" ref="D2098"/>
    <hyperlink r:id="rId1627" ref="D2099"/>
    <hyperlink r:id="rId1628" ref="D2100"/>
    <hyperlink r:id="rId1629" ref="D2101"/>
    <hyperlink r:id="rId1630" ref="D2102"/>
    <hyperlink r:id="rId1631" ref="D2103"/>
    <hyperlink r:id="rId1632" ref="D2104"/>
    <hyperlink r:id="rId1633" ref="D2105"/>
    <hyperlink r:id="rId1634" ref="D2106"/>
    <hyperlink r:id="rId1635" ref="D2107"/>
    <hyperlink r:id="rId1636" ref="D2108"/>
    <hyperlink r:id="rId1637" ref="D2109"/>
    <hyperlink r:id="rId1638" ref="D2110"/>
    <hyperlink r:id="rId1639" ref="D2111"/>
    <hyperlink r:id="rId1640" ref="D2112"/>
    <hyperlink r:id="rId1641" ref="D2113"/>
    <hyperlink r:id="rId1642" ref="D2114"/>
    <hyperlink r:id="rId1643" ref="D2115"/>
    <hyperlink r:id="rId1644" ref="D2116"/>
    <hyperlink r:id="rId1645" ref="D2117"/>
    <hyperlink r:id="rId1646" ref="D2177"/>
    <hyperlink r:id="rId1647" ref="D2178"/>
    <hyperlink r:id="rId1648" ref="D2179"/>
    <hyperlink r:id="rId1649" ref="D2180"/>
    <hyperlink r:id="rId1650" ref="D2181"/>
    <hyperlink r:id="rId1651" ref="D2182"/>
    <hyperlink r:id="rId1652" ref="D2183"/>
    <hyperlink r:id="rId1653" ref="D2184"/>
    <hyperlink r:id="rId1654" ref="D2186"/>
    <hyperlink r:id="rId1655" ref="D2187"/>
    <hyperlink r:id="rId1656" ref="D2188"/>
    <hyperlink r:id="rId1657" ref="D2189"/>
    <hyperlink r:id="rId1658" ref="D2190"/>
    <hyperlink r:id="rId1659" ref="D2191"/>
    <hyperlink r:id="rId1660" ref="D2192"/>
    <hyperlink r:id="rId1661" ref="D2193"/>
    <hyperlink r:id="rId1662" ref="D2194"/>
    <hyperlink r:id="rId1663" ref="D2195"/>
    <hyperlink r:id="rId1664" ref="D2196"/>
    <hyperlink r:id="rId1665" ref="D2200"/>
    <hyperlink r:id="rId1666" ref="D2202"/>
    <hyperlink r:id="rId1667" ref="D2203"/>
    <hyperlink r:id="rId1668" ref="D2204"/>
    <hyperlink r:id="rId1669" ref="D2205"/>
    <hyperlink r:id="rId1670" ref="D2206"/>
    <hyperlink r:id="rId1671" ref="D2207"/>
    <hyperlink r:id="rId1672" ref="D2208"/>
    <hyperlink r:id="rId1673" ref="D2209"/>
    <hyperlink r:id="rId1674" ref="D2211"/>
    <hyperlink r:id="rId1675" ref="D2212"/>
    <hyperlink r:id="rId1676" ref="D2213"/>
    <hyperlink r:id="rId1677" ref="D2214"/>
    <hyperlink r:id="rId1678" ref="D2215"/>
    <hyperlink r:id="rId1679" ref="D2216"/>
    <hyperlink r:id="rId1680" ref="D2217"/>
    <hyperlink r:id="rId1681" ref="D2219"/>
    <hyperlink r:id="rId1682" ref="D2220"/>
    <hyperlink r:id="rId1683" ref="D2221"/>
    <hyperlink r:id="rId1684" ref="D2222"/>
    <hyperlink r:id="rId1685" ref="D2223"/>
    <hyperlink r:id="rId1686" ref="D2224"/>
    <hyperlink r:id="rId1687" ref="D2225"/>
    <hyperlink r:id="rId1688" ref="D2226"/>
    <hyperlink r:id="rId1689" ref="D2227"/>
    <hyperlink r:id="rId1690" ref="D2228"/>
    <hyperlink r:id="rId1691" ref="D2229"/>
    <hyperlink r:id="rId1692" ref="D2230"/>
    <hyperlink r:id="rId1693" ref="D2231"/>
    <hyperlink r:id="rId1694" ref="D2232"/>
    <hyperlink r:id="rId1695" ref="D2233"/>
    <hyperlink r:id="rId1696" ref="D2234"/>
    <hyperlink r:id="rId1697" ref="D2235"/>
    <hyperlink r:id="rId1698" ref="D2236"/>
    <hyperlink r:id="rId1699" ref="D2237"/>
    <hyperlink r:id="rId1700" ref="D2238"/>
    <hyperlink r:id="rId1701" ref="D2239"/>
    <hyperlink r:id="rId1702" ref="D2240"/>
    <hyperlink r:id="rId1703" ref="D2241"/>
    <hyperlink r:id="rId1704" ref="D2242"/>
    <hyperlink r:id="rId1705" ref="D2243"/>
    <hyperlink r:id="rId1706" ref="D2244"/>
    <hyperlink r:id="rId1707" ref="D2245"/>
    <hyperlink r:id="rId1708" ref="D2246"/>
    <hyperlink r:id="rId1709" ref="D2247"/>
    <hyperlink r:id="rId1710" ref="D2248"/>
    <hyperlink r:id="rId1711" ref="D2249"/>
    <hyperlink r:id="rId1712" ref="D2250"/>
    <hyperlink r:id="rId1713" ref="D2251"/>
    <hyperlink r:id="rId1714" ref="D2252"/>
    <hyperlink r:id="rId1715" ref="D2253"/>
    <hyperlink r:id="rId1716" ref="D2254"/>
    <hyperlink r:id="rId1717" ref="D2255"/>
    <hyperlink r:id="rId1718" ref="D2256"/>
    <hyperlink r:id="rId1719" ref="D2257"/>
    <hyperlink r:id="rId1720" ref="D2258"/>
    <hyperlink r:id="rId1721" ref="D2259"/>
    <hyperlink r:id="rId1722" ref="D2260"/>
    <hyperlink r:id="rId1723" ref="D2261"/>
    <hyperlink r:id="rId1724" ref="D2262"/>
    <hyperlink r:id="rId1725" ref="D2263"/>
    <hyperlink r:id="rId1726" ref="D2264"/>
    <hyperlink r:id="rId1727" ref="D2265"/>
    <hyperlink r:id="rId1728" ref="D2266"/>
    <hyperlink r:id="rId1729" ref="D2267"/>
    <hyperlink r:id="rId1730" ref="D2268"/>
    <hyperlink r:id="rId1731" ref="D2269"/>
    <hyperlink r:id="rId1732" ref="D2270"/>
    <hyperlink r:id="rId1733" ref="D2271"/>
    <hyperlink r:id="rId1734" ref="D2272"/>
    <hyperlink r:id="rId1735" ref="D2273"/>
    <hyperlink r:id="rId1736" ref="D2274"/>
    <hyperlink r:id="rId1737" ref="D2275"/>
    <hyperlink r:id="rId1738" ref="D2276"/>
    <hyperlink r:id="rId1739" ref="D2277"/>
    <hyperlink r:id="rId1740" ref="D2278"/>
    <hyperlink r:id="rId1741" ref="D2279"/>
    <hyperlink r:id="rId1742" ref="D2280"/>
    <hyperlink r:id="rId1743" ref="D2281"/>
    <hyperlink r:id="rId1744" ref="D2282"/>
    <hyperlink r:id="rId1745" ref="D2283"/>
    <hyperlink r:id="rId1746" ref="D2284"/>
    <hyperlink r:id="rId1747" ref="D2285"/>
    <hyperlink r:id="rId1748" ref="D2286"/>
    <hyperlink r:id="rId1749" ref="D2287"/>
    <hyperlink r:id="rId1750" ref="D2288"/>
    <hyperlink r:id="rId1751" ref="D2290"/>
    <hyperlink r:id="rId1752" ref="D2291"/>
    <hyperlink r:id="rId1753" ref="D2292"/>
    <hyperlink r:id="rId1754" ref="D2293"/>
    <hyperlink r:id="rId1755" ref="D2294"/>
    <hyperlink r:id="rId1756" ref="F2295"/>
    <hyperlink r:id="rId1757" ref="D2296"/>
    <hyperlink r:id="rId1758" ref="D2297"/>
    <hyperlink r:id="rId1759" ref="D2298"/>
    <hyperlink r:id="rId1760" ref="D2299"/>
    <hyperlink r:id="rId1761" ref="D2300"/>
    <hyperlink r:id="rId1762" ref="D2301"/>
    <hyperlink r:id="rId1763" ref="D2302"/>
    <hyperlink r:id="rId1764" ref="D2303"/>
    <hyperlink r:id="rId1765" ref="D2304"/>
    <hyperlink r:id="rId1766" ref="D2305"/>
    <hyperlink r:id="rId1767" ref="D2306"/>
    <hyperlink r:id="rId1768" ref="D2307"/>
    <hyperlink r:id="rId1769" ref="D2308"/>
    <hyperlink r:id="rId1770" ref="D2309"/>
    <hyperlink r:id="rId1771" ref="D2310"/>
    <hyperlink r:id="rId1772" ref="D2311"/>
    <hyperlink r:id="rId1773" ref="D2312"/>
    <hyperlink r:id="rId1774" ref="D2313"/>
    <hyperlink r:id="rId1775" ref="D2314"/>
    <hyperlink r:id="rId1776" ref="D2315"/>
    <hyperlink r:id="rId1777" ref="D2316"/>
    <hyperlink r:id="rId1778" ref="D2317"/>
    <hyperlink r:id="rId1779" ref="D2318"/>
    <hyperlink r:id="rId1780" ref="D2319"/>
    <hyperlink r:id="rId1781" ref="D2320"/>
    <hyperlink r:id="rId1782" ref="D2321"/>
    <hyperlink r:id="rId1783" ref="D2322"/>
    <hyperlink r:id="rId1784" ref="D2323"/>
    <hyperlink r:id="rId1785" ref="D2324"/>
    <hyperlink r:id="rId1786" ref="D2325"/>
    <hyperlink r:id="rId1787" ref="D2326"/>
    <hyperlink r:id="rId1788" ref="D2327"/>
    <hyperlink r:id="rId1789" ref="D2372"/>
    <hyperlink r:id="rId1790" ref="D2373"/>
    <hyperlink r:id="rId1791" ref="D2374"/>
    <hyperlink r:id="rId1792" ref="D2375"/>
    <hyperlink r:id="rId1793" ref="D2376"/>
    <hyperlink r:id="rId1794" ref="D2377"/>
    <hyperlink r:id="rId1795" ref="D2378"/>
    <hyperlink r:id="rId1796" ref="D2379"/>
    <hyperlink r:id="rId1797" ref="D2380"/>
    <hyperlink r:id="rId1798" ref="D2381"/>
    <hyperlink r:id="rId1799" ref="D2382"/>
    <hyperlink r:id="rId1800" ref="D2383"/>
    <hyperlink r:id="rId1801" ref="D2385"/>
    <hyperlink r:id="rId1802" ref="D2386"/>
    <hyperlink r:id="rId1803" ref="D2390"/>
    <hyperlink r:id="rId1804" ref="D2391"/>
    <hyperlink r:id="rId1805" ref="D2393"/>
    <hyperlink r:id="rId1806" ref="D2394"/>
    <hyperlink r:id="rId1807" ref="D2395"/>
    <hyperlink r:id="rId1808" ref="D2396"/>
    <hyperlink r:id="rId1809" ref="D2397"/>
    <hyperlink r:id="rId1810" ref="D2399"/>
    <hyperlink r:id="rId1811" ref="D2400"/>
    <hyperlink r:id="rId1812" ref="D2401"/>
    <hyperlink r:id="rId1813" ref="D2402"/>
    <hyperlink r:id="rId1814" ref="D2404"/>
    <hyperlink r:id="rId1815" ref="D2408"/>
    <hyperlink r:id="rId1816" ref="D2409"/>
    <hyperlink r:id="rId1817" ref="D2410"/>
    <hyperlink r:id="rId1818" ref="D2412"/>
    <hyperlink r:id="rId1819" ref="D2413"/>
    <hyperlink r:id="rId1820" ref="D2415"/>
    <hyperlink r:id="rId1821" ref="D2417"/>
    <hyperlink r:id="rId1822" ref="D2419"/>
    <hyperlink r:id="rId1823" ref="D2421"/>
    <hyperlink r:id="rId1824" ref="D2422"/>
    <hyperlink r:id="rId1825" ref="D2423"/>
    <hyperlink r:id="rId1826" ref="D2424"/>
    <hyperlink r:id="rId1827" ref="D2425"/>
    <hyperlink r:id="rId1828" ref="D2428"/>
    <hyperlink r:id="rId1829" ref="D2432"/>
    <hyperlink r:id="rId1830" ref="D2433"/>
    <hyperlink r:id="rId1831" ref="D2434"/>
    <hyperlink r:id="rId1832" ref="D2435"/>
    <hyperlink r:id="rId1833" ref="F2457"/>
    <hyperlink r:id="rId1834" ref="D2460"/>
    <hyperlink r:id="rId1835" ref="D2461"/>
    <hyperlink r:id="rId1836" ref="D2462"/>
    <hyperlink r:id="rId1837" ref="D2463"/>
    <hyperlink r:id="rId1838" ref="D2464"/>
    <hyperlink r:id="rId1839" ref="D2465"/>
    <hyperlink r:id="rId1840" ref="D2466"/>
    <hyperlink r:id="rId1841" ref="D2467"/>
    <hyperlink r:id="rId1842" ref="D2468"/>
    <hyperlink r:id="rId1843" ref="D2469"/>
    <hyperlink r:id="rId1844" ref="D2477"/>
    <hyperlink r:id="rId1845" ref="D2478"/>
    <hyperlink r:id="rId1846" ref="D2479"/>
    <hyperlink r:id="rId1847" ref="D2480"/>
    <hyperlink r:id="rId1848" ref="D2502"/>
    <hyperlink r:id="rId1849" ref="D2503"/>
    <hyperlink r:id="rId1850" ref="D2504"/>
    <hyperlink r:id="rId1851" ref="D2505"/>
    <hyperlink r:id="rId1852" ref="D2506"/>
    <hyperlink r:id="rId1853" ref="D2507"/>
    <hyperlink r:id="rId1854" ref="D2508"/>
    <hyperlink r:id="rId1855" ref="D2509"/>
    <hyperlink r:id="rId1856" ref="D2510"/>
    <hyperlink r:id="rId1857" ref="D2531"/>
    <hyperlink r:id="rId1858" ref="D2532"/>
    <hyperlink r:id="rId1859" ref="D2533"/>
    <hyperlink r:id="rId1860" ref="D2544"/>
    <hyperlink r:id="rId1861" ref="D2545"/>
    <hyperlink r:id="rId1862" ref="D2546"/>
    <hyperlink r:id="rId1863" ref="D2547"/>
    <hyperlink r:id="rId1864" ref="D2548"/>
    <hyperlink r:id="rId1865" ref="D2549"/>
    <hyperlink r:id="rId1866" ref="D2550"/>
    <hyperlink r:id="rId1867" ref="D2551"/>
  </hyperlinks>
  <drawing r:id="rId18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8.13"/>
    <col customWidth="1" min="4" max="4" width="30.25"/>
    <col customWidth="1" min="5" max="5" width="31.38"/>
    <col customWidth="1" min="6" max="6" width="26.75"/>
    <col customWidth="1" min="7" max="7" width="20.25"/>
    <col customWidth="1" min="10" max="10" width="25.63"/>
    <col customWidth="1" min="11" max="11" width="22.13"/>
  </cols>
  <sheetData>
    <row r="1">
      <c r="A1" s="2" t="s">
        <v>1</v>
      </c>
      <c r="B1" s="4" t="s">
        <v>0</v>
      </c>
      <c r="C1" s="6" t="s">
        <v>2</v>
      </c>
      <c r="D1" s="4" t="s">
        <v>4</v>
      </c>
      <c r="E1" s="6" t="s">
        <v>5</v>
      </c>
      <c r="F1" s="9" t="s">
        <v>6</v>
      </c>
      <c r="G1" s="6" t="s">
        <v>8</v>
      </c>
      <c r="H1" s="2" t="s">
        <v>9</v>
      </c>
      <c r="I1" s="2" t="s">
        <v>10</v>
      </c>
      <c r="J1" s="2" t="s">
        <v>11</v>
      </c>
      <c r="K1" s="12">
        <v>45996.0</v>
      </c>
      <c r="L1" s="12">
        <v>45997.0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16" t="s">
        <v>17</v>
      </c>
      <c r="B2" s="18" t="s">
        <v>18</v>
      </c>
      <c r="C2" s="19" t="s">
        <v>19</v>
      </c>
      <c r="D2" s="18" t="s">
        <v>20</v>
      </c>
      <c r="E2" s="24" t="s">
        <v>21</v>
      </c>
      <c r="F2" s="25" t="s">
        <v>23</v>
      </c>
      <c r="G2" s="16" t="s">
        <v>24</v>
      </c>
      <c r="H2" s="16" t="s">
        <v>25</v>
      </c>
      <c r="I2" s="26"/>
      <c r="J2" s="29" t="s">
        <v>27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>
      <c r="A3" s="3" t="s">
        <v>17</v>
      </c>
      <c r="B3" s="35" t="s">
        <v>34</v>
      </c>
      <c r="C3" s="36" t="s">
        <v>39</v>
      </c>
      <c r="D3" s="37" t="s">
        <v>40</v>
      </c>
      <c r="E3" s="41" t="s">
        <v>41</v>
      </c>
      <c r="F3" s="21">
        <v>7.658958136E9</v>
      </c>
      <c r="G3" s="3" t="s">
        <v>44</v>
      </c>
      <c r="H3" s="42"/>
      <c r="I3" s="42"/>
      <c r="J3" s="43" t="s">
        <v>46</v>
      </c>
      <c r="K3" s="3" t="s">
        <v>48</v>
      </c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</row>
    <row r="4">
      <c r="A4" s="16" t="s">
        <v>17</v>
      </c>
      <c r="B4" s="44" t="s">
        <v>53</v>
      </c>
      <c r="C4" s="45" t="s">
        <v>55</v>
      </c>
      <c r="D4" s="44" t="s">
        <v>56</v>
      </c>
      <c r="E4" s="24" t="s">
        <v>57</v>
      </c>
      <c r="F4" s="25">
        <v>9.811590035E9</v>
      </c>
      <c r="G4" s="16" t="s">
        <v>59</v>
      </c>
      <c r="H4" s="26"/>
      <c r="I4" s="26"/>
      <c r="J4" s="29" t="s">
        <v>62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>
      <c r="A5" s="3" t="s">
        <v>17</v>
      </c>
      <c r="B5" s="49" t="s">
        <v>70</v>
      </c>
      <c r="C5" s="50" t="s">
        <v>71</v>
      </c>
      <c r="D5" s="49" t="s">
        <v>72</v>
      </c>
      <c r="E5" s="41" t="s">
        <v>73</v>
      </c>
      <c r="F5" s="21" t="s">
        <v>78</v>
      </c>
      <c r="G5" s="3" t="s">
        <v>79</v>
      </c>
      <c r="H5" s="42"/>
      <c r="I5" s="42"/>
      <c r="J5" s="43" t="s">
        <v>81</v>
      </c>
      <c r="K5" s="43" t="s">
        <v>82</v>
      </c>
      <c r="L5" s="53"/>
      <c r="M5" s="53"/>
      <c r="N5" s="53"/>
      <c r="O5" s="53"/>
      <c r="P5" s="53"/>
      <c r="Q5" s="53"/>
      <c r="R5" s="53"/>
      <c r="S5" s="53"/>
      <c r="T5" s="53"/>
      <c r="U5" s="42"/>
      <c r="V5" s="42"/>
      <c r="W5" s="42"/>
      <c r="X5" s="42"/>
      <c r="Y5" s="42"/>
      <c r="Z5" s="42"/>
      <c r="AA5" s="42"/>
      <c r="AB5" s="42"/>
      <c r="AC5" s="42"/>
      <c r="AD5" s="42"/>
    </row>
    <row r="6">
      <c r="A6" s="3" t="s">
        <v>17</v>
      </c>
      <c r="B6" s="49" t="s">
        <v>89</v>
      </c>
      <c r="C6" s="54" t="s">
        <v>90</v>
      </c>
      <c r="D6" s="55" t="s">
        <v>40</v>
      </c>
      <c r="E6" s="41" t="s">
        <v>95</v>
      </c>
      <c r="F6" s="21" t="s">
        <v>98</v>
      </c>
      <c r="G6" s="56" t="s">
        <v>99</v>
      </c>
      <c r="H6" s="3" t="s">
        <v>100</v>
      </c>
      <c r="I6" s="3" t="s">
        <v>101</v>
      </c>
      <c r="J6" s="43" t="s">
        <v>102</v>
      </c>
      <c r="K6" s="43" t="s">
        <v>103</v>
      </c>
      <c r="L6" s="53"/>
      <c r="M6" s="53"/>
      <c r="N6" s="53"/>
      <c r="O6" s="53"/>
      <c r="P6" s="53"/>
      <c r="Q6" s="53"/>
      <c r="R6" s="53"/>
      <c r="S6" s="53"/>
      <c r="T6" s="53"/>
      <c r="U6" s="42"/>
      <c r="V6" s="42"/>
      <c r="W6" s="42"/>
      <c r="X6" s="42"/>
      <c r="Y6" s="42"/>
      <c r="Z6" s="42"/>
      <c r="AA6" s="42"/>
      <c r="AB6" s="42"/>
      <c r="AC6" s="42"/>
      <c r="AD6" s="42"/>
    </row>
    <row r="7">
      <c r="A7" s="16" t="s">
        <v>17</v>
      </c>
      <c r="B7" s="44" t="s">
        <v>110</v>
      </c>
      <c r="C7" s="58" t="s">
        <v>111</v>
      </c>
      <c r="D7" s="44" t="s">
        <v>40</v>
      </c>
      <c r="E7" s="60" t="s">
        <v>115</v>
      </c>
      <c r="F7" s="61" t="s">
        <v>120</v>
      </c>
      <c r="G7" s="62" t="s">
        <v>122</v>
      </c>
      <c r="H7" s="26"/>
      <c r="I7" s="26"/>
      <c r="J7" s="29" t="s">
        <v>62</v>
      </c>
      <c r="K7" s="47"/>
      <c r="L7" s="47"/>
      <c r="M7" s="47"/>
      <c r="N7" s="47"/>
      <c r="O7" s="47"/>
      <c r="P7" s="47"/>
      <c r="Q7" s="47"/>
      <c r="R7" s="47"/>
      <c r="S7" s="47"/>
      <c r="T7" s="47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>
      <c r="A8" s="16" t="s">
        <v>17</v>
      </c>
      <c r="B8" s="44" t="s">
        <v>126</v>
      </c>
      <c r="C8" s="58" t="s">
        <v>128</v>
      </c>
      <c r="D8" s="44" t="s">
        <v>40</v>
      </c>
      <c r="E8" s="24" t="s">
        <v>130</v>
      </c>
      <c r="F8" s="61" t="s">
        <v>136</v>
      </c>
      <c r="G8" s="62" t="s">
        <v>137</v>
      </c>
      <c r="H8" s="26"/>
      <c r="I8" s="26"/>
      <c r="J8" s="29" t="s">
        <v>138</v>
      </c>
      <c r="K8" s="47"/>
      <c r="L8" s="47"/>
      <c r="M8" s="47"/>
      <c r="N8" s="47"/>
      <c r="O8" s="47"/>
      <c r="P8" s="47"/>
      <c r="Q8" s="47"/>
      <c r="R8" s="47"/>
      <c r="S8" s="47"/>
      <c r="T8" s="47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>
      <c r="A9" s="16" t="s">
        <v>17</v>
      </c>
      <c r="B9" s="63" t="s">
        <v>142</v>
      </c>
      <c r="C9" s="64" t="s">
        <v>143</v>
      </c>
      <c r="D9" s="63" t="s">
        <v>149</v>
      </c>
      <c r="E9" s="24" t="s">
        <v>150</v>
      </c>
      <c r="F9" s="65"/>
      <c r="G9" s="16" t="s">
        <v>157</v>
      </c>
      <c r="H9" s="16" t="s">
        <v>158</v>
      </c>
      <c r="I9" s="16" t="s">
        <v>159</v>
      </c>
      <c r="J9" s="29" t="s">
        <v>160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>
      <c r="A10" s="16" t="s">
        <v>17</v>
      </c>
      <c r="B10" s="63" t="s">
        <v>165</v>
      </c>
      <c r="C10" s="66" t="s">
        <v>167</v>
      </c>
      <c r="D10" s="67" t="s">
        <v>168</v>
      </c>
      <c r="E10" s="24" t="s">
        <v>169</v>
      </c>
      <c r="F10" s="65"/>
      <c r="G10" s="16" t="s">
        <v>177</v>
      </c>
      <c r="H10" s="16" t="s">
        <v>178</v>
      </c>
      <c r="I10" s="26"/>
      <c r="J10" s="68"/>
      <c r="K10" s="29" t="s">
        <v>180</v>
      </c>
      <c r="L10" s="47"/>
      <c r="M10" s="47"/>
      <c r="N10" s="47"/>
      <c r="O10" s="47"/>
      <c r="P10" s="47"/>
      <c r="Q10" s="47"/>
      <c r="R10" s="47"/>
      <c r="S10" s="47"/>
      <c r="T10" s="47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>
      <c r="A11" s="16" t="s">
        <v>17</v>
      </c>
      <c r="B11" s="70" t="s">
        <v>183</v>
      </c>
      <c r="C11" s="66" t="s">
        <v>185</v>
      </c>
      <c r="D11" s="67" t="s">
        <v>187</v>
      </c>
      <c r="E11" s="24" t="s">
        <v>188</v>
      </c>
      <c r="F11" s="65"/>
      <c r="G11" s="16" t="s">
        <v>194</v>
      </c>
      <c r="H11" s="16" t="s">
        <v>195</v>
      </c>
      <c r="I11" s="16" t="s">
        <v>196</v>
      </c>
      <c r="J11" s="68"/>
      <c r="K11" s="29" t="s">
        <v>197</v>
      </c>
      <c r="L11" s="47"/>
      <c r="M11" s="47"/>
      <c r="N11" s="47"/>
      <c r="O11" s="47"/>
      <c r="P11" s="47"/>
      <c r="Q11" s="47"/>
      <c r="R11" s="47"/>
      <c r="S11" s="47"/>
      <c r="T11" s="47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>
      <c r="A12" s="16" t="s">
        <v>17</v>
      </c>
      <c r="B12" s="44" t="s">
        <v>200</v>
      </c>
      <c r="C12" s="58" t="s">
        <v>202</v>
      </c>
      <c r="D12" s="63" t="s">
        <v>149</v>
      </c>
      <c r="E12" s="24" t="s">
        <v>209</v>
      </c>
      <c r="F12" s="71">
        <v>9.739731331E9</v>
      </c>
      <c r="G12" s="16" t="s">
        <v>212</v>
      </c>
      <c r="H12" s="16" t="s">
        <v>213</v>
      </c>
      <c r="I12" s="26"/>
      <c r="J12" s="68"/>
      <c r="K12" s="29" t="s">
        <v>215</v>
      </c>
      <c r="L12" s="29" t="s">
        <v>217</v>
      </c>
      <c r="M12" s="47"/>
      <c r="N12" s="47"/>
      <c r="O12" s="47"/>
      <c r="P12" s="47"/>
      <c r="Q12" s="47"/>
      <c r="R12" s="47"/>
      <c r="S12" s="47"/>
      <c r="T12" s="47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>
      <c r="A13" s="75" t="s">
        <v>17</v>
      </c>
      <c r="B13" s="77" t="s">
        <v>221</v>
      </c>
      <c r="C13" s="78" t="s">
        <v>223</v>
      </c>
      <c r="D13" s="77" t="s">
        <v>40</v>
      </c>
      <c r="E13" s="79" t="s">
        <v>229</v>
      </c>
      <c r="F13" s="80">
        <v>4.47506774503E11</v>
      </c>
      <c r="G13" s="81" t="s">
        <v>234</v>
      </c>
      <c r="H13" s="81" t="s">
        <v>235</v>
      </c>
      <c r="I13" s="83"/>
      <c r="J13" s="83"/>
      <c r="K13" s="75" t="s">
        <v>238</v>
      </c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</row>
    <row r="14">
      <c r="A14" s="16" t="s">
        <v>17</v>
      </c>
      <c r="B14" s="84" t="s">
        <v>241</v>
      </c>
      <c r="C14" s="85" t="s">
        <v>242</v>
      </c>
      <c r="D14" s="86" t="s">
        <v>245</v>
      </c>
      <c r="E14" s="24" t="s">
        <v>246</v>
      </c>
      <c r="F14" s="65"/>
      <c r="G14" s="16" t="s">
        <v>252</v>
      </c>
      <c r="H14" s="26"/>
      <c r="I14" s="26"/>
      <c r="J14" s="26"/>
      <c r="K14" s="16" t="s">
        <v>255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>
      <c r="A15" s="87" t="s">
        <v>258</v>
      </c>
      <c r="B15" s="88" t="s">
        <v>259</v>
      </c>
      <c r="C15" s="89" t="s">
        <v>260</v>
      </c>
      <c r="D15" s="88" t="s">
        <v>262</v>
      </c>
      <c r="E15" s="90" t="s">
        <v>265</v>
      </c>
      <c r="F15" s="91"/>
      <c r="G15" s="91" t="s">
        <v>271</v>
      </c>
      <c r="H15" s="91" t="s">
        <v>272</v>
      </c>
      <c r="I15" s="91"/>
      <c r="J15" s="91"/>
      <c r="K15" s="91"/>
      <c r="L15" s="68"/>
      <c r="M15" s="68"/>
      <c r="N15" s="68"/>
      <c r="O15" s="68"/>
      <c r="P15" s="68"/>
      <c r="Q15" s="68"/>
      <c r="R15" s="68"/>
      <c r="S15" s="68"/>
      <c r="T15" s="68"/>
    </row>
    <row r="16">
      <c r="A16" s="87" t="s">
        <v>258</v>
      </c>
      <c r="B16" s="4" t="s">
        <v>273</v>
      </c>
      <c r="C16" s="92" t="s">
        <v>274</v>
      </c>
      <c r="D16" s="93" t="s">
        <v>275</v>
      </c>
      <c r="E16" s="94" t="s">
        <v>276</v>
      </c>
      <c r="F16" s="95" t="s">
        <v>281</v>
      </c>
      <c r="G16" s="6" t="s">
        <v>285</v>
      </c>
      <c r="H16" s="6" t="s">
        <v>272</v>
      </c>
      <c r="I16" s="6" t="s">
        <v>286</v>
      </c>
      <c r="J16" s="6"/>
      <c r="K16" s="6"/>
      <c r="L16" s="68"/>
      <c r="M16" s="68"/>
      <c r="N16" s="68"/>
      <c r="O16" s="68"/>
      <c r="P16" s="68"/>
      <c r="Q16" s="68"/>
      <c r="R16" s="68"/>
      <c r="S16" s="68"/>
      <c r="T16" s="68"/>
    </row>
    <row r="17">
      <c r="A17" s="87" t="s">
        <v>258</v>
      </c>
      <c r="B17" s="97" t="s">
        <v>289</v>
      </c>
      <c r="C17" s="98" t="s">
        <v>290</v>
      </c>
      <c r="D17" s="97" t="s">
        <v>291</v>
      </c>
      <c r="E17" s="90" t="s">
        <v>292</v>
      </c>
      <c r="F17" s="91"/>
      <c r="G17" s="91" t="s">
        <v>297</v>
      </c>
      <c r="H17" s="91"/>
      <c r="I17" s="91"/>
      <c r="J17" s="91"/>
      <c r="K17" s="91"/>
      <c r="L17" s="68"/>
      <c r="M17" s="68"/>
      <c r="N17" s="68"/>
      <c r="O17" s="68"/>
      <c r="P17" s="68"/>
      <c r="Q17" s="68"/>
      <c r="R17" s="68"/>
      <c r="S17" s="68"/>
      <c r="T17" s="68"/>
    </row>
    <row r="18">
      <c r="A18" s="87" t="s">
        <v>258</v>
      </c>
      <c r="B18" s="100" t="s">
        <v>302</v>
      </c>
      <c r="C18" s="91" t="s">
        <v>307</v>
      </c>
      <c r="D18" s="97" t="s">
        <v>72</v>
      </c>
      <c r="E18" s="90" t="s">
        <v>308</v>
      </c>
      <c r="F18" s="91"/>
      <c r="G18" s="91" t="s">
        <v>312</v>
      </c>
      <c r="H18" s="91"/>
      <c r="I18" s="91"/>
      <c r="J18" s="91"/>
      <c r="K18" s="91"/>
      <c r="L18" s="68"/>
      <c r="M18" s="68"/>
      <c r="N18" s="68"/>
      <c r="O18" s="68"/>
      <c r="P18" s="68"/>
      <c r="Q18" s="68"/>
      <c r="R18" s="68"/>
      <c r="S18" s="68"/>
      <c r="T18" s="68"/>
    </row>
    <row r="19">
      <c r="A19" s="87" t="s">
        <v>258</v>
      </c>
      <c r="B19" s="88" t="s">
        <v>315</v>
      </c>
      <c r="C19" s="89" t="s">
        <v>317</v>
      </c>
      <c r="D19" s="88" t="s">
        <v>319</v>
      </c>
      <c r="E19" s="90" t="s">
        <v>320</v>
      </c>
      <c r="F19" s="91"/>
      <c r="G19" s="91" t="s">
        <v>325</v>
      </c>
      <c r="H19" s="91"/>
      <c r="I19" s="91"/>
      <c r="J19" s="91"/>
      <c r="K19" s="91"/>
      <c r="L19" s="68"/>
      <c r="M19" s="68"/>
      <c r="N19" s="68"/>
      <c r="O19" s="68"/>
      <c r="P19" s="68"/>
      <c r="Q19" s="68"/>
      <c r="R19" s="68"/>
      <c r="S19" s="68"/>
      <c r="T19" s="68"/>
    </row>
    <row r="20">
      <c r="A20" s="87" t="s">
        <v>258</v>
      </c>
      <c r="B20" s="97" t="s">
        <v>329</v>
      </c>
      <c r="C20" s="101" t="s">
        <v>330</v>
      </c>
      <c r="D20" s="97" t="s">
        <v>331</v>
      </c>
      <c r="E20" s="90" t="s">
        <v>333</v>
      </c>
      <c r="F20" s="91"/>
      <c r="G20" s="91" t="s">
        <v>337</v>
      </c>
      <c r="H20" s="91" t="s">
        <v>338</v>
      </c>
      <c r="I20" s="91" t="s">
        <v>340</v>
      </c>
      <c r="J20" s="102"/>
      <c r="K20" s="102"/>
      <c r="L20" s="68"/>
      <c r="M20" s="68"/>
      <c r="N20" s="68"/>
      <c r="O20" s="68"/>
      <c r="P20" s="68"/>
      <c r="Q20" s="68"/>
      <c r="R20" s="68"/>
      <c r="S20" s="68"/>
      <c r="T20" s="68"/>
    </row>
    <row r="21">
      <c r="A21" s="87" t="s">
        <v>258</v>
      </c>
      <c r="B21" s="97" t="s">
        <v>345</v>
      </c>
      <c r="C21" s="101" t="s">
        <v>346</v>
      </c>
      <c r="D21" s="100" t="s">
        <v>347</v>
      </c>
      <c r="E21" s="90" t="s">
        <v>355</v>
      </c>
      <c r="F21" s="91"/>
      <c r="G21" s="91" t="s">
        <v>358</v>
      </c>
      <c r="H21" s="91" t="s">
        <v>359</v>
      </c>
      <c r="I21" s="91"/>
      <c r="J21" s="91"/>
      <c r="K21" s="91"/>
      <c r="L21" s="68"/>
      <c r="M21" s="68"/>
      <c r="N21" s="68"/>
      <c r="O21" s="68"/>
      <c r="P21" s="68"/>
      <c r="Q21" s="68"/>
      <c r="R21" s="68"/>
      <c r="S21" s="68"/>
      <c r="T21" s="68"/>
    </row>
    <row r="22">
      <c r="A22" s="103" t="s">
        <v>258</v>
      </c>
      <c r="B22" s="104" t="s">
        <v>362</v>
      </c>
      <c r="C22" s="105" t="s">
        <v>363</v>
      </c>
      <c r="D22" s="104" t="s">
        <v>365</v>
      </c>
      <c r="E22" s="106" t="s">
        <v>367</v>
      </c>
      <c r="F22" s="107"/>
      <c r="G22" s="107" t="s">
        <v>371</v>
      </c>
      <c r="H22" s="107" t="s">
        <v>372</v>
      </c>
      <c r="I22" s="107"/>
      <c r="J22" s="107"/>
      <c r="K22" s="107"/>
      <c r="L22" s="108"/>
      <c r="M22" s="108"/>
      <c r="N22" s="108"/>
      <c r="O22" s="108"/>
      <c r="P22" s="108"/>
      <c r="Q22" s="108"/>
      <c r="R22" s="108"/>
      <c r="S22" s="108"/>
      <c r="T22" s="108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</row>
    <row r="23">
      <c r="A23" s="87" t="s">
        <v>258</v>
      </c>
      <c r="B23" s="97" t="s">
        <v>377</v>
      </c>
      <c r="C23" s="101" t="s">
        <v>378</v>
      </c>
      <c r="D23" s="110" t="s">
        <v>380</v>
      </c>
      <c r="E23" s="90" t="s">
        <v>384</v>
      </c>
      <c r="F23" s="91"/>
      <c r="G23" s="91" t="s">
        <v>386</v>
      </c>
      <c r="H23" s="91"/>
      <c r="I23" s="91"/>
      <c r="J23" s="91"/>
      <c r="K23" s="91"/>
      <c r="L23" s="68"/>
      <c r="M23" s="68"/>
      <c r="N23" s="68"/>
      <c r="O23" s="68"/>
      <c r="P23" s="68"/>
      <c r="Q23" s="68"/>
      <c r="R23" s="68"/>
      <c r="S23" s="68"/>
      <c r="T23" s="68"/>
    </row>
    <row r="24">
      <c r="A24" s="87" t="s">
        <v>258</v>
      </c>
      <c r="B24" s="97" t="s">
        <v>390</v>
      </c>
      <c r="C24" s="111" t="s">
        <v>392</v>
      </c>
      <c r="D24" s="97" t="s">
        <v>395</v>
      </c>
      <c r="E24" s="90" t="s">
        <v>397</v>
      </c>
      <c r="F24" s="91"/>
      <c r="G24" s="91" t="s">
        <v>399</v>
      </c>
      <c r="H24" s="91" t="s">
        <v>400</v>
      </c>
      <c r="I24" s="91"/>
      <c r="J24" s="91"/>
      <c r="K24" s="91"/>
      <c r="L24" s="68"/>
      <c r="M24" s="68"/>
      <c r="N24" s="68"/>
      <c r="O24" s="68"/>
      <c r="P24" s="68"/>
      <c r="Q24" s="68"/>
      <c r="R24" s="68"/>
      <c r="S24" s="68"/>
      <c r="T24" s="68"/>
    </row>
    <row r="25">
      <c r="A25" s="87" t="s">
        <v>258</v>
      </c>
      <c r="B25" s="91" t="s">
        <v>404</v>
      </c>
      <c r="C25" s="101" t="s">
        <v>405</v>
      </c>
      <c r="D25" s="97" t="s">
        <v>406</v>
      </c>
      <c r="E25" s="90" t="s">
        <v>407</v>
      </c>
      <c r="F25" s="112">
        <v>9.9458854E9</v>
      </c>
      <c r="G25" s="91" t="s">
        <v>412</v>
      </c>
      <c r="H25" s="91" t="s">
        <v>414</v>
      </c>
      <c r="I25" s="91" t="s">
        <v>416</v>
      </c>
      <c r="J25" s="91"/>
      <c r="K25" s="91"/>
      <c r="L25" s="68"/>
      <c r="M25" s="68"/>
      <c r="N25" s="68"/>
      <c r="O25" s="68"/>
      <c r="P25" s="68"/>
      <c r="Q25" s="68"/>
      <c r="R25" s="68"/>
      <c r="S25" s="68"/>
      <c r="T25" s="68"/>
    </row>
    <row r="26">
      <c r="A26" s="87" t="s">
        <v>258</v>
      </c>
      <c r="B26" s="91" t="s">
        <v>404</v>
      </c>
      <c r="C26" s="101" t="s">
        <v>423</v>
      </c>
      <c r="D26" s="97" t="s">
        <v>72</v>
      </c>
      <c r="E26" s="90" t="s">
        <v>424</v>
      </c>
      <c r="F26" s="91"/>
      <c r="G26" s="91" t="s">
        <v>428</v>
      </c>
      <c r="H26" s="91" t="s">
        <v>429</v>
      </c>
      <c r="I26" s="91"/>
      <c r="J26" s="91"/>
      <c r="K26" s="91"/>
      <c r="L26" s="68"/>
      <c r="M26" s="68"/>
      <c r="N26" s="68"/>
      <c r="O26" s="68"/>
      <c r="P26" s="68"/>
      <c r="Q26" s="68"/>
      <c r="R26" s="68"/>
      <c r="S26" s="68"/>
      <c r="T26" s="68"/>
    </row>
    <row r="27">
      <c r="A27" s="87" t="s">
        <v>258</v>
      </c>
      <c r="B27" s="97" t="s">
        <v>433</v>
      </c>
      <c r="C27" s="90" t="s">
        <v>435</v>
      </c>
      <c r="D27" s="110" t="s">
        <v>454</v>
      </c>
      <c r="E27" s="90" t="s">
        <v>455</v>
      </c>
      <c r="F27" s="91"/>
      <c r="G27" s="91" t="s">
        <v>458</v>
      </c>
      <c r="H27" s="91" t="s">
        <v>459</v>
      </c>
      <c r="I27" s="91"/>
      <c r="J27" s="91"/>
      <c r="K27" s="91"/>
      <c r="L27" s="68"/>
      <c r="M27" s="68"/>
      <c r="N27" s="68"/>
      <c r="O27" s="68"/>
      <c r="P27" s="68"/>
      <c r="Q27" s="68"/>
      <c r="R27" s="68"/>
      <c r="S27" s="68"/>
      <c r="T27" s="68"/>
    </row>
    <row r="28">
      <c r="A28" s="87" t="s">
        <v>258</v>
      </c>
      <c r="B28" s="97" t="s">
        <v>463</v>
      </c>
      <c r="C28" s="101" t="s">
        <v>465</v>
      </c>
      <c r="D28" s="114" t="s">
        <v>468</v>
      </c>
      <c r="E28" s="90" t="s">
        <v>469</v>
      </c>
      <c r="F28" s="91"/>
      <c r="G28" s="91" t="s">
        <v>475</v>
      </c>
      <c r="H28" s="91" t="s">
        <v>476</v>
      </c>
      <c r="I28" s="91"/>
      <c r="J28" s="91"/>
      <c r="K28" s="91"/>
      <c r="L28" s="68"/>
      <c r="M28" s="68"/>
      <c r="N28" s="68"/>
      <c r="O28" s="68"/>
      <c r="P28" s="68"/>
      <c r="Q28" s="68"/>
      <c r="R28" s="68"/>
      <c r="S28" s="68"/>
      <c r="T28" s="68"/>
    </row>
    <row r="29">
      <c r="A29" s="87" t="s">
        <v>258</v>
      </c>
      <c r="B29" s="97" t="s">
        <v>477</v>
      </c>
      <c r="C29" s="101" t="s">
        <v>479</v>
      </c>
      <c r="D29" s="97" t="s">
        <v>40</v>
      </c>
      <c r="E29" s="90" t="s">
        <v>481</v>
      </c>
      <c r="F29" s="91"/>
      <c r="G29" s="91" t="s">
        <v>486</v>
      </c>
      <c r="H29" s="91" t="s">
        <v>488</v>
      </c>
      <c r="I29" s="91"/>
      <c r="J29" s="91"/>
      <c r="K29" s="91"/>
      <c r="L29" s="68"/>
      <c r="M29" s="68"/>
      <c r="N29" s="68"/>
      <c r="O29" s="68"/>
      <c r="P29" s="68"/>
      <c r="Q29" s="68"/>
      <c r="R29" s="68"/>
      <c r="S29" s="68"/>
      <c r="T29" s="68"/>
    </row>
    <row r="30">
      <c r="A30" s="87" t="s">
        <v>258</v>
      </c>
      <c r="B30" s="97" t="s">
        <v>493</v>
      </c>
      <c r="C30" s="101" t="s">
        <v>494</v>
      </c>
      <c r="D30" s="97" t="s">
        <v>72</v>
      </c>
      <c r="E30" s="90" t="s">
        <v>497</v>
      </c>
      <c r="F30" s="91"/>
      <c r="G30" s="91" t="s">
        <v>499</v>
      </c>
      <c r="H30" s="91" t="s">
        <v>501</v>
      </c>
      <c r="I30" s="91"/>
      <c r="J30" s="91"/>
      <c r="K30" s="91"/>
      <c r="L30" s="68"/>
      <c r="M30" s="68"/>
      <c r="N30" s="68"/>
      <c r="O30" s="68"/>
      <c r="P30" s="68"/>
      <c r="Q30" s="68"/>
      <c r="R30" s="68"/>
      <c r="S30" s="68"/>
      <c r="T30" s="68"/>
    </row>
    <row r="31">
      <c r="A31" s="87" t="s">
        <v>258</v>
      </c>
      <c r="B31" s="97" t="s">
        <v>506</v>
      </c>
      <c r="C31" s="101" t="s">
        <v>507</v>
      </c>
      <c r="D31" s="110" t="s">
        <v>508</v>
      </c>
      <c r="E31" s="90" t="s">
        <v>514</v>
      </c>
      <c r="F31" s="91"/>
      <c r="G31" s="91" t="s">
        <v>515</v>
      </c>
      <c r="H31" s="91" t="s">
        <v>516</v>
      </c>
      <c r="I31" s="91"/>
      <c r="J31" s="91"/>
      <c r="K31" s="91"/>
      <c r="L31" s="47"/>
      <c r="M31" s="47"/>
      <c r="N31" s="47"/>
      <c r="O31" s="47"/>
      <c r="P31" s="47"/>
      <c r="Q31" s="47"/>
      <c r="R31" s="47"/>
      <c r="S31" s="47"/>
      <c r="T31" s="47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ht="21.75" customHeight="1">
      <c r="A32" s="3" t="s">
        <v>523</v>
      </c>
      <c r="B32" s="118" t="s">
        <v>524</v>
      </c>
      <c r="C32" s="120" t="s">
        <v>525</v>
      </c>
      <c r="D32" s="120" t="s">
        <v>527</v>
      </c>
      <c r="E32" s="122" t="s">
        <v>528</v>
      </c>
      <c r="F32" s="22"/>
      <c r="G32" s="22" t="s">
        <v>532</v>
      </c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42"/>
      <c r="AB32" s="42"/>
      <c r="AC32" s="42"/>
      <c r="AD32" s="42"/>
    </row>
    <row r="33" ht="18.75" customHeight="1">
      <c r="A33" s="3" t="s">
        <v>523</v>
      </c>
      <c r="B33" s="118" t="s">
        <v>537</v>
      </c>
      <c r="C33" s="124" t="s">
        <v>538</v>
      </c>
      <c r="D33" s="120" t="s">
        <v>527</v>
      </c>
      <c r="E33" s="125" t="s">
        <v>541</v>
      </c>
      <c r="F33" s="22" t="s">
        <v>545</v>
      </c>
      <c r="G33" s="43">
        <v>9.00001028E9</v>
      </c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23.25" customHeight="1">
      <c r="A34" s="103" t="s">
        <v>523</v>
      </c>
      <c r="B34" s="126" t="s">
        <v>200</v>
      </c>
      <c r="C34" s="127" t="s">
        <v>552</v>
      </c>
      <c r="D34" s="127" t="s">
        <v>527</v>
      </c>
      <c r="E34" s="128" t="s">
        <v>553</v>
      </c>
      <c r="F34" s="129" t="s">
        <v>557</v>
      </c>
      <c r="G34" s="130" t="s">
        <v>559</v>
      </c>
      <c r="H34" s="130" t="s">
        <v>562</v>
      </c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9"/>
      <c r="AB34" s="109"/>
      <c r="AC34" s="109"/>
      <c r="AD34" s="109"/>
    </row>
    <row r="35">
      <c r="A35" s="87" t="s">
        <v>567</v>
      </c>
      <c r="B35" s="132" t="s">
        <v>569</v>
      </c>
      <c r="C35" s="133" t="s">
        <v>571</v>
      </c>
      <c r="D35" s="134" t="s">
        <v>573</v>
      </c>
      <c r="E35" s="136" t="s">
        <v>574</v>
      </c>
      <c r="G35" s="87" t="s">
        <v>578</v>
      </c>
    </row>
    <row r="36">
      <c r="A36" s="87" t="s">
        <v>579</v>
      </c>
      <c r="B36" s="87" t="s">
        <v>580</v>
      </c>
      <c r="C36" s="87" t="s">
        <v>581</v>
      </c>
      <c r="D36" s="87" t="s">
        <v>582</v>
      </c>
      <c r="E36" s="136" t="s">
        <v>583</v>
      </c>
      <c r="G36" s="87" t="s">
        <v>584</v>
      </c>
      <c r="H36" s="26"/>
    </row>
    <row r="37">
      <c r="A37" s="87" t="s">
        <v>579</v>
      </c>
      <c r="B37" s="87" t="s">
        <v>132</v>
      </c>
      <c r="C37" s="87" t="s">
        <v>585</v>
      </c>
      <c r="D37" s="87" t="s">
        <v>586</v>
      </c>
      <c r="E37" s="87"/>
      <c r="G37" s="87" t="s">
        <v>587</v>
      </c>
      <c r="H37" s="26"/>
    </row>
    <row r="38">
      <c r="A38" s="3" t="s">
        <v>567</v>
      </c>
      <c r="B38" s="138" t="s">
        <v>589</v>
      </c>
      <c r="C38" s="139" t="s">
        <v>591</v>
      </c>
      <c r="D38" s="139" t="s">
        <v>594</v>
      </c>
      <c r="E38" s="41" t="s">
        <v>596</v>
      </c>
      <c r="F38" s="140">
        <f>+919530284335</f>
        <v>919530284335</v>
      </c>
      <c r="G38" s="141" t="s">
        <v>602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</row>
    <row r="39">
      <c r="A39" s="3" t="s">
        <v>567</v>
      </c>
      <c r="B39" s="138" t="s">
        <v>608</v>
      </c>
      <c r="C39" s="139" t="s">
        <v>610</v>
      </c>
      <c r="D39" s="139" t="s">
        <v>611</v>
      </c>
      <c r="E39" s="41" t="s">
        <v>612</v>
      </c>
      <c r="F39" s="42"/>
      <c r="G39" s="141" t="s">
        <v>617</v>
      </c>
      <c r="H39" s="42"/>
      <c r="I39" s="42"/>
      <c r="J39" s="42"/>
      <c r="K39" s="42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3" t="s">
        <v>567</v>
      </c>
      <c r="B40" s="138" t="s">
        <v>625</v>
      </c>
      <c r="C40" s="139" t="s">
        <v>626</v>
      </c>
      <c r="D40" s="139" t="s">
        <v>627</v>
      </c>
      <c r="E40" s="41" t="s">
        <v>628</v>
      </c>
      <c r="F40" s="140">
        <f>+19088480262</f>
        <v>19088480262</v>
      </c>
      <c r="G40" s="141" t="s">
        <v>635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</row>
    <row r="41">
      <c r="A41" s="3" t="s">
        <v>567</v>
      </c>
      <c r="B41" s="138" t="s">
        <v>569</v>
      </c>
      <c r="C41" s="139" t="s">
        <v>571</v>
      </c>
      <c r="D41" s="139" t="s">
        <v>573</v>
      </c>
      <c r="E41" s="41" t="s">
        <v>574</v>
      </c>
      <c r="F41" s="42"/>
      <c r="G41" s="3" t="s">
        <v>578</v>
      </c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</row>
    <row r="42">
      <c r="F42" s="40"/>
      <c r="H42" s="26"/>
    </row>
    <row r="43">
      <c r="F43" s="40"/>
      <c r="H43" s="26"/>
    </row>
    <row r="44">
      <c r="F44" s="40"/>
      <c r="H44" s="26"/>
    </row>
    <row r="45">
      <c r="F45" s="40"/>
      <c r="H45" s="26"/>
    </row>
    <row r="46">
      <c r="F46" s="40"/>
      <c r="H46" s="26"/>
    </row>
    <row r="47">
      <c r="F47" s="40"/>
      <c r="H47" s="26"/>
    </row>
    <row r="48">
      <c r="F48" s="40"/>
      <c r="H48" s="26"/>
    </row>
    <row r="49">
      <c r="F49" s="40"/>
      <c r="H49" s="26"/>
    </row>
    <row r="50">
      <c r="F50" s="40"/>
      <c r="H50" s="26"/>
    </row>
    <row r="51">
      <c r="F51" s="40"/>
      <c r="H51" s="26"/>
    </row>
    <row r="52">
      <c r="F52" s="40"/>
      <c r="H52" s="26"/>
    </row>
    <row r="53">
      <c r="F53" s="40"/>
      <c r="H53" s="26"/>
    </row>
    <row r="54">
      <c r="F54" s="40"/>
      <c r="H54" s="26"/>
    </row>
    <row r="55">
      <c r="F55" s="40"/>
      <c r="H55" s="26"/>
    </row>
    <row r="56">
      <c r="F56" s="40"/>
      <c r="H56" s="26"/>
    </row>
    <row r="57">
      <c r="F57" s="40"/>
      <c r="H57" s="26"/>
    </row>
    <row r="58">
      <c r="F58" s="40"/>
      <c r="H58" s="26"/>
    </row>
    <row r="59">
      <c r="F59" s="40"/>
      <c r="H59" s="26"/>
    </row>
    <row r="60">
      <c r="F60" s="40"/>
      <c r="H60" s="26"/>
    </row>
    <row r="61">
      <c r="F61" s="40"/>
      <c r="H61" s="26"/>
    </row>
    <row r="62">
      <c r="F62" s="40"/>
      <c r="H62" s="26"/>
    </row>
    <row r="63">
      <c r="F63" s="40"/>
      <c r="H63" s="26"/>
    </row>
    <row r="64">
      <c r="F64" s="40"/>
      <c r="H64" s="26"/>
    </row>
    <row r="65">
      <c r="F65" s="40"/>
      <c r="H65" s="26"/>
    </row>
    <row r="66">
      <c r="F66" s="40"/>
      <c r="H66" s="26"/>
    </row>
    <row r="67">
      <c r="F67" s="40"/>
      <c r="H67" s="26"/>
    </row>
    <row r="68">
      <c r="F68" s="40"/>
      <c r="H68" s="26"/>
    </row>
    <row r="69">
      <c r="F69" s="40"/>
      <c r="H69" s="26"/>
    </row>
    <row r="70">
      <c r="F70" s="40"/>
      <c r="H70" s="26"/>
    </row>
    <row r="71">
      <c r="F71" s="40"/>
      <c r="H71" s="26"/>
    </row>
    <row r="72">
      <c r="F72" s="40"/>
      <c r="H72" s="26"/>
    </row>
    <row r="73">
      <c r="F73" s="40"/>
      <c r="H73" s="26"/>
    </row>
    <row r="74">
      <c r="F74" s="40"/>
      <c r="H74" s="26"/>
    </row>
    <row r="75">
      <c r="F75" s="40"/>
      <c r="H75" s="26"/>
    </row>
    <row r="76">
      <c r="F76" s="40"/>
      <c r="H76" s="26"/>
    </row>
    <row r="77">
      <c r="F77" s="40"/>
      <c r="H77" s="26"/>
    </row>
    <row r="78">
      <c r="F78" s="40"/>
      <c r="H78" s="26"/>
    </row>
    <row r="79">
      <c r="F79" s="40"/>
      <c r="H79" s="26"/>
    </row>
    <row r="80">
      <c r="F80" s="40"/>
      <c r="H80" s="26"/>
    </row>
    <row r="81">
      <c r="F81" s="40"/>
      <c r="H81" s="26"/>
    </row>
    <row r="82">
      <c r="F82" s="40"/>
      <c r="H82" s="26"/>
    </row>
    <row r="83">
      <c r="F83" s="40"/>
      <c r="H83" s="26"/>
    </row>
    <row r="84">
      <c r="F84" s="40"/>
      <c r="H84" s="26"/>
    </row>
    <row r="85">
      <c r="F85" s="40"/>
      <c r="H85" s="26"/>
    </row>
    <row r="86">
      <c r="F86" s="40"/>
      <c r="H86" s="26"/>
    </row>
    <row r="87">
      <c r="F87" s="40"/>
      <c r="H87" s="26"/>
    </row>
    <row r="88">
      <c r="F88" s="40"/>
      <c r="H88" s="26"/>
    </row>
    <row r="89">
      <c r="F89" s="40"/>
      <c r="H89" s="26"/>
    </row>
    <row r="90">
      <c r="F90" s="40"/>
      <c r="H90" s="26"/>
    </row>
    <row r="91">
      <c r="F91" s="40"/>
      <c r="H91" s="26"/>
    </row>
    <row r="92">
      <c r="F92" s="40"/>
      <c r="H92" s="26"/>
    </row>
    <row r="93">
      <c r="F93" s="40"/>
      <c r="H93" s="26"/>
    </row>
    <row r="94">
      <c r="F94" s="40"/>
      <c r="H94" s="26"/>
    </row>
    <row r="95">
      <c r="F95" s="40"/>
      <c r="H95" s="26"/>
    </row>
    <row r="96">
      <c r="F96" s="40"/>
      <c r="H96" s="26"/>
    </row>
    <row r="97">
      <c r="F97" s="40"/>
      <c r="H97" s="26"/>
    </row>
    <row r="98">
      <c r="F98" s="40"/>
      <c r="H98" s="26"/>
    </row>
    <row r="99">
      <c r="F99" s="40"/>
      <c r="H99" s="26"/>
    </row>
    <row r="100">
      <c r="F100" s="40"/>
      <c r="H100" s="26"/>
    </row>
    <row r="101">
      <c r="F101" s="40"/>
      <c r="H101" s="26"/>
    </row>
    <row r="102">
      <c r="F102" s="40"/>
      <c r="H102" s="26"/>
    </row>
    <row r="103">
      <c r="F103" s="40"/>
      <c r="H103" s="26"/>
    </row>
    <row r="104">
      <c r="F104" s="40"/>
      <c r="H104" s="26"/>
    </row>
    <row r="105">
      <c r="F105" s="40"/>
      <c r="H105" s="26"/>
    </row>
    <row r="106">
      <c r="F106" s="40"/>
      <c r="H106" s="26"/>
    </row>
    <row r="107">
      <c r="F107" s="40"/>
      <c r="H107" s="26"/>
    </row>
    <row r="108">
      <c r="F108" s="40"/>
      <c r="H108" s="26"/>
    </row>
    <row r="109">
      <c r="F109" s="40"/>
      <c r="H109" s="26"/>
    </row>
    <row r="110">
      <c r="F110" s="40"/>
      <c r="H110" s="26"/>
    </row>
    <row r="111">
      <c r="F111" s="40"/>
      <c r="H111" s="26"/>
    </row>
    <row r="112">
      <c r="F112" s="40"/>
      <c r="H112" s="26"/>
    </row>
    <row r="113">
      <c r="F113" s="40"/>
      <c r="H113" s="26"/>
    </row>
    <row r="114">
      <c r="F114" s="40"/>
      <c r="H114" s="26"/>
    </row>
    <row r="115">
      <c r="F115" s="40"/>
      <c r="H115" s="26"/>
    </row>
    <row r="116">
      <c r="F116" s="40"/>
      <c r="H116" s="26"/>
    </row>
    <row r="117">
      <c r="F117" s="40"/>
      <c r="H117" s="26"/>
    </row>
    <row r="118">
      <c r="F118" s="40"/>
      <c r="H118" s="26"/>
    </row>
    <row r="119">
      <c r="F119" s="40"/>
      <c r="H119" s="26"/>
    </row>
    <row r="120">
      <c r="F120" s="40"/>
      <c r="H120" s="26"/>
    </row>
    <row r="121">
      <c r="F121" s="40"/>
      <c r="H121" s="26"/>
    </row>
    <row r="122">
      <c r="F122" s="40"/>
      <c r="H122" s="26"/>
    </row>
    <row r="123">
      <c r="F123" s="40"/>
      <c r="H123" s="26"/>
    </row>
    <row r="124">
      <c r="F124" s="40"/>
      <c r="H124" s="26"/>
    </row>
    <row r="125">
      <c r="F125" s="40"/>
      <c r="H125" s="26"/>
    </row>
    <row r="126">
      <c r="F126" s="40"/>
      <c r="H126" s="26"/>
    </row>
    <row r="127">
      <c r="F127" s="40"/>
      <c r="H127" s="26"/>
    </row>
    <row r="128">
      <c r="F128" s="40"/>
      <c r="H128" s="26"/>
    </row>
    <row r="129">
      <c r="F129" s="40"/>
      <c r="H129" s="26"/>
    </row>
    <row r="130">
      <c r="F130" s="40"/>
      <c r="H130" s="26"/>
    </row>
    <row r="131">
      <c r="F131" s="40"/>
      <c r="H131" s="26"/>
    </row>
    <row r="132">
      <c r="F132" s="40"/>
      <c r="H132" s="26"/>
    </row>
    <row r="133">
      <c r="F133" s="40"/>
      <c r="H133" s="26"/>
    </row>
    <row r="134">
      <c r="F134" s="40"/>
      <c r="H134" s="26"/>
    </row>
    <row r="135">
      <c r="F135" s="40"/>
      <c r="H135" s="26"/>
    </row>
    <row r="136">
      <c r="F136" s="40"/>
      <c r="H136" s="26"/>
    </row>
    <row r="137">
      <c r="F137" s="40"/>
      <c r="H137" s="26"/>
    </row>
    <row r="138">
      <c r="F138" s="40"/>
      <c r="H138" s="26"/>
    </row>
    <row r="139">
      <c r="F139" s="40"/>
      <c r="H139" s="26"/>
    </row>
    <row r="140">
      <c r="F140" s="40"/>
      <c r="H140" s="26"/>
    </row>
    <row r="141">
      <c r="F141" s="40"/>
      <c r="H141" s="26"/>
    </row>
    <row r="142">
      <c r="F142" s="40"/>
      <c r="H142" s="26"/>
    </row>
    <row r="143">
      <c r="F143" s="40"/>
      <c r="H143" s="26"/>
    </row>
    <row r="144">
      <c r="F144" s="40"/>
      <c r="H144" s="26"/>
    </row>
    <row r="145">
      <c r="F145" s="40"/>
      <c r="H145" s="26"/>
    </row>
    <row r="146">
      <c r="F146" s="40"/>
      <c r="H146" s="26"/>
    </row>
    <row r="147">
      <c r="F147" s="40"/>
      <c r="H147" s="26"/>
    </row>
    <row r="148">
      <c r="F148" s="40"/>
      <c r="H148" s="26"/>
    </row>
    <row r="149">
      <c r="F149" s="40"/>
      <c r="H149" s="26"/>
    </row>
    <row r="150">
      <c r="F150" s="40"/>
      <c r="H150" s="26"/>
    </row>
    <row r="151">
      <c r="F151" s="40"/>
      <c r="H151" s="26"/>
    </row>
    <row r="152">
      <c r="F152" s="40"/>
      <c r="H152" s="26"/>
    </row>
    <row r="153">
      <c r="F153" s="40"/>
      <c r="H153" s="26"/>
    </row>
    <row r="154">
      <c r="F154" s="40"/>
      <c r="H154" s="26"/>
    </row>
    <row r="155">
      <c r="F155" s="40"/>
      <c r="H155" s="26"/>
    </row>
    <row r="156">
      <c r="F156" s="40"/>
      <c r="H156" s="26"/>
    </row>
    <row r="157">
      <c r="F157" s="40"/>
      <c r="H157" s="26"/>
    </row>
    <row r="158">
      <c r="F158" s="40"/>
      <c r="H158" s="26"/>
    </row>
    <row r="159">
      <c r="F159" s="40"/>
      <c r="H159" s="26"/>
    </row>
    <row r="160">
      <c r="F160" s="40"/>
      <c r="H160" s="26"/>
    </row>
    <row r="161">
      <c r="F161" s="40"/>
      <c r="H161" s="26"/>
    </row>
    <row r="162">
      <c r="F162" s="40"/>
      <c r="H162" s="26"/>
    </row>
    <row r="163">
      <c r="F163" s="40"/>
      <c r="H163" s="26"/>
    </row>
    <row r="164">
      <c r="F164" s="40"/>
      <c r="H164" s="26"/>
    </row>
    <row r="165">
      <c r="F165" s="40"/>
      <c r="H165" s="26"/>
    </row>
    <row r="166">
      <c r="F166" s="40"/>
      <c r="H166" s="26"/>
    </row>
    <row r="167">
      <c r="F167" s="40"/>
      <c r="H167" s="26"/>
    </row>
    <row r="168">
      <c r="F168" s="40"/>
      <c r="H168" s="26"/>
    </row>
    <row r="169">
      <c r="F169" s="40"/>
      <c r="H169" s="26"/>
    </row>
    <row r="170">
      <c r="F170" s="40"/>
      <c r="H170" s="26"/>
    </row>
    <row r="171">
      <c r="F171" s="40"/>
      <c r="H171" s="26"/>
    </row>
    <row r="172">
      <c r="F172" s="40"/>
      <c r="H172" s="26"/>
    </row>
    <row r="173">
      <c r="F173" s="40"/>
      <c r="H173" s="26"/>
    </row>
    <row r="174">
      <c r="F174" s="40"/>
      <c r="H174" s="26"/>
    </row>
    <row r="175">
      <c r="F175" s="40"/>
      <c r="H175" s="26"/>
    </row>
    <row r="176">
      <c r="F176" s="40"/>
      <c r="H176" s="26"/>
    </row>
    <row r="177">
      <c r="F177" s="40"/>
      <c r="H177" s="26"/>
    </row>
    <row r="178">
      <c r="F178" s="40"/>
      <c r="H178" s="26"/>
    </row>
    <row r="179">
      <c r="F179" s="40"/>
      <c r="H179" s="26"/>
    </row>
    <row r="180">
      <c r="F180" s="40"/>
      <c r="H180" s="26"/>
    </row>
    <row r="181">
      <c r="F181" s="40"/>
      <c r="H181" s="26"/>
    </row>
    <row r="182">
      <c r="F182" s="40"/>
      <c r="H182" s="26"/>
    </row>
    <row r="183">
      <c r="F183" s="40"/>
      <c r="H183" s="26"/>
    </row>
    <row r="184">
      <c r="F184" s="40"/>
      <c r="H184" s="26"/>
    </row>
    <row r="185">
      <c r="F185" s="40"/>
      <c r="H185" s="26"/>
    </row>
    <row r="186">
      <c r="F186" s="40"/>
      <c r="H186" s="26"/>
    </row>
    <row r="187">
      <c r="F187" s="40"/>
      <c r="H187" s="26"/>
    </row>
    <row r="188">
      <c r="F188" s="40"/>
      <c r="H188" s="26"/>
    </row>
    <row r="189">
      <c r="F189" s="40"/>
      <c r="H189" s="26"/>
    </row>
    <row r="190">
      <c r="F190" s="40"/>
      <c r="H190" s="26"/>
    </row>
    <row r="191">
      <c r="F191" s="40"/>
      <c r="H191" s="26"/>
    </row>
    <row r="192">
      <c r="F192" s="40"/>
      <c r="H192" s="26"/>
    </row>
    <row r="193">
      <c r="F193" s="40"/>
      <c r="H193" s="26"/>
    </row>
    <row r="194">
      <c r="F194" s="40"/>
      <c r="H194" s="26"/>
    </row>
    <row r="195">
      <c r="F195" s="40"/>
      <c r="H195" s="26"/>
    </row>
    <row r="196">
      <c r="F196" s="40"/>
      <c r="H196" s="26"/>
    </row>
    <row r="197">
      <c r="F197" s="40"/>
      <c r="H197" s="26"/>
    </row>
    <row r="198">
      <c r="F198" s="40"/>
      <c r="H198" s="26"/>
    </row>
    <row r="199">
      <c r="F199" s="40"/>
      <c r="H199" s="26"/>
    </row>
    <row r="200">
      <c r="F200" s="40"/>
      <c r="H200" s="26"/>
    </row>
    <row r="201">
      <c r="F201" s="40"/>
      <c r="H201" s="26"/>
    </row>
    <row r="202">
      <c r="F202" s="40"/>
      <c r="H202" s="26"/>
    </row>
    <row r="203">
      <c r="F203" s="40"/>
      <c r="H203" s="26"/>
    </row>
    <row r="204">
      <c r="F204" s="40"/>
      <c r="H204" s="26"/>
    </row>
    <row r="205">
      <c r="F205" s="40"/>
      <c r="H205" s="26"/>
    </row>
    <row r="206">
      <c r="F206" s="40"/>
      <c r="H206" s="26"/>
    </row>
    <row r="207">
      <c r="F207" s="40"/>
      <c r="H207" s="26"/>
    </row>
    <row r="208">
      <c r="F208" s="40"/>
      <c r="H208" s="26"/>
    </row>
    <row r="209">
      <c r="F209" s="40"/>
      <c r="H209" s="26"/>
    </row>
    <row r="210">
      <c r="F210" s="40"/>
      <c r="H210" s="26"/>
    </row>
    <row r="211">
      <c r="F211" s="40"/>
      <c r="H211" s="26"/>
    </row>
    <row r="212">
      <c r="F212" s="40"/>
      <c r="H212" s="26"/>
    </row>
    <row r="213">
      <c r="F213" s="40"/>
      <c r="H213" s="26"/>
    </row>
    <row r="214">
      <c r="F214" s="40"/>
      <c r="H214" s="26"/>
    </row>
    <row r="215">
      <c r="F215" s="40"/>
      <c r="H215" s="26"/>
    </row>
    <row r="216">
      <c r="F216" s="40"/>
      <c r="H216" s="26"/>
    </row>
    <row r="217">
      <c r="F217" s="40"/>
      <c r="H217" s="26"/>
    </row>
    <row r="218">
      <c r="F218" s="40"/>
      <c r="H218" s="26"/>
    </row>
    <row r="219">
      <c r="F219" s="40"/>
      <c r="H219" s="26"/>
    </row>
    <row r="220">
      <c r="F220" s="40"/>
      <c r="H220" s="26"/>
    </row>
    <row r="221">
      <c r="F221" s="40"/>
      <c r="H221" s="26"/>
    </row>
    <row r="222">
      <c r="F222" s="40"/>
      <c r="H222" s="26"/>
    </row>
    <row r="223">
      <c r="F223" s="40"/>
      <c r="H223" s="26"/>
    </row>
    <row r="224">
      <c r="F224" s="40"/>
      <c r="H224" s="26"/>
    </row>
    <row r="225">
      <c r="F225" s="40"/>
      <c r="H225" s="26"/>
    </row>
    <row r="226">
      <c r="F226" s="40"/>
      <c r="H226" s="26"/>
    </row>
    <row r="227">
      <c r="F227" s="40"/>
      <c r="H227" s="26"/>
    </row>
    <row r="228">
      <c r="F228" s="40"/>
      <c r="H228" s="26"/>
    </row>
    <row r="229">
      <c r="F229" s="40"/>
      <c r="H229" s="26"/>
    </row>
    <row r="230">
      <c r="F230" s="40"/>
      <c r="H230" s="26"/>
    </row>
    <row r="231">
      <c r="F231" s="40"/>
      <c r="H231" s="26"/>
    </row>
    <row r="232">
      <c r="F232" s="40"/>
      <c r="H232" s="26"/>
    </row>
    <row r="233">
      <c r="F233" s="40"/>
      <c r="H233" s="26"/>
    </row>
    <row r="234">
      <c r="F234" s="40"/>
      <c r="H234" s="26"/>
    </row>
    <row r="235">
      <c r="F235" s="40"/>
      <c r="H235" s="26"/>
    </row>
    <row r="236">
      <c r="F236" s="40"/>
      <c r="H236" s="26"/>
    </row>
    <row r="237">
      <c r="F237" s="40"/>
      <c r="H237" s="26"/>
    </row>
    <row r="238">
      <c r="F238" s="40"/>
      <c r="H238" s="26"/>
    </row>
    <row r="239">
      <c r="F239" s="40"/>
      <c r="H239" s="26"/>
    </row>
    <row r="240">
      <c r="F240" s="40"/>
      <c r="H240" s="26"/>
    </row>
    <row r="241">
      <c r="F241" s="40"/>
      <c r="H241" s="26"/>
    </row>
    <row r="242">
      <c r="F242" s="40"/>
      <c r="H242" s="26"/>
    </row>
    <row r="243">
      <c r="F243" s="40"/>
      <c r="H243" s="26"/>
    </row>
    <row r="244">
      <c r="F244" s="40"/>
      <c r="H244" s="26"/>
    </row>
    <row r="245">
      <c r="F245" s="40"/>
      <c r="H245" s="26"/>
    </row>
    <row r="246">
      <c r="F246" s="40"/>
      <c r="H246" s="26"/>
    </row>
    <row r="247">
      <c r="F247" s="40"/>
      <c r="H247" s="26"/>
    </row>
    <row r="248">
      <c r="F248" s="40"/>
      <c r="H248" s="26"/>
    </row>
    <row r="249">
      <c r="F249" s="40"/>
      <c r="H249" s="26"/>
    </row>
    <row r="250">
      <c r="F250" s="40"/>
      <c r="H250" s="26"/>
    </row>
    <row r="251">
      <c r="F251" s="40"/>
      <c r="H251" s="26"/>
    </row>
    <row r="252">
      <c r="F252" s="40"/>
      <c r="H252" s="26"/>
    </row>
    <row r="253">
      <c r="F253" s="40"/>
      <c r="H253" s="26"/>
    </row>
    <row r="254">
      <c r="F254" s="40"/>
      <c r="H254" s="26"/>
    </row>
    <row r="255">
      <c r="F255" s="40"/>
      <c r="H255" s="26"/>
    </row>
    <row r="256">
      <c r="F256" s="40"/>
      <c r="H256" s="26"/>
    </row>
    <row r="257">
      <c r="F257" s="40"/>
      <c r="H257" s="26"/>
    </row>
    <row r="258">
      <c r="F258" s="40"/>
      <c r="H258" s="26"/>
    </row>
    <row r="259">
      <c r="F259" s="40"/>
      <c r="H259" s="26"/>
    </row>
    <row r="260">
      <c r="F260" s="40"/>
      <c r="H260" s="26"/>
    </row>
    <row r="261">
      <c r="F261" s="40"/>
      <c r="H261" s="26"/>
    </row>
    <row r="262">
      <c r="F262" s="40"/>
      <c r="H262" s="26"/>
    </row>
    <row r="263">
      <c r="F263" s="40"/>
      <c r="H263" s="26"/>
    </row>
    <row r="264">
      <c r="F264" s="40"/>
      <c r="H264" s="26"/>
    </row>
    <row r="265">
      <c r="F265" s="40"/>
      <c r="H265" s="26"/>
    </row>
    <row r="266">
      <c r="F266" s="40"/>
      <c r="H266" s="26"/>
    </row>
    <row r="267">
      <c r="F267" s="40"/>
      <c r="H267" s="26"/>
    </row>
    <row r="268">
      <c r="F268" s="40"/>
      <c r="H268" s="26"/>
    </row>
    <row r="269">
      <c r="F269" s="40"/>
      <c r="H269" s="26"/>
    </row>
    <row r="270">
      <c r="F270" s="40"/>
      <c r="H270" s="26"/>
    </row>
    <row r="271">
      <c r="F271" s="40"/>
      <c r="H271" s="26"/>
    </row>
    <row r="272">
      <c r="F272" s="40"/>
      <c r="H272" s="26"/>
    </row>
    <row r="273">
      <c r="F273" s="40"/>
      <c r="H273" s="26"/>
    </row>
    <row r="274">
      <c r="F274" s="40"/>
      <c r="H274" s="26"/>
    </row>
    <row r="275">
      <c r="F275" s="40"/>
      <c r="H275" s="26"/>
    </row>
    <row r="276">
      <c r="F276" s="40"/>
      <c r="H276" s="26"/>
    </row>
    <row r="277">
      <c r="F277" s="40"/>
      <c r="H277" s="26"/>
    </row>
    <row r="278">
      <c r="F278" s="40"/>
      <c r="H278" s="26"/>
    </row>
    <row r="279">
      <c r="F279" s="40"/>
      <c r="H279" s="26"/>
    </row>
    <row r="280">
      <c r="F280" s="40"/>
      <c r="H280" s="26"/>
    </row>
    <row r="281">
      <c r="F281" s="40"/>
      <c r="H281" s="26"/>
    </row>
    <row r="282">
      <c r="F282" s="40"/>
      <c r="H282" s="26"/>
    </row>
    <row r="283">
      <c r="F283" s="40"/>
      <c r="H283" s="26"/>
    </row>
    <row r="284">
      <c r="F284" s="40"/>
      <c r="H284" s="26"/>
    </row>
    <row r="285">
      <c r="F285" s="40"/>
      <c r="H285" s="26"/>
    </row>
    <row r="286">
      <c r="F286" s="40"/>
      <c r="H286" s="26"/>
    </row>
    <row r="287">
      <c r="F287" s="40"/>
      <c r="H287" s="26"/>
    </row>
    <row r="288">
      <c r="F288" s="40"/>
      <c r="H288" s="26"/>
    </row>
    <row r="289">
      <c r="F289" s="40"/>
      <c r="H289" s="26"/>
    </row>
    <row r="290">
      <c r="F290" s="40"/>
      <c r="H290" s="26"/>
    </row>
    <row r="291">
      <c r="F291" s="40"/>
      <c r="H291" s="26"/>
    </row>
    <row r="292">
      <c r="F292" s="40"/>
      <c r="H292" s="26"/>
    </row>
    <row r="293">
      <c r="F293" s="40"/>
      <c r="H293" s="26"/>
    </row>
    <row r="294">
      <c r="F294" s="40"/>
      <c r="H294" s="26"/>
    </row>
    <row r="295">
      <c r="F295" s="40"/>
      <c r="H295" s="26"/>
    </row>
    <row r="296">
      <c r="F296" s="40"/>
      <c r="H296" s="26"/>
    </row>
    <row r="297">
      <c r="F297" s="40"/>
      <c r="H297" s="26"/>
    </row>
    <row r="298">
      <c r="F298" s="40"/>
      <c r="H298" s="26"/>
    </row>
    <row r="299">
      <c r="F299" s="40"/>
      <c r="H299" s="26"/>
    </row>
    <row r="300">
      <c r="F300" s="40"/>
      <c r="H300" s="26"/>
    </row>
    <row r="301">
      <c r="F301" s="40"/>
      <c r="H301" s="26"/>
    </row>
    <row r="302">
      <c r="F302" s="40"/>
      <c r="H302" s="26"/>
    </row>
    <row r="303">
      <c r="F303" s="40"/>
      <c r="H303" s="26"/>
    </row>
    <row r="304">
      <c r="F304" s="40"/>
      <c r="H304" s="26"/>
    </row>
    <row r="305">
      <c r="F305" s="40"/>
      <c r="H305" s="26"/>
    </row>
    <row r="306">
      <c r="F306" s="40"/>
      <c r="H306" s="26"/>
    </row>
    <row r="307">
      <c r="F307" s="40"/>
      <c r="H307" s="26"/>
    </row>
    <row r="308">
      <c r="F308" s="40"/>
      <c r="H308" s="26"/>
    </row>
    <row r="309">
      <c r="F309" s="40"/>
      <c r="H309" s="26"/>
    </row>
    <row r="310">
      <c r="F310" s="40"/>
      <c r="H310" s="26"/>
    </row>
    <row r="311">
      <c r="F311" s="40"/>
      <c r="H311" s="26"/>
    </row>
    <row r="312">
      <c r="F312" s="40"/>
      <c r="H312" s="26"/>
    </row>
    <row r="313">
      <c r="F313" s="40"/>
      <c r="H313" s="26"/>
    </row>
    <row r="314">
      <c r="F314" s="40"/>
      <c r="H314" s="26"/>
    </row>
    <row r="315">
      <c r="F315" s="40"/>
      <c r="H315" s="26"/>
    </row>
    <row r="316">
      <c r="F316" s="40"/>
      <c r="H316" s="26"/>
    </row>
    <row r="317">
      <c r="F317" s="40"/>
      <c r="H317" s="26"/>
    </row>
    <row r="318">
      <c r="F318" s="40"/>
      <c r="H318" s="26"/>
    </row>
    <row r="319">
      <c r="F319" s="40"/>
      <c r="H319" s="26"/>
    </row>
    <row r="320">
      <c r="F320" s="40"/>
      <c r="H320" s="26"/>
    </row>
    <row r="321">
      <c r="F321" s="40"/>
      <c r="H321" s="26"/>
    </row>
    <row r="322">
      <c r="F322" s="40"/>
      <c r="H322" s="26"/>
    </row>
    <row r="323">
      <c r="F323" s="40"/>
      <c r="H323" s="26"/>
    </row>
    <row r="324">
      <c r="F324" s="40"/>
      <c r="H324" s="26"/>
    </row>
    <row r="325">
      <c r="F325" s="40"/>
      <c r="H325" s="26"/>
    </row>
    <row r="326">
      <c r="F326" s="40"/>
      <c r="H326" s="26"/>
    </row>
    <row r="327">
      <c r="F327" s="40"/>
      <c r="H327" s="26"/>
    </row>
    <row r="328">
      <c r="F328" s="40"/>
      <c r="H328" s="26"/>
    </row>
    <row r="329">
      <c r="F329" s="40"/>
      <c r="H329" s="26"/>
    </row>
    <row r="330">
      <c r="F330" s="40"/>
      <c r="H330" s="26"/>
    </row>
    <row r="331">
      <c r="F331" s="40"/>
      <c r="H331" s="26"/>
    </row>
    <row r="332">
      <c r="F332" s="40"/>
      <c r="H332" s="26"/>
    </row>
    <row r="333">
      <c r="F333" s="40"/>
      <c r="H333" s="26"/>
    </row>
    <row r="334">
      <c r="F334" s="40"/>
      <c r="H334" s="26"/>
    </row>
    <row r="335">
      <c r="F335" s="40"/>
      <c r="H335" s="26"/>
    </row>
    <row r="336">
      <c r="F336" s="40"/>
      <c r="H336" s="26"/>
    </row>
    <row r="337">
      <c r="F337" s="40"/>
      <c r="H337" s="26"/>
    </row>
    <row r="338">
      <c r="F338" s="40"/>
      <c r="H338" s="26"/>
    </row>
    <row r="339">
      <c r="F339" s="40"/>
      <c r="H339" s="26"/>
    </row>
    <row r="340">
      <c r="F340" s="40"/>
      <c r="H340" s="26"/>
    </row>
    <row r="341">
      <c r="F341" s="40"/>
      <c r="H341" s="26"/>
    </row>
    <row r="342">
      <c r="F342" s="40"/>
      <c r="H342" s="26"/>
    </row>
    <row r="343">
      <c r="F343" s="40"/>
      <c r="H343" s="26"/>
    </row>
    <row r="344">
      <c r="F344" s="40"/>
      <c r="H344" s="26"/>
    </row>
    <row r="345">
      <c r="F345" s="40"/>
      <c r="H345" s="26"/>
    </row>
    <row r="346">
      <c r="F346" s="40"/>
      <c r="H346" s="26"/>
    </row>
    <row r="347">
      <c r="F347" s="40"/>
      <c r="H347" s="26"/>
    </row>
    <row r="348">
      <c r="F348" s="40"/>
      <c r="H348" s="26"/>
    </row>
    <row r="349">
      <c r="F349" s="40"/>
      <c r="H349" s="26"/>
    </row>
    <row r="350">
      <c r="F350" s="40"/>
      <c r="H350" s="26"/>
    </row>
    <row r="351">
      <c r="F351" s="40"/>
      <c r="H351" s="26"/>
    </row>
    <row r="352">
      <c r="F352" s="40"/>
      <c r="H352" s="26"/>
    </row>
    <row r="353">
      <c r="F353" s="40"/>
      <c r="H353" s="26"/>
    </row>
    <row r="354">
      <c r="F354" s="40"/>
      <c r="H354" s="26"/>
    </row>
    <row r="355">
      <c r="F355" s="40"/>
      <c r="H355" s="26"/>
    </row>
    <row r="356">
      <c r="F356" s="40"/>
      <c r="H356" s="26"/>
    </row>
    <row r="357">
      <c r="F357" s="40"/>
      <c r="H357" s="26"/>
    </row>
    <row r="358">
      <c r="F358" s="40"/>
      <c r="H358" s="26"/>
    </row>
    <row r="359">
      <c r="F359" s="40"/>
      <c r="H359" s="26"/>
    </row>
    <row r="360">
      <c r="F360" s="40"/>
      <c r="H360" s="26"/>
    </row>
    <row r="361">
      <c r="F361" s="40"/>
      <c r="H361" s="26"/>
    </row>
    <row r="362">
      <c r="F362" s="40"/>
      <c r="H362" s="26"/>
    </row>
    <row r="363">
      <c r="F363" s="40"/>
      <c r="H363" s="26"/>
    </row>
    <row r="364">
      <c r="F364" s="40"/>
      <c r="H364" s="26"/>
    </row>
    <row r="365">
      <c r="F365" s="40"/>
      <c r="H365" s="26"/>
    </row>
    <row r="366">
      <c r="F366" s="40"/>
      <c r="H366" s="26"/>
    </row>
    <row r="367">
      <c r="F367" s="40"/>
      <c r="H367" s="26"/>
    </row>
    <row r="368">
      <c r="F368" s="40"/>
      <c r="H368" s="26"/>
    </row>
    <row r="369">
      <c r="F369" s="40"/>
      <c r="H369" s="26"/>
    </row>
    <row r="370">
      <c r="F370" s="40"/>
      <c r="H370" s="26"/>
    </row>
    <row r="371">
      <c r="F371" s="40"/>
      <c r="H371" s="26"/>
    </row>
    <row r="372">
      <c r="F372" s="40"/>
      <c r="H372" s="26"/>
    </row>
    <row r="373">
      <c r="F373" s="40"/>
      <c r="H373" s="26"/>
    </row>
    <row r="374">
      <c r="F374" s="40"/>
      <c r="H374" s="26"/>
    </row>
    <row r="375">
      <c r="F375" s="40"/>
      <c r="H375" s="26"/>
    </row>
    <row r="376">
      <c r="F376" s="40"/>
      <c r="H376" s="26"/>
    </row>
    <row r="377">
      <c r="F377" s="40"/>
      <c r="H377" s="26"/>
    </row>
    <row r="378">
      <c r="F378" s="40"/>
      <c r="H378" s="26"/>
    </row>
    <row r="379">
      <c r="F379" s="40"/>
      <c r="H379" s="26"/>
    </row>
    <row r="380">
      <c r="F380" s="40"/>
      <c r="H380" s="26"/>
    </row>
    <row r="381">
      <c r="F381" s="40"/>
      <c r="H381" s="26"/>
    </row>
    <row r="382">
      <c r="F382" s="40"/>
      <c r="H382" s="26"/>
    </row>
    <row r="383">
      <c r="F383" s="40"/>
      <c r="H383" s="26"/>
    </row>
    <row r="384">
      <c r="F384" s="40"/>
      <c r="H384" s="26"/>
    </row>
    <row r="385">
      <c r="F385" s="40"/>
      <c r="H385" s="26"/>
    </row>
    <row r="386">
      <c r="F386" s="40"/>
      <c r="H386" s="26"/>
    </row>
    <row r="387">
      <c r="F387" s="40"/>
      <c r="H387" s="26"/>
    </row>
    <row r="388">
      <c r="F388" s="40"/>
      <c r="H388" s="26"/>
    </row>
    <row r="389">
      <c r="F389" s="40"/>
      <c r="H389" s="26"/>
    </row>
    <row r="390">
      <c r="F390" s="40"/>
      <c r="H390" s="26"/>
    </row>
    <row r="391">
      <c r="F391" s="40"/>
      <c r="H391" s="26"/>
    </row>
    <row r="392">
      <c r="F392" s="40"/>
      <c r="H392" s="26"/>
    </row>
    <row r="393">
      <c r="F393" s="40"/>
      <c r="H393" s="26"/>
    </row>
    <row r="394">
      <c r="F394" s="40"/>
      <c r="H394" s="26"/>
    </row>
    <row r="395">
      <c r="F395" s="40"/>
      <c r="H395" s="26"/>
    </row>
    <row r="396">
      <c r="F396" s="40"/>
      <c r="H396" s="26"/>
    </row>
    <row r="397">
      <c r="F397" s="40"/>
      <c r="H397" s="26"/>
    </row>
    <row r="398">
      <c r="F398" s="40"/>
      <c r="H398" s="26"/>
    </row>
    <row r="399">
      <c r="F399" s="40"/>
      <c r="H399" s="26"/>
    </row>
    <row r="400">
      <c r="F400" s="40"/>
      <c r="H400" s="26"/>
    </row>
    <row r="401">
      <c r="F401" s="40"/>
      <c r="H401" s="26"/>
    </row>
    <row r="402">
      <c r="F402" s="40"/>
      <c r="H402" s="26"/>
    </row>
    <row r="403">
      <c r="F403" s="40"/>
      <c r="H403" s="26"/>
    </row>
    <row r="404">
      <c r="F404" s="40"/>
      <c r="H404" s="26"/>
    </row>
    <row r="405">
      <c r="F405" s="40"/>
      <c r="H405" s="26"/>
    </row>
    <row r="406">
      <c r="F406" s="40"/>
      <c r="H406" s="26"/>
    </row>
    <row r="407">
      <c r="F407" s="40"/>
      <c r="H407" s="26"/>
    </row>
    <row r="408">
      <c r="F408" s="40"/>
      <c r="H408" s="26"/>
    </row>
    <row r="409">
      <c r="F409" s="40"/>
      <c r="H409" s="26"/>
    </row>
    <row r="410">
      <c r="F410" s="40"/>
      <c r="H410" s="26"/>
    </row>
    <row r="411">
      <c r="F411" s="40"/>
      <c r="H411" s="26"/>
    </row>
    <row r="412">
      <c r="F412" s="40"/>
      <c r="H412" s="26"/>
    </row>
    <row r="413">
      <c r="F413" s="40"/>
      <c r="H413" s="26"/>
    </row>
    <row r="414">
      <c r="F414" s="40"/>
      <c r="H414" s="26"/>
    </row>
    <row r="415">
      <c r="F415" s="40"/>
      <c r="H415" s="26"/>
    </row>
    <row r="416">
      <c r="F416" s="40"/>
      <c r="H416" s="26"/>
    </row>
    <row r="417">
      <c r="F417" s="40"/>
      <c r="H417" s="26"/>
    </row>
    <row r="418">
      <c r="F418" s="40"/>
      <c r="H418" s="26"/>
    </row>
    <row r="419">
      <c r="F419" s="40"/>
      <c r="H419" s="26"/>
    </row>
    <row r="420">
      <c r="F420" s="40"/>
      <c r="H420" s="26"/>
    </row>
    <row r="421">
      <c r="F421" s="40"/>
      <c r="H421" s="26"/>
    </row>
    <row r="422">
      <c r="F422" s="40"/>
      <c r="H422" s="26"/>
    </row>
    <row r="423">
      <c r="F423" s="40"/>
      <c r="H423" s="26"/>
    </row>
    <row r="424">
      <c r="F424" s="40"/>
      <c r="H424" s="26"/>
    </row>
    <row r="425">
      <c r="F425" s="40"/>
      <c r="H425" s="26"/>
    </row>
    <row r="426">
      <c r="F426" s="40"/>
      <c r="H426" s="26"/>
    </row>
    <row r="427">
      <c r="F427" s="40"/>
      <c r="H427" s="26"/>
    </row>
    <row r="428">
      <c r="F428" s="40"/>
      <c r="H428" s="26"/>
    </row>
    <row r="429">
      <c r="F429" s="40"/>
      <c r="H429" s="26"/>
    </row>
    <row r="430">
      <c r="F430" s="40"/>
      <c r="H430" s="26"/>
    </row>
    <row r="431">
      <c r="F431" s="40"/>
      <c r="H431" s="26"/>
    </row>
    <row r="432">
      <c r="F432" s="40"/>
      <c r="H432" s="26"/>
    </row>
    <row r="433">
      <c r="F433" s="40"/>
      <c r="H433" s="26"/>
    </row>
    <row r="434">
      <c r="F434" s="40"/>
      <c r="H434" s="26"/>
    </row>
    <row r="435">
      <c r="F435" s="40"/>
      <c r="H435" s="26"/>
    </row>
    <row r="436">
      <c r="F436" s="40"/>
      <c r="H436" s="26"/>
    </row>
    <row r="437">
      <c r="F437" s="40"/>
      <c r="H437" s="26"/>
    </row>
    <row r="438">
      <c r="F438" s="40"/>
      <c r="H438" s="26"/>
    </row>
    <row r="439">
      <c r="F439" s="40"/>
      <c r="H439" s="26"/>
    </row>
    <row r="440">
      <c r="F440" s="40"/>
      <c r="H440" s="26"/>
    </row>
    <row r="441">
      <c r="F441" s="40"/>
      <c r="H441" s="26"/>
    </row>
    <row r="442">
      <c r="F442" s="40"/>
      <c r="H442" s="26"/>
    </row>
    <row r="443">
      <c r="F443" s="40"/>
      <c r="H443" s="26"/>
    </row>
    <row r="444">
      <c r="F444" s="40"/>
      <c r="H444" s="26"/>
    </row>
    <row r="445">
      <c r="F445" s="40"/>
      <c r="H445" s="26"/>
    </row>
    <row r="446">
      <c r="F446" s="40"/>
      <c r="H446" s="26"/>
    </row>
    <row r="447">
      <c r="F447" s="40"/>
      <c r="H447" s="26"/>
    </row>
    <row r="448">
      <c r="F448" s="40"/>
      <c r="H448" s="26"/>
    </row>
    <row r="449">
      <c r="F449" s="40"/>
      <c r="H449" s="26"/>
    </row>
    <row r="450">
      <c r="F450" s="40"/>
      <c r="H450" s="26"/>
    </row>
    <row r="451">
      <c r="F451" s="40"/>
      <c r="H451" s="26"/>
    </row>
    <row r="452">
      <c r="F452" s="40"/>
      <c r="H452" s="26"/>
    </row>
    <row r="453">
      <c r="F453" s="40"/>
      <c r="H453" s="26"/>
    </row>
    <row r="454">
      <c r="F454" s="40"/>
      <c r="H454" s="26"/>
    </row>
    <row r="455">
      <c r="F455" s="40"/>
      <c r="H455" s="26"/>
    </row>
    <row r="456">
      <c r="F456" s="40"/>
      <c r="H456" s="26"/>
    </row>
    <row r="457">
      <c r="F457" s="40"/>
      <c r="H457" s="26"/>
    </row>
    <row r="458">
      <c r="F458" s="40"/>
      <c r="H458" s="26"/>
    </row>
    <row r="459">
      <c r="F459" s="40"/>
      <c r="H459" s="26"/>
    </row>
    <row r="460">
      <c r="F460" s="40"/>
      <c r="H460" s="26"/>
    </row>
    <row r="461">
      <c r="F461" s="40"/>
      <c r="H461" s="26"/>
    </row>
    <row r="462">
      <c r="F462" s="40"/>
      <c r="H462" s="26"/>
    </row>
    <row r="463">
      <c r="F463" s="40"/>
      <c r="H463" s="26"/>
    </row>
    <row r="464">
      <c r="F464" s="40"/>
      <c r="H464" s="26"/>
    </row>
    <row r="465">
      <c r="F465" s="40"/>
      <c r="H465" s="26"/>
    </row>
    <row r="466">
      <c r="F466" s="40"/>
      <c r="H466" s="26"/>
    </row>
    <row r="467">
      <c r="F467" s="40"/>
      <c r="H467" s="26"/>
    </row>
    <row r="468">
      <c r="F468" s="40"/>
      <c r="H468" s="26"/>
    </row>
    <row r="469">
      <c r="F469" s="40"/>
      <c r="H469" s="26"/>
    </row>
    <row r="470">
      <c r="F470" s="40"/>
      <c r="H470" s="26"/>
    </row>
    <row r="471">
      <c r="F471" s="40"/>
      <c r="H471" s="26"/>
    </row>
    <row r="472">
      <c r="F472" s="40"/>
      <c r="H472" s="26"/>
    </row>
    <row r="473">
      <c r="F473" s="40"/>
      <c r="H473" s="26"/>
    </row>
    <row r="474">
      <c r="F474" s="40"/>
      <c r="H474" s="26"/>
    </row>
    <row r="475">
      <c r="F475" s="40"/>
      <c r="H475" s="26"/>
    </row>
    <row r="476">
      <c r="F476" s="40"/>
      <c r="H476" s="26"/>
    </row>
    <row r="477">
      <c r="F477" s="40"/>
      <c r="H477" s="26"/>
    </row>
    <row r="478">
      <c r="F478" s="40"/>
      <c r="H478" s="26"/>
    </row>
    <row r="479">
      <c r="F479" s="40"/>
      <c r="H479" s="26"/>
    </row>
    <row r="480">
      <c r="F480" s="40"/>
      <c r="H480" s="26"/>
    </row>
    <row r="481">
      <c r="F481" s="40"/>
      <c r="H481" s="26"/>
    </row>
    <row r="482">
      <c r="F482" s="40"/>
      <c r="H482" s="26"/>
    </row>
    <row r="483">
      <c r="F483" s="40"/>
      <c r="H483" s="26"/>
    </row>
    <row r="484">
      <c r="F484" s="40"/>
      <c r="H484" s="26"/>
    </row>
    <row r="485">
      <c r="F485" s="40"/>
      <c r="H485" s="26"/>
    </row>
    <row r="486">
      <c r="F486" s="40"/>
      <c r="H486" s="26"/>
    </row>
    <row r="487">
      <c r="F487" s="40"/>
      <c r="H487" s="26"/>
    </row>
    <row r="488">
      <c r="F488" s="40"/>
      <c r="H488" s="26"/>
    </row>
    <row r="489">
      <c r="F489" s="40"/>
      <c r="H489" s="26"/>
    </row>
    <row r="490">
      <c r="F490" s="40"/>
      <c r="H490" s="26"/>
    </row>
    <row r="491">
      <c r="F491" s="40"/>
      <c r="H491" s="26"/>
    </row>
    <row r="492">
      <c r="F492" s="40"/>
      <c r="H492" s="26"/>
    </row>
    <row r="493">
      <c r="F493" s="40"/>
      <c r="H493" s="26"/>
    </row>
    <row r="494">
      <c r="F494" s="40"/>
      <c r="H494" s="26"/>
    </row>
    <row r="495">
      <c r="F495" s="40"/>
      <c r="H495" s="26"/>
    </row>
    <row r="496">
      <c r="F496" s="40"/>
      <c r="H496" s="26"/>
    </row>
    <row r="497">
      <c r="F497" s="40"/>
      <c r="H497" s="26"/>
    </row>
    <row r="498">
      <c r="F498" s="40"/>
      <c r="H498" s="26"/>
    </row>
    <row r="499">
      <c r="F499" s="40"/>
      <c r="H499" s="26"/>
    </row>
    <row r="500">
      <c r="F500" s="40"/>
      <c r="H500" s="26"/>
    </row>
    <row r="501">
      <c r="F501" s="40"/>
      <c r="H501" s="26"/>
    </row>
    <row r="502">
      <c r="F502" s="40"/>
      <c r="H502" s="26"/>
    </row>
    <row r="503">
      <c r="F503" s="40"/>
      <c r="H503" s="26"/>
    </row>
    <row r="504">
      <c r="F504" s="40"/>
      <c r="H504" s="26"/>
    </row>
    <row r="505">
      <c r="F505" s="40"/>
      <c r="H505" s="26"/>
    </row>
    <row r="506">
      <c r="F506" s="40"/>
      <c r="H506" s="26"/>
    </row>
    <row r="507">
      <c r="F507" s="40"/>
      <c r="H507" s="26"/>
    </row>
    <row r="508">
      <c r="F508" s="40"/>
      <c r="H508" s="26"/>
    </row>
    <row r="509">
      <c r="F509" s="40"/>
      <c r="H509" s="26"/>
    </row>
    <row r="510">
      <c r="F510" s="40"/>
      <c r="H510" s="26"/>
    </row>
    <row r="511">
      <c r="F511" s="40"/>
      <c r="H511" s="26"/>
    </row>
    <row r="512">
      <c r="F512" s="40"/>
      <c r="H512" s="26"/>
    </row>
    <row r="513">
      <c r="F513" s="40"/>
      <c r="H513" s="26"/>
    </row>
    <row r="514">
      <c r="F514" s="40"/>
      <c r="H514" s="26"/>
    </row>
    <row r="515">
      <c r="F515" s="40"/>
      <c r="H515" s="26"/>
    </row>
    <row r="516">
      <c r="F516" s="40"/>
      <c r="H516" s="26"/>
    </row>
    <row r="517">
      <c r="F517" s="40"/>
      <c r="H517" s="26"/>
    </row>
    <row r="518">
      <c r="F518" s="40"/>
      <c r="H518" s="26"/>
    </row>
    <row r="519">
      <c r="F519" s="40"/>
      <c r="H519" s="26"/>
    </row>
    <row r="520">
      <c r="F520" s="40"/>
      <c r="H520" s="26"/>
    </row>
    <row r="521">
      <c r="F521" s="40"/>
      <c r="H521" s="26"/>
    </row>
    <row r="522">
      <c r="F522" s="40"/>
      <c r="H522" s="26"/>
    </row>
    <row r="523">
      <c r="F523" s="40"/>
      <c r="H523" s="26"/>
    </row>
    <row r="524">
      <c r="F524" s="40"/>
      <c r="H524" s="26"/>
    </row>
    <row r="525">
      <c r="F525" s="40"/>
      <c r="H525" s="26"/>
    </row>
    <row r="526">
      <c r="F526" s="40"/>
      <c r="H526" s="26"/>
    </row>
    <row r="527">
      <c r="F527" s="40"/>
      <c r="H527" s="26"/>
    </row>
    <row r="528">
      <c r="F528" s="40"/>
      <c r="H528" s="26"/>
    </row>
    <row r="529">
      <c r="F529" s="40"/>
      <c r="H529" s="26"/>
    </row>
    <row r="530">
      <c r="F530" s="40"/>
      <c r="H530" s="26"/>
    </row>
    <row r="531">
      <c r="F531" s="40"/>
      <c r="H531" s="26"/>
    </row>
    <row r="532">
      <c r="F532" s="40"/>
      <c r="H532" s="26"/>
    </row>
    <row r="533">
      <c r="F533" s="40"/>
      <c r="H533" s="26"/>
    </row>
    <row r="534">
      <c r="F534" s="40"/>
      <c r="H534" s="26"/>
    </row>
    <row r="535">
      <c r="F535" s="40"/>
      <c r="H535" s="26"/>
    </row>
    <row r="536">
      <c r="F536" s="40"/>
      <c r="H536" s="26"/>
    </row>
    <row r="537">
      <c r="F537" s="40"/>
      <c r="H537" s="26"/>
    </row>
    <row r="538">
      <c r="F538" s="40"/>
      <c r="H538" s="26"/>
    </row>
    <row r="539">
      <c r="F539" s="40"/>
      <c r="H539" s="26"/>
    </row>
    <row r="540">
      <c r="F540" s="40"/>
      <c r="H540" s="26"/>
    </row>
    <row r="541">
      <c r="F541" s="40"/>
      <c r="H541" s="26"/>
    </row>
    <row r="542">
      <c r="F542" s="40"/>
      <c r="H542" s="26"/>
    </row>
    <row r="543">
      <c r="F543" s="40"/>
      <c r="H543" s="26"/>
    </row>
    <row r="544">
      <c r="F544" s="40"/>
      <c r="H544" s="26"/>
    </row>
    <row r="545">
      <c r="F545" s="40"/>
      <c r="H545" s="26"/>
    </row>
    <row r="546">
      <c r="F546" s="40"/>
      <c r="H546" s="26"/>
    </row>
    <row r="547">
      <c r="F547" s="40"/>
      <c r="H547" s="26"/>
    </row>
    <row r="548">
      <c r="F548" s="40"/>
      <c r="H548" s="26"/>
    </row>
    <row r="549">
      <c r="F549" s="40"/>
      <c r="H549" s="26"/>
    </row>
    <row r="550">
      <c r="F550" s="40"/>
      <c r="H550" s="26"/>
    </row>
    <row r="551">
      <c r="F551" s="40"/>
      <c r="H551" s="26"/>
    </row>
    <row r="552">
      <c r="F552" s="40"/>
      <c r="H552" s="26"/>
    </row>
    <row r="553">
      <c r="F553" s="40"/>
      <c r="H553" s="26"/>
    </row>
    <row r="554">
      <c r="F554" s="40"/>
      <c r="H554" s="26"/>
    </row>
    <row r="555">
      <c r="F555" s="40"/>
      <c r="H555" s="26"/>
    </row>
    <row r="556">
      <c r="F556" s="40"/>
      <c r="H556" s="26"/>
    </row>
    <row r="557">
      <c r="F557" s="40"/>
      <c r="H557" s="26"/>
    </row>
    <row r="558">
      <c r="F558" s="40"/>
      <c r="H558" s="26"/>
    </row>
    <row r="559">
      <c r="F559" s="40"/>
      <c r="H559" s="26"/>
    </row>
    <row r="560">
      <c r="F560" s="40"/>
      <c r="H560" s="26"/>
    </row>
    <row r="561">
      <c r="F561" s="40"/>
      <c r="H561" s="26"/>
    </row>
    <row r="562">
      <c r="F562" s="40"/>
      <c r="H562" s="26"/>
    </row>
    <row r="563">
      <c r="F563" s="40"/>
      <c r="H563" s="26"/>
    </row>
    <row r="564">
      <c r="F564" s="40"/>
      <c r="H564" s="26"/>
    </row>
    <row r="565">
      <c r="F565" s="40"/>
      <c r="H565" s="26"/>
    </row>
    <row r="566">
      <c r="F566" s="40"/>
      <c r="H566" s="26"/>
    </row>
    <row r="567">
      <c r="F567" s="40"/>
      <c r="H567" s="26"/>
    </row>
    <row r="568">
      <c r="F568" s="40"/>
      <c r="H568" s="26"/>
    </row>
    <row r="569">
      <c r="F569" s="40"/>
      <c r="H569" s="26"/>
    </row>
    <row r="570">
      <c r="F570" s="40"/>
      <c r="H570" s="26"/>
    </row>
    <row r="571">
      <c r="F571" s="40"/>
      <c r="H571" s="26"/>
    </row>
    <row r="572">
      <c r="F572" s="40"/>
      <c r="H572" s="26"/>
    </row>
    <row r="573">
      <c r="F573" s="40"/>
      <c r="H573" s="26"/>
    </row>
    <row r="574">
      <c r="F574" s="40"/>
      <c r="H574" s="26"/>
    </row>
    <row r="575">
      <c r="F575" s="40"/>
      <c r="H575" s="26"/>
    </row>
    <row r="576">
      <c r="F576" s="40"/>
      <c r="H576" s="26"/>
    </row>
    <row r="577">
      <c r="F577" s="40"/>
      <c r="H577" s="26"/>
    </row>
    <row r="578">
      <c r="F578" s="40"/>
      <c r="H578" s="26"/>
    </row>
    <row r="579">
      <c r="F579" s="40"/>
      <c r="H579" s="26"/>
    </row>
    <row r="580">
      <c r="F580" s="40"/>
      <c r="H580" s="26"/>
    </row>
    <row r="581">
      <c r="F581" s="40"/>
      <c r="H581" s="26"/>
    </row>
    <row r="582">
      <c r="F582" s="40"/>
      <c r="H582" s="26"/>
    </row>
    <row r="583">
      <c r="F583" s="40"/>
      <c r="H583" s="26"/>
    </row>
    <row r="584">
      <c r="F584" s="40"/>
      <c r="H584" s="26"/>
    </row>
    <row r="585">
      <c r="F585" s="40"/>
      <c r="H585" s="26"/>
    </row>
    <row r="586">
      <c r="F586" s="40"/>
      <c r="H586" s="26"/>
    </row>
    <row r="587">
      <c r="F587" s="40"/>
      <c r="H587" s="26"/>
    </row>
    <row r="588">
      <c r="F588" s="40"/>
      <c r="H588" s="26"/>
    </row>
    <row r="589">
      <c r="F589" s="40"/>
      <c r="H589" s="26"/>
    </row>
    <row r="590">
      <c r="F590" s="40"/>
      <c r="H590" s="26"/>
    </row>
    <row r="591">
      <c r="F591" s="40"/>
      <c r="H591" s="26"/>
    </row>
    <row r="592">
      <c r="F592" s="40"/>
      <c r="H592" s="26"/>
    </row>
    <row r="593">
      <c r="F593" s="40"/>
      <c r="H593" s="26"/>
    </row>
    <row r="594">
      <c r="F594" s="40"/>
      <c r="H594" s="26"/>
    </row>
    <row r="595">
      <c r="F595" s="40"/>
      <c r="H595" s="26"/>
    </row>
    <row r="596">
      <c r="F596" s="40"/>
      <c r="H596" s="26"/>
    </row>
    <row r="597">
      <c r="F597" s="40"/>
      <c r="H597" s="26"/>
    </row>
    <row r="598">
      <c r="F598" s="40"/>
      <c r="H598" s="26"/>
    </row>
    <row r="599">
      <c r="F599" s="40"/>
      <c r="H599" s="26"/>
    </row>
    <row r="600">
      <c r="F600" s="40"/>
      <c r="H600" s="26"/>
    </row>
    <row r="601">
      <c r="F601" s="40"/>
      <c r="H601" s="26"/>
    </row>
    <row r="602">
      <c r="F602" s="40"/>
      <c r="H602" s="26"/>
    </row>
    <row r="603">
      <c r="F603" s="40"/>
      <c r="H603" s="26"/>
    </row>
    <row r="604">
      <c r="F604" s="40"/>
      <c r="H604" s="26"/>
    </row>
    <row r="605">
      <c r="F605" s="40"/>
      <c r="H605" s="26"/>
    </row>
    <row r="606">
      <c r="F606" s="40"/>
      <c r="H606" s="26"/>
    </row>
    <row r="607">
      <c r="F607" s="40"/>
      <c r="H607" s="26"/>
    </row>
    <row r="608">
      <c r="F608" s="40"/>
      <c r="H608" s="26"/>
    </row>
    <row r="609">
      <c r="F609" s="40"/>
      <c r="H609" s="26"/>
    </row>
    <row r="610">
      <c r="F610" s="40"/>
      <c r="H610" s="26"/>
    </row>
    <row r="611">
      <c r="F611" s="40"/>
      <c r="H611" s="26"/>
    </row>
    <row r="612">
      <c r="F612" s="40"/>
      <c r="H612" s="26"/>
    </row>
    <row r="613">
      <c r="F613" s="40"/>
      <c r="H613" s="26"/>
    </row>
    <row r="614">
      <c r="F614" s="40"/>
      <c r="H614" s="26"/>
    </row>
    <row r="615">
      <c r="F615" s="40"/>
      <c r="H615" s="26"/>
    </row>
    <row r="616">
      <c r="F616" s="40"/>
      <c r="H616" s="26"/>
    </row>
    <row r="617">
      <c r="F617" s="40"/>
      <c r="H617" s="26"/>
    </row>
    <row r="618">
      <c r="F618" s="40"/>
      <c r="H618" s="26"/>
    </row>
    <row r="619">
      <c r="F619" s="40"/>
      <c r="H619" s="26"/>
    </row>
    <row r="620">
      <c r="F620" s="40"/>
      <c r="H620" s="26"/>
    </row>
    <row r="621">
      <c r="F621" s="40"/>
      <c r="H621" s="26"/>
    </row>
    <row r="622">
      <c r="F622" s="40"/>
      <c r="H622" s="26"/>
    </row>
    <row r="623">
      <c r="F623" s="40"/>
      <c r="H623" s="26"/>
    </row>
    <row r="624">
      <c r="F624" s="40"/>
      <c r="H624" s="26"/>
    </row>
    <row r="625">
      <c r="F625" s="40"/>
      <c r="H625" s="26"/>
    </row>
    <row r="626">
      <c r="F626" s="40"/>
      <c r="H626" s="26"/>
    </row>
    <row r="627">
      <c r="F627" s="40"/>
      <c r="H627" s="26"/>
    </row>
    <row r="628">
      <c r="F628" s="40"/>
      <c r="H628" s="26"/>
    </row>
    <row r="629">
      <c r="F629" s="40"/>
      <c r="H629" s="26"/>
    </row>
    <row r="630">
      <c r="F630" s="40"/>
      <c r="H630" s="26"/>
    </row>
    <row r="631">
      <c r="F631" s="40"/>
      <c r="H631" s="26"/>
    </row>
    <row r="632">
      <c r="F632" s="40"/>
      <c r="H632" s="26"/>
    </row>
    <row r="633">
      <c r="F633" s="40"/>
      <c r="H633" s="26"/>
    </row>
    <row r="634">
      <c r="F634" s="40"/>
      <c r="H634" s="26"/>
    </row>
    <row r="635">
      <c r="F635" s="40"/>
      <c r="H635" s="26"/>
    </row>
    <row r="636">
      <c r="F636" s="40"/>
      <c r="H636" s="26"/>
    </row>
    <row r="637">
      <c r="F637" s="40"/>
      <c r="H637" s="26"/>
    </row>
    <row r="638">
      <c r="F638" s="40"/>
      <c r="H638" s="26"/>
    </row>
    <row r="639">
      <c r="F639" s="40"/>
      <c r="H639" s="26"/>
    </row>
    <row r="640">
      <c r="F640" s="40"/>
      <c r="H640" s="26"/>
    </row>
    <row r="641">
      <c r="F641" s="40"/>
      <c r="H641" s="26"/>
    </row>
    <row r="642">
      <c r="F642" s="40"/>
      <c r="H642" s="26"/>
    </row>
    <row r="643">
      <c r="F643" s="40"/>
      <c r="H643" s="26"/>
    </row>
    <row r="644">
      <c r="F644" s="40"/>
      <c r="H644" s="26"/>
    </row>
    <row r="645">
      <c r="F645" s="40"/>
      <c r="H645" s="26"/>
    </row>
    <row r="646">
      <c r="F646" s="40"/>
      <c r="H646" s="26"/>
    </row>
    <row r="647">
      <c r="F647" s="40"/>
      <c r="H647" s="26"/>
    </row>
    <row r="648">
      <c r="F648" s="40"/>
      <c r="H648" s="26"/>
    </row>
    <row r="649">
      <c r="F649" s="40"/>
      <c r="H649" s="26"/>
    </row>
    <row r="650">
      <c r="F650" s="40"/>
      <c r="H650" s="26"/>
    </row>
    <row r="651">
      <c r="F651" s="40"/>
      <c r="H651" s="26"/>
    </row>
    <row r="652">
      <c r="F652" s="40"/>
      <c r="H652" s="26"/>
    </row>
    <row r="653">
      <c r="F653" s="40"/>
      <c r="H653" s="26"/>
    </row>
    <row r="654">
      <c r="F654" s="40"/>
      <c r="H654" s="26"/>
    </row>
    <row r="655">
      <c r="F655" s="40"/>
      <c r="H655" s="26"/>
    </row>
    <row r="656">
      <c r="F656" s="40"/>
      <c r="H656" s="26"/>
    </row>
    <row r="657">
      <c r="F657" s="40"/>
      <c r="H657" s="26"/>
    </row>
    <row r="658">
      <c r="F658" s="40"/>
      <c r="H658" s="26"/>
    </row>
    <row r="659">
      <c r="F659" s="40"/>
      <c r="H659" s="26"/>
    </row>
    <row r="660">
      <c r="F660" s="40"/>
      <c r="H660" s="26"/>
    </row>
    <row r="661">
      <c r="F661" s="40"/>
      <c r="H661" s="26"/>
    </row>
    <row r="662">
      <c r="F662" s="40"/>
      <c r="H662" s="26"/>
    </row>
    <row r="663">
      <c r="F663" s="40"/>
      <c r="H663" s="26"/>
    </row>
    <row r="664">
      <c r="F664" s="40"/>
      <c r="H664" s="26"/>
    </row>
    <row r="665">
      <c r="F665" s="40"/>
      <c r="H665" s="26"/>
    </row>
    <row r="666">
      <c r="F666" s="40"/>
      <c r="H666" s="26"/>
    </row>
    <row r="667">
      <c r="F667" s="40"/>
      <c r="H667" s="26"/>
    </row>
    <row r="668">
      <c r="F668" s="40"/>
      <c r="H668" s="26"/>
    </row>
    <row r="669">
      <c r="F669" s="40"/>
      <c r="H669" s="26"/>
    </row>
    <row r="670">
      <c r="F670" s="40"/>
      <c r="H670" s="26"/>
    </row>
    <row r="671">
      <c r="F671" s="40"/>
      <c r="H671" s="26"/>
    </row>
    <row r="672">
      <c r="F672" s="40"/>
      <c r="H672" s="26"/>
    </row>
    <row r="673">
      <c r="F673" s="40"/>
      <c r="H673" s="26"/>
    </row>
    <row r="674">
      <c r="F674" s="40"/>
      <c r="H674" s="26"/>
    </row>
    <row r="675">
      <c r="F675" s="40"/>
      <c r="H675" s="26"/>
    </row>
    <row r="676">
      <c r="F676" s="40"/>
      <c r="H676" s="26"/>
    </row>
    <row r="677">
      <c r="F677" s="40"/>
      <c r="H677" s="26"/>
    </row>
    <row r="678">
      <c r="F678" s="40"/>
      <c r="H678" s="26"/>
    </row>
    <row r="679">
      <c r="F679" s="40"/>
      <c r="H679" s="26"/>
    </row>
    <row r="680">
      <c r="F680" s="40"/>
      <c r="H680" s="26"/>
    </row>
    <row r="681">
      <c r="F681" s="40"/>
      <c r="H681" s="26"/>
    </row>
    <row r="682">
      <c r="F682" s="40"/>
      <c r="H682" s="26"/>
    </row>
    <row r="683">
      <c r="F683" s="40"/>
      <c r="H683" s="26"/>
    </row>
    <row r="684">
      <c r="F684" s="40"/>
      <c r="H684" s="26"/>
    </row>
    <row r="685">
      <c r="F685" s="40"/>
      <c r="H685" s="26"/>
    </row>
    <row r="686">
      <c r="F686" s="40"/>
      <c r="H686" s="26"/>
    </row>
    <row r="687">
      <c r="F687" s="40"/>
      <c r="H687" s="26"/>
    </row>
    <row r="688">
      <c r="F688" s="40"/>
      <c r="H688" s="26"/>
    </row>
    <row r="689">
      <c r="F689" s="40"/>
      <c r="H689" s="26"/>
    </row>
    <row r="690">
      <c r="F690" s="40"/>
      <c r="H690" s="26"/>
    </row>
    <row r="691">
      <c r="F691" s="40"/>
      <c r="H691" s="26"/>
    </row>
    <row r="692">
      <c r="F692" s="40"/>
      <c r="H692" s="26"/>
    </row>
    <row r="693">
      <c r="F693" s="40"/>
      <c r="H693" s="26"/>
    </row>
    <row r="694">
      <c r="F694" s="40"/>
      <c r="H694" s="26"/>
    </row>
    <row r="695">
      <c r="F695" s="40"/>
      <c r="H695" s="26"/>
    </row>
    <row r="696">
      <c r="F696" s="40"/>
      <c r="H696" s="26"/>
    </row>
    <row r="697">
      <c r="F697" s="40"/>
      <c r="H697" s="26"/>
    </row>
    <row r="698">
      <c r="F698" s="40"/>
      <c r="H698" s="26"/>
    </row>
    <row r="699">
      <c r="F699" s="40"/>
      <c r="H699" s="26"/>
    </row>
    <row r="700">
      <c r="F700" s="40"/>
      <c r="H700" s="26"/>
    </row>
    <row r="701">
      <c r="F701" s="40"/>
      <c r="H701" s="26"/>
    </row>
    <row r="702">
      <c r="F702" s="40"/>
      <c r="H702" s="26"/>
    </row>
    <row r="703">
      <c r="F703" s="40"/>
      <c r="H703" s="26"/>
    </row>
    <row r="704">
      <c r="F704" s="40"/>
      <c r="H704" s="26"/>
    </row>
    <row r="705">
      <c r="F705" s="40"/>
      <c r="H705" s="26"/>
    </row>
    <row r="706">
      <c r="F706" s="40"/>
      <c r="H706" s="26"/>
    </row>
    <row r="707">
      <c r="F707" s="40"/>
      <c r="H707" s="26"/>
    </row>
    <row r="708">
      <c r="F708" s="40"/>
      <c r="H708" s="26"/>
    </row>
    <row r="709">
      <c r="F709" s="40"/>
      <c r="H709" s="26"/>
    </row>
    <row r="710">
      <c r="F710" s="40"/>
      <c r="H710" s="26"/>
    </row>
    <row r="711">
      <c r="F711" s="40"/>
      <c r="H711" s="26"/>
    </row>
    <row r="712">
      <c r="F712" s="40"/>
      <c r="H712" s="26"/>
    </row>
    <row r="713">
      <c r="F713" s="40"/>
      <c r="H713" s="26"/>
    </row>
    <row r="714">
      <c r="F714" s="40"/>
      <c r="H714" s="26"/>
    </row>
    <row r="715">
      <c r="F715" s="40"/>
      <c r="H715" s="26"/>
    </row>
    <row r="716">
      <c r="F716" s="40"/>
      <c r="H716" s="26"/>
    </row>
    <row r="717">
      <c r="F717" s="40"/>
      <c r="H717" s="26"/>
    </row>
    <row r="718">
      <c r="F718" s="40"/>
      <c r="H718" s="26"/>
    </row>
    <row r="719">
      <c r="F719" s="40"/>
      <c r="H719" s="26"/>
    </row>
    <row r="720">
      <c r="F720" s="40"/>
      <c r="H720" s="26"/>
    </row>
    <row r="721">
      <c r="F721" s="40"/>
      <c r="H721" s="26"/>
    </row>
    <row r="722">
      <c r="F722" s="40"/>
      <c r="H722" s="26"/>
    </row>
    <row r="723">
      <c r="F723" s="40"/>
      <c r="H723" s="26"/>
    </row>
    <row r="724">
      <c r="F724" s="40"/>
      <c r="H724" s="26"/>
    </row>
    <row r="725">
      <c r="F725" s="40"/>
      <c r="H725" s="26"/>
    </row>
    <row r="726">
      <c r="F726" s="40"/>
      <c r="H726" s="26"/>
    </row>
    <row r="727">
      <c r="F727" s="40"/>
      <c r="H727" s="26"/>
    </row>
    <row r="728">
      <c r="F728" s="40"/>
      <c r="H728" s="26"/>
    </row>
    <row r="729">
      <c r="F729" s="40"/>
      <c r="H729" s="26"/>
    </row>
    <row r="730">
      <c r="F730" s="40"/>
      <c r="H730" s="26"/>
    </row>
    <row r="731">
      <c r="F731" s="40"/>
      <c r="H731" s="26"/>
    </row>
    <row r="732">
      <c r="F732" s="40"/>
      <c r="H732" s="26"/>
    </row>
    <row r="733">
      <c r="F733" s="40"/>
      <c r="H733" s="26"/>
    </row>
    <row r="734">
      <c r="F734" s="40"/>
      <c r="H734" s="26"/>
    </row>
    <row r="735">
      <c r="F735" s="40"/>
      <c r="H735" s="26"/>
    </row>
    <row r="736">
      <c r="F736" s="40"/>
      <c r="H736" s="26"/>
    </row>
    <row r="737">
      <c r="F737" s="40"/>
      <c r="H737" s="26"/>
    </row>
    <row r="738">
      <c r="F738" s="40"/>
      <c r="H738" s="26"/>
    </row>
    <row r="739">
      <c r="F739" s="40"/>
      <c r="H739" s="26"/>
    </row>
    <row r="740">
      <c r="F740" s="40"/>
      <c r="H740" s="26"/>
    </row>
    <row r="741">
      <c r="F741" s="40"/>
      <c r="H741" s="26"/>
    </row>
    <row r="742">
      <c r="F742" s="40"/>
      <c r="H742" s="26"/>
    </row>
    <row r="743">
      <c r="F743" s="40"/>
      <c r="H743" s="26"/>
    </row>
    <row r="744">
      <c r="F744" s="40"/>
      <c r="H744" s="26"/>
    </row>
    <row r="745">
      <c r="F745" s="40"/>
      <c r="H745" s="26"/>
    </row>
    <row r="746">
      <c r="F746" s="40"/>
      <c r="H746" s="26"/>
    </row>
    <row r="747">
      <c r="F747" s="40"/>
      <c r="H747" s="26"/>
    </row>
    <row r="748">
      <c r="F748" s="40"/>
      <c r="H748" s="26"/>
    </row>
    <row r="749">
      <c r="F749" s="40"/>
      <c r="H749" s="26"/>
    </row>
    <row r="750">
      <c r="F750" s="40"/>
      <c r="H750" s="26"/>
    </row>
    <row r="751">
      <c r="F751" s="40"/>
      <c r="H751" s="26"/>
    </row>
    <row r="752">
      <c r="F752" s="40"/>
      <c r="H752" s="26"/>
    </row>
    <row r="753">
      <c r="F753" s="40"/>
      <c r="H753" s="26"/>
    </row>
    <row r="754">
      <c r="F754" s="40"/>
      <c r="H754" s="26"/>
    </row>
    <row r="755">
      <c r="F755" s="40"/>
      <c r="H755" s="26"/>
    </row>
    <row r="756">
      <c r="F756" s="40"/>
      <c r="H756" s="26"/>
    </row>
    <row r="757">
      <c r="F757" s="40"/>
      <c r="H757" s="26"/>
    </row>
    <row r="758">
      <c r="F758" s="40"/>
      <c r="H758" s="26"/>
    </row>
    <row r="759">
      <c r="F759" s="40"/>
      <c r="H759" s="26"/>
    </row>
    <row r="760">
      <c r="F760" s="40"/>
      <c r="H760" s="26"/>
    </row>
    <row r="761">
      <c r="F761" s="40"/>
      <c r="H761" s="26"/>
    </row>
    <row r="762">
      <c r="F762" s="40"/>
      <c r="H762" s="26"/>
    </row>
    <row r="763">
      <c r="F763" s="40"/>
      <c r="H763" s="26"/>
    </row>
    <row r="764">
      <c r="F764" s="40"/>
      <c r="H764" s="26"/>
    </row>
    <row r="765">
      <c r="F765" s="40"/>
      <c r="H765" s="26"/>
    </row>
    <row r="766">
      <c r="F766" s="40"/>
      <c r="H766" s="26"/>
    </row>
    <row r="767">
      <c r="F767" s="40"/>
      <c r="H767" s="26"/>
    </row>
    <row r="768">
      <c r="F768" s="40"/>
      <c r="H768" s="26"/>
    </row>
    <row r="769">
      <c r="F769" s="40"/>
      <c r="H769" s="26"/>
    </row>
    <row r="770">
      <c r="F770" s="40"/>
      <c r="H770" s="26"/>
    </row>
    <row r="771">
      <c r="F771" s="40"/>
      <c r="H771" s="26"/>
    </row>
    <row r="772">
      <c r="F772" s="40"/>
      <c r="H772" s="26"/>
    </row>
    <row r="773">
      <c r="F773" s="40"/>
      <c r="H773" s="26"/>
    </row>
    <row r="774">
      <c r="F774" s="40"/>
      <c r="H774" s="26"/>
    </row>
    <row r="775">
      <c r="F775" s="40"/>
      <c r="H775" s="26"/>
    </row>
    <row r="776">
      <c r="F776" s="40"/>
      <c r="H776" s="26"/>
    </row>
    <row r="777">
      <c r="F777" s="40"/>
      <c r="H777" s="26"/>
    </row>
    <row r="778">
      <c r="F778" s="40"/>
      <c r="H778" s="26"/>
    </row>
    <row r="779">
      <c r="F779" s="40"/>
      <c r="H779" s="26"/>
    </row>
    <row r="780">
      <c r="F780" s="40"/>
      <c r="H780" s="26"/>
    </row>
    <row r="781">
      <c r="F781" s="40"/>
      <c r="H781" s="26"/>
    </row>
    <row r="782">
      <c r="F782" s="40"/>
      <c r="H782" s="26"/>
    </row>
    <row r="783">
      <c r="F783" s="40"/>
      <c r="H783" s="26"/>
    </row>
    <row r="784">
      <c r="F784" s="40"/>
      <c r="H784" s="26"/>
    </row>
    <row r="785">
      <c r="F785" s="40"/>
      <c r="H785" s="26"/>
    </row>
    <row r="786">
      <c r="F786" s="40"/>
      <c r="H786" s="26"/>
    </row>
    <row r="787">
      <c r="F787" s="40"/>
      <c r="H787" s="26"/>
    </row>
    <row r="788">
      <c r="F788" s="40"/>
      <c r="H788" s="26"/>
    </row>
    <row r="789">
      <c r="F789" s="40"/>
      <c r="H789" s="26"/>
    </row>
    <row r="790">
      <c r="F790" s="40"/>
      <c r="H790" s="26"/>
    </row>
    <row r="791">
      <c r="F791" s="40"/>
      <c r="H791" s="26"/>
    </row>
    <row r="792">
      <c r="F792" s="40"/>
      <c r="H792" s="26"/>
    </row>
    <row r="793">
      <c r="F793" s="40"/>
      <c r="H793" s="26"/>
    </row>
    <row r="794">
      <c r="F794" s="40"/>
      <c r="H794" s="26"/>
    </row>
    <row r="795">
      <c r="F795" s="40"/>
      <c r="H795" s="26"/>
    </row>
    <row r="796">
      <c r="F796" s="40"/>
      <c r="H796" s="26"/>
    </row>
    <row r="797">
      <c r="F797" s="40"/>
      <c r="H797" s="26"/>
    </row>
    <row r="798">
      <c r="F798" s="40"/>
      <c r="H798" s="26"/>
    </row>
    <row r="799">
      <c r="F799" s="40"/>
      <c r="H799" s="26"/>
    </row>
    <row r="800">
      <c r="F800" s="40"/>
      <c r="H800" s="26"/>
    </row>
    <row r="801">
      <c r="F801" s="40"/>
      <c r="H801" s="26"/>
    </row>
    <row r="802">
      <c r="F802" s="40"/>
      <c r="H802" s="26"/>
    </row>
    <row r="803">
      <c r="F803" s="40"/>
      <c r="H803" s="26"/>
    </row>
    <row r="804">
      <c r="F804" s="40"/>
      <c r="H804" s="26"/>
    </row>
    <row r="805">
      <c r="F805" s="40"/>
      <c r="H805" s="26"/>
    </row>
    <row r="806">
      <c r="F806" s="40"/>
      <c r="H806" s="26"/>
    </row>
    <row r="807">
      <c r="F807" s="40"/>
      <c r="H807" s="26"/>
    </row>
    <row r="808">
      <c r="F808" s="40"/>
      <c r="H808" s="26"/>
    </row>
    <row r="809">
      <c r="F809" s="40"/>
      <c r="H809" s="26"/>
    </row>
    <row r="810">
      <c r="F810" s="40"/>
      <c r="H810" s="26"/>
    </row>
    <row r="811">
      <c r="F811" s="40"/>
      <c r="H811" s="26"/>
    </row>
    <row r="812">
      <c r="F812" s="40"/>
      <c r="H812" s="26"/>
    </row>
    <row r="813">
      <c r="F813" s="40"/>
      <c r="H813" s="26"/>
    </row>
    <row r="814">
      <c r="F814" s="40"/>
      <c r="H814" s="26"/>
    </row>
    <row r="815">
      <c r="F815" s="40"/>
      <c r="H815" s="26"/>
    </row>
    <row r="816">
      <c r="F816" s="40"/>
      <c r="H816" s="26"/>
    </row>
    <row r="817">
      <c r="F817" s="40"/>
      <c r="H817" s="26"/>
    </row>
    <row r="818">
      <c r="F818" s="40"/>
      <c r="H818" s="26"/>
    </row>
    <row r="819">
      <c r="F819" s="40"/>
      <c r="H819" s="26"/>
    </row>
    <row r="820">
      <c r="F820" s="40"/>
      <c r="H820" s="26"/>
    </row>
    <row r="821">
      <c r="F821" s="40"/>
      <c r="H821" s="26"/>
    </row>
    <row r="822">
      <c r="F822" s="40"/>
      <c r="H822" s="26"/>
    </row>
    <row r="823">
      <c r="F823" s="40"/>
      <c r="H823" s="26"/>
    </row>
    <row r="824">
      <c r="F824" s="40"/>
      <c r="H824" s="26"/>
    </row>
    <row r="825">
      <c r="F825" s="40"/>
      <c r="H825" s="26"/>
    </row>
    <row r="826">
      <c r="F826" s="40"/>
      <c r="H826" s="26"/>
    </row>
    <row r="827">
      <c r="F827" s="40"/>
      <c r="H827" s="26"/>
    </row>
    <row r="828">
      <c r="F828" s="40"/>
      <c r="H828" s="26"/>
    </row>
    <row r="829">
      <c r="F829" s="40"/>
      <c r="H829" s="26"/>
    </row>
    <row r="830">
      <c r="F830" s="40"/>
      <c r="H830" s="26"/>
    </row>
    <row r="831">
      <c r="F831" s="40"/>
      <c r="H831" s="26"/>
    </row>
    <row r="832">
      <c r="F832" s="40"/>
      <c r="H832" s="26"/>
    </row>
    <row r="833">
      <c r="F833" s="40"/>
      <c r="H833" s="26"/>
    </row>
    <row r="834">
      <c r="F834" s="40"/>
      <c r="H834" s="26"/>
    </row>
    <row r="835">
      <c r="F835" s="40"/>
      <c r="H835" s="26"/>
    </row>
    <row r="836">
      <c r="F836" s="40"/>
      <c r="H836" s="26"/>
    </row>
    <row r="837">
      <c r="F837" s="40"/>
      <c r="H837" s="26"/>
    </row>
    <row r="838">
      <c r="F838" s="40"/>
      <c r="H838" s="26"/>
    </row>
    <row r="839">
      <c r="F839" s="40"/>
      <c r="H839" s="26"/>
    </row>
    <row r="840">
      <c r="F840" s="40"/>
      <c r="H840" s="26"/>
    </row>
    <row r="841">
      <c r="F841" s="40"/>
      <c r="H841" s="26"/>
    </row>
    <row r="842">
      <c r="F842" s="40"/>
      <c r="H842" s="26"/>
    </row>
    <row r="843">
      <c r="F843" s="40"/>
      <c r="H843" s="26"/>
    </row>
    <row r="844">
      <c r="F844" s="40"/>
      <c r="H844" s="26"/>
    </row>
    <row r="845">
      <c r="F845" s="40"/>
      <c r="H845" s="26"/>
    </row>
    <row r="846">
      <c r="F846" s="40"/>
      <c r="H846" s="26"/>
    </row>
    <row r="847">
      <c r="F847" s="40"/>
      <c r="H847" s="26"/>
    </row>
    <row r="848">
      <c r="F848" s="40"/>
      <c r="H848" s="26"/>
    </row>
    <row r="849">
      <c r="F849" s="40"/>
      <c r="H849" s="26"/>
    </row>
    <row r="850">
      <c r="F850" s="40"/>
      <c r="H850" s="26"/>
    </row>
    <row r="851">
      <c r="F851" s="40"/>
      <c r="H851" s="26"/>
    </row>
    <row r="852">
      <c r="F852" s="40"/>
      <c r="H852" s="26"/>
    </row>
    <row r="853">
      <c r="F853" s="40"/>
      <c r="H853" s="26"/>
    </row>
    <row r="854">
      <c r="F854" s="40"/>
      <c r="H854" s="26"/>
    </row>
    <row r="855">
      <c r="F855" s="40"/>
      <c r="H855" s="26"/>
    </row>
    <row r="856">
      <c r="F856" s="40"/>
      <c r="H856" s="26"/>
    </row>
    <row r="857">
      <c r="F857" s="40"/>
      <c r="H857" s="26"/>
    </row>
    <row r="858">
      <c r="F858" s="40"/>
      <c r="H858" s="26"/>
    </row>
    <row r="859">
      <c r="F859" s="40"/>
      <c r="H859" s="26"/>
    </row>
    <row r="860">
      <c r="F860" s="40"/>
      <c r="H860" s="26"/>
    </row>
    <row r="861">
      <c r="F861" s="40"/>
      <c r="H861" s="26"/>
    </row>
    <row r="862">
      <c r="F862" s="40"/>
      <c r="H862" s="26"/>
    </row>
    <row r="863">
      <c r="F863" s="40"/>
      <c r="H863" s="26"/>
    </row>
    <row r="864">
      <c r="F864" s="40"/>
      <c r="H864" s="26"/>
    </row>
    <row r="865">
      <c r="F865" s="40"/>
      <c r="H865" s="26"/>
    </row>
    <row r="866">
      <c r="F866" s="40"/>
      <c r="H866" s="26"/>
    </row>
    <row r="867">
      <c r="F867" s="40"/>
      <c r="H867" s="26"/>
    </row>
    <row r="868">
      <c r="F868" s="40"/>
      <c r="H868" s="26"/>
    </row>
    <row r="869">
      <c r="F869" s="40"/>
      <c r="H869" s="26"/>
    </row>
    <row r="870">
      <c r="F870" s="40"/>
      <c r="H870" s="26"/>
    </row>
    <row r="871">
      <c r="F871" s="40"/>
      <c r="H871" s="26"/>
    </row>
    <row r="872">
      <c r="F872" s="40"/>
      <c r="H872" s="26"/>
    </row>
    <row r="873">
      <c r="F873" s="40"/>
      <c r="H873" s="26"/>
    </row>
    <row r="874">
      <c r="F874" s="40"/>
      <c r="H874" s="26"/>
    </row>
    <row r="875">
      <c r="F875" s="40"/>
      <c r="H875" s="26"/>
    </row>
    <row r="876">
      <c r="F876" s="40"/>
      <c r="H876" s="26"/>
    </row>
    <row r="877">
      <c r="F877" s="40"/>
      <c r="H877" s="26"/>
    </row>
    <row r="878">
      <c r="F878" s="40"/>
      <c r="H878" s="26"/>
    </row>
    <row r="879">
      <c r="F879" s="40"/>
      <c r="H879" s="26"/>
    </row>
    <row r="880">
      <c r="F880" s="40"/>
      <c r="H880" s="26"/>
    </row>
    <row r="881">
      <c r="F881" s="40"/>
      <c r="H881" s="26"/>
    </row>
    <row r="882">
      <c r="F882" s="40"/>
      <c r="H882" s="26"/>
    </row>
    <row r="883">
      <c r="F883" s="40"/>
      <c r="H883" s="26"/>
    </row>
    <row r="884">
      <c r="F884" s="40"/>
      <c r="H884" s="26"/>
    </row>
    <row r="885">
      <c r="F885" s="40"/>
      <c r="H885" s="26"/>
    </row>
    <row r="886">
      <c r="F886" s="40"/>
      <c r="H886" s="26"/>
    </row>
    <row r="887">
      <c r="F887" s="40"/>
      <c r="H887" s="26"/>
    </row>
    <row r="888">
      <c r="F888" s="40"/>
      <c r="H888" s="26"/>
    </row>
    <row r="889">
      <c r="F889" s="40"/>
      <c r="H889" s="26"/>
    </row>
    <row r="890">
      <c r="F890" s="40"/>
      <c r="H890" s="26"/>
    </row>
    <row r="891">
      <c r="F891" s="40"/>
      <c r="H891" s="26"/>
    </row>
    <row r="892">
      <c r="F892" s="40"/>
      <c r="H892" s="26"/>
    </row>
    <row r="893">
      <c r="F893" s="40"/>
      <c r="H893" s="26"/>
    </row>
    <row r="894">
      <c r="F894" s="40"/>
      <c r="H894" s="26"/>
    </row>
    <row r="895">
      <c r="F895" s="40"/>
      <c r="H895" s="26"/>
    </row>
    <row r="896">
      <c r="F896" s="40"/>
      <c r="H896" s="26"/>
    </row>
    <row r="897">
      <c r="F897" s="40"/>
      <c r="H897" s="26"/>
    </row>
    <row r="898">
      <c r="F898" s="40"/>
      <c r="H898" s="26"/>
    </row>
    <row r="899">
      <c r="F899" s="40"/>
      <c r="H899" s="26"/>
    </row>
    <row r="900">
      <c r="F900" s="40"/>
      <c r="H900" s="26"/>
    </row>
    <row r="901">
      <c r="F901" s="40"/>
      <c r="H901" s="26"/>
    </row>
    <row r="902">
      <c r="F902" s="40"/>
      <c r="H902" s="26"/>
    </row>
    <row r="903">
      <c r="F903" s="40"/>
      <c r="H903" s="26"/>
    </row>
    <row r="904">
      <c r="F904" s="40"/>
      <c r="H904" s="26"/>
    </row>
    <row r="905">
      <c r="F905" s="40"/>
      <c r="H905" s="26"/>
    </row>
    <row r="906">
      <c r="F906" s="40"/>
      <c r="H906" s="26"/>
    </row>
    <row r="907">
      <c r="F907" s="40"/>
      <c r="H907" s="26"/>
    </row>
    <row r="908">
      <c r="F908" s="40"/>
      <c r="H908" s="26"/>
    </row>
    <row r="909">
      <c r="F909" s="40"/>
      <c r="H909" s="26"/>
    </row>
    <row r="910">
      <c r="F910" s="40"/>
      <c r="H910" s="26"/>
    </row>
    <row r="911">
      <c r="F911" s="40"/>
      <c r="H911" s="26"/>
    </row>
    <row r="912">
      <c r="F912" s="40"/>
      <c r="H912" s="26"/>
    </row>
    <row r="913">
      <c r="F913" s="40"/>
      <c r="H913" s="26"/>
    </row>
    <row r="914">
      <c r="F914" s="40"/>
      <c r="H914" s="26"/>
    </row>
    <row r="915">
      <c r="F915" s="40"/>
      <c r="H915" s="26"/>
    </row>
    <row r="916">
      <c r="F916" s="40"/>
      <c r="H916" s="26"/>
    </row>
    <row r="917">
      <c r="F917" s="40"/>
      <c r="H917" s="26"/>
    </row>
    <row r="918">
      <c r="F918" s="40"/>
      <c r="H918" s="26"/>
    </row>
    <row r="919">
      <c r="F919" s="40"/>
      <c r="H919" s="26"/>
    </row>
    <row r="920">
      <c r="F920" s="40"/>
      <c r="H920" s="26"/>
    </row>
    <row r="921">
      <c r="F921" s="40"/>
      <c r="H921" s="26"/>
    </row>
    <row r="922">
      <c r="F922" s="40"/>
      <c r="H922" s="26"/>
    </row>
    <row r="923">
      <c r="F923" s="40"/>
      <c r="H923" s="26"/>
    </row>
    <row r="924">
      <c r="F924" s="40"/>
      <c r="H924" s="26"/>
    </row>
    <row r="925">
      <c r="F925" s="40"/>
      <c r="H925" s="26"/>
    </row>
    <row r="926">
      <c r="F926" s="40"/>
      <c r="H926" s="26"/>
    </row>
    <row r="927">
      <c r="F927" s="40"/>
      <c r="H927" s="26"/>
    </row>
    <row r="928">
      <c r="F928" s="40"/>
      <c r="H928" s="26"/>
    </row>
    <row r="929">
      <c r="F929" s="40"/>
      <c r="H929" s="26"/>
    </row>
    <row r="930">
      <c r="F930" s="40"/>
      <c r="H930" s="26"/>
    </row>
    <row r="931">
      <c r="F931" s="40"/>
      <c r="H931" s="26"/>
    </row>
    <row r="932">
      <c r="F932" s="40"/>
      <c r="H932" s="26"/>
    </row>
    <row r="933">
      <c r="F933" s="40"/>
      <c r="H933" s="26"/>
    </row>
    <row r="934">
      <c r="F934" s="40"/>
      <c r="H934" s="26"/>
    </row>
    <row r="935">
      <c r="F935" s="40"/>
      <c r="H935" s="26"/>
    </row>
    <row r="936">
      <c r="F936" s="40"/>
      <c r="H936" s="26"/>
    </row>
    <row r="937">
      <c r="F937" s="40"/>
      <c r="H937" s="26"/>
    </row>
    <row r="938">
      <c r="F938" s="40"/>
      <c r="H938" s="26"/>
    </row>
    <row r="939">
      <c r="F939" s="40"/>
      <c r="H939" s="26"/>
    </row>
    <row r="940">
      <c r="F940" s="40"/>
      <c r="H940" s="26"/>
    </row>
    <row r="941">
      <c r="F941" s="40"/>
      <c r="H941" s="26"/>
    </row>
    <row r="942">
      <c r="F942" s="40"/>
      <c r="H942" s="26"/>
    </row>
    <row r="943">
      <c r="F943" s="40"/>
      <c r="H943" s="26"/>
    </row>
    <row r="944">
      <c r="F944" s="40"/>
      <c r="H944" s="26"/>
    </row>
    <row r="945">
      <c r="F945" s="40"/>
      <c r="H945" s="26"/>
    </row>
    <row r="946">
      <c r="F946" s="40"/>
      <c r="H946" s="26"/>
    </row>
    <row r="947">
      <c r="F947" s="40"/>
      <c r="H947" s="26"/>
    </row>
    <row r="948">
      <c r="F948" s="40"/>
      <c r="H948" s="26"/>
    </row>
    <row r="949">
      <c r="F949" s="40"/>
      <c r="H949" s="26"/>
    </row>
    <row r="950">
      <c r="F950" s="40"/>
      <c r="H950" s="26"/>
    </row>
    <row r="951">
      <c r="F951" s="40"/>
      <c r="H951" s="26"/>
    </row>
    <row r="952">
      <c r="F952" s="40"/>
      <c r="H952" s="26"/>
    </row>
    <row r="953">
      <c r="F953" s="40"/>
      <c r="H953" s="26"/>
    </row>
    <row r="954">
      <c r="F954" s="40"/>
      <c r="H954" s="26"/>
    </row>
    <row r="955">
      <c r="F955" s="40"/>
      <c r="H955" s="26"/>
    </row>
    <row r="956">
      <c r="F956" s="40"/>
      <c r="H956" s="26"/>
    </row>
    <row r="957">
      <c r="F957" s="40"/>
      <c r="H957" s="26"/>
    </row>
    <row r="958">
      <c r="F958" s="40"/>
      <c r="H958" s="26"/>
    </row>
    <row r="959">
      <c r="F959" s="40"/>
      <c r="H959" s="26"/>
    </row>
    <row r="960">
      <c r="F960" s="40"/>
      <c r="H960" s="26"/>
    </row>
    <row r="961">
      <c r="F961" s="40"/>
      <c r="H961" s="26"/>
    </row>
    <row r="962">
      <c r="F962" s="40"/>
      <c r="H962" s="26"/>
    </row>
    <row r="963">
      <c r="F963" s="40"/>
      <c r="H963" s="26"/>
    </row>
    <row r="964">
      <c r="F964" s="40"/>
      <c r="H964" s="26"/>
    </row>
    <row r="965">
      <c r="F965" s="40"/>
      <c r="H965" s="26"/>
    </row>
    <row r="966">
      <c r="F966" s="40"/>
      <c r="H966" s="26"/>
    </row>
    <row r="967">
      <c r="F967" s="40"/>
      <c r="H967" s="26"/>
    </row>
    <row r="968">
      <c r="F968" s="40"/>
      <c r="H968" s="26"/>
    </row>
    <row r="969">
      <c r="F969" s="40"/>
      <c r="H969" s="26"/>
    </row>
    <row r="970">
      <c r="F970" s="40"/>
      <c r="H970" s="26"/>
    </row>
    <row r="971">
      <c r="F971" s="40"/>
      <c r="H971" s="26"/>
    </row>
    <row r="972">
      <c r="F972" s="40"/>
      <c r="H972" s="26"/>
    </row>
    <row r="973">
      <c r="F973" s="40"/>
      <c r="H973" s="26"/>
    </row>
    <row r="974">
      <c r="F974" s="40"/>
      <c r="H974" s="26"/>
    </row>
    <row r="975">
      <c r="F975" s="40"/>
      <c r="H975" s="26"/>
    </row>
    <row r="976">
      <c r="F976" s="40"/>
      <c r="H976" s="26"/>
    </row>
    <row r="977">
      <c r="F977" s="40"/>
      <c r="H977" s="26"/>
    </row>
    <row r="978">
      <c r="F978" s="40"/>
      <c r="H978" s="26"/>
    </row>
    <row r="979">
      <c r="F979" s="40"/>
      <c r="H979" s="26"/>
    </row>
    <row r="980">
      <c r="F980" s="40"/>
      <c r="H980" s="26"/>
    </row>
    <row r="981">
      <c r="F981" s="40"/>
      <c r="H981" s="26"/>
    </row>
    <row r="982">
      <c r="F982" s="40"/>
      <c r="H982" s="26"/>
    </row>
    <row r="983">
      <c r="F983" s="40"/>
      <c r="H983" s="26"/>
    </row>
    <row r="984">
      <c r="F984" s="40"/>
      <c r="H984" s="26"/>
    </row>
    <row r="985">
      <c r="F985" s="40"/>
      <c r="H985" s="26"/>
    </row>
    <row r="986">
      <c r="F986" s="40"/>
      <c r="H986" s="26"/>
    </row>
    <row r="987">
      <c r="F987" s="40"/>
      <c r="H987" s="26"/>
    </row>
  </sheetData>
  <conditionalFormatting sqref="C36:C37">
    <cfRule type="expression" dxfId="0" priority="1">
      <formula>COUNTIF($B:$B, $G36) &gt; 1</formula>
    </cfRule>
  </conditionalFormatting>
  <conditionalFormatting sqref="B36:B37">
    <cfRule type="expression" dxfId="0" priority="2">
      <formula>COUNTIF($A:$A, $A35) &gt; 1</formula>
    </cfRule>
  </conditionalFormatting>
  <conditionalFormatting sqref="C32:C35 C38:C41">
    <cfRule type="expression" dxfId="0" priority="3">
      <formula>COUNTIF($B:$B, $B32) &gt; 1</formula>
    </cfRule>
  </conditionalFormatting>
  <conditionalFormatting sqref="C2:C14">
    <cfRule type="expression" dxfId="0" priority="4">
      <formula>COUNTIF($C:$C, $C2) &gt; 1</formula>
    </cfRule>
  </conditionalFormatting>
  <hyperlinks>
    <hyperlink r:id="rId1" ref="E2"/>
    <hyperlink r:id="rId2" ref="B3"/>
    <hyperlink r:id="rId3" ref="E3"/>
    <hyperlink r:id="rId4" ref="E4"/>
    <hyperlink r:id="rId5" ref="E5"/>
    <hyperlink r:id="rId6" ref="E6"/>
    <hyperlink r:id="rId7" ref="C7"/>
    <hyperlink r:id="rId8" ref="E7"/>
    <hyperlink r:id="rId9" ref="C8"/>
    <hyperlink r:id="rId10" ref="E8"/>
    <hyperlink r:id="rId11" ref="C9"/>
    <hyperlink r:id="rId12" ref="E9"/>
    <hyperlink r:id="rId13" ref="E10"/>
    <hyperlink r:id="rId14" ref="E11"/>
    <hyperlink r:id="rId15" ref="C12"/>
    <hyperlink r:id="rId16" ref="E12"/>
    <hyperlink r:id="rId17" ref="C13"/>
    <hyperlink r:id="rId18" ref="E13"/>
    <hyperlink r:id="rId19" ref="E14"/>
    <hyperlink r:id="rId20" ref="E15"/>
    <hyperlink r:id="rId21" ref="E16"/>
    <hyperlink r:id="rId22" ref="E17"/>
    <hyperlink r:id="rId23" ref="B18"/>
    <hyperlink r:id="rId24" ref="E18"/>
    <hyperlink r:id="rId25" ref="E19"/>
    <hyperlink r:id="rId26" ref="E20"/>
    <hyperlink r:id="rId27" ref="D21"/>
    <hyperlink r:id="rId28" ref="E21"/>
    <hyperlink r:id="rId29" ref="E22"/>
    <hyperlink r:id="rId30" ref="D23"/>
    <hyperlink r:id="rId31" ref="E23"/>
    <hyperlink r:id="rId32" ref="E24"/>
    <hyperlink r:id="rId33" ref="E25"/>
    <hyperlink r:id="rId34" ref="E26"/>
    <hyperlink r:id="rId35" ref="C27"/>
    <hyperlink r:id="rId36" ref="D27"/>
    <hyperlink r:id="rId37" ref="E27"/>
    <hyperlink r:id="rId38" ref="E28"/>
    <hyperlink r:id="rId39" ref="E29"/>
    <hyperlink r:id="rId40" ref="E30"/>
    <hyperlink r:id="rId41" ref="D31"/>
    <hyperlink r:id="rId42" ref="E31"/>
    <hyperlink r:id="rId43" ref="E32"/>
    <hyperlink r:id="rId44" ref="E33"/>
    <hyperlink r:id="rId45" ref="E34"/>
    <hyperlink r:id="rId46" ref="E35"/>
    <hyperlink r:id="rId47" ref="E36"/>
    <hyperlink r:id="rId48" ref="E38"/>
    <hyperlink r:id="rId49" ref="E39"/>
    <hyperlink r:id="rId50" ref="E40"/>
    <hyperlink r:id="rId51" ref="E41"/>
  </hyperlinks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75"/>
    <col customWidth="1" min="2" max="2" width="32.5"/>
    <col customWidth="1" min="3" max="3" width="23.5"/>
    <col customWidth="1" min="4" max="4" width="68.25"/>
    <col customWidth="1" min="6" max="6" width="47.25"/>
  </cols>
  <sheetData>
    <row r="1">
      <c r="A1" s="1" t="s">
        <v>0</v>
      </c>
      <c r="B1" s="1" t="s">
        <v>2</v>
      </c>
      <c r="C1" s="5" t="s">
        <v>3</v>
      </c>
      <c r="D1" s="1" t="s">
        <v>5</v>
      </c>
      <c r="E1" s="1" t="s">
        <v>6</v>
      </c>
      <c r="F1" s="1" t="s">
        <v>7</v>
      </c>
      <c r="G1" s="7"/>
      <c r="H1" s="7"/>
      <c r="I1" s="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>
      <c r="A2" s="13" t="s">
        <v>13</v>
      </c>
      <c r="B2" s="15" t="s">
        <v>14</v>
      </c>
      <c r="C2" s="13" t="s">
        <v>15</v>
      </c>
      <c r="D2" s="20" t="s">
        <v>16</v>
      </c>
      <c r="E2" s="13">
        <v>8.82605555E9</v>
      </c>
      <c r="F2" s="13" t="s">
        <v>22</v>
      </c>
      <c r="G2" s="7"/>
      <c r="H2" s="7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>
      <c r="A3" s="15"/>
      <c r="B3" s="32" t="s">
        <v>28</v>
      </c>
      <c r="C3" s="15" t="s">
        <v>32</v>
      </c>
      <c r="D3" s="33"/>
      <c r="E3" s="13"/>
      <c r="F3" s="15" t="s">
        <v>33</v>
      </c>
      <c r="G3" s="7"/>
      <c r="H3" s="7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ht="15.0" customHeight="1">
      <c r="A4" s="1" t="s">
        <v>35</v>
      </c>
      <c r="B4" s="13" t="s">
        <v>36</v>
      </c>
      <c r="C4" s="13" t="s">
        <v>37</v>
      </c>
      <c r="D4" s="38" t="s">
        <v>38</v>
      </c>
      <c r="E4" s="13">
        <v>9.972423094E9</v>
      </c>
      <c r="F4" s="13" t="s">
        <v>42</v>
      </c>
      <c r="G4" s="7"/>
      <c r="H4" s="7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13" t="s">
        <v>45</v>
      </c>
      <c r="B5" s="13" t="s">
        <v>47</v>
      </c>
      <c r="C5" s="13" t="s">
        <v>15</v>
      </c>
      <c r="D5" s="38" t="s">
        <v>49</v>
      </c>
      <c r="E5" s="13">
        <v>7.022343326E9</v>
      </c>
      <c r="F5" s="13" t="s">
        <v>54</v>
      </c>
      <c r="G5" s="7"/>
      <c r="H5" s="7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>
      <c r="A6" s="13"/>
      <c r="B6" s="15" t="s">
        <v>60</v>
      </c>
      <c r="C6" s="15" t="s">
        <v>61</v>
      </c>
      <c r="D6" s="46"/>
      <c r="E6" s="15">
        <v>9.167051751E9</v>
      </c>
      <c r="F6" s="15" t="s">
        <v>63</v>
      </c>
      <c r="G6" s="7"/>
      <c r="H6" s="7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>
      <c r="A7" s="13" t="s">
        <v>67</v>
      </c>
      <c r="B7" s="13" t="s">
        <v>68</v>
      </c>
      <c r="C7" s="13" t="s">
        <v>15</v>
      </c>
      <c r="D7" s="38" t="s">
        <v>69</v>
      </c>
      <c r="E7" s="13" t="s">
        <v>75</v>
      </c>
      <c r="F7" s="13" t="s">
        <v>77</v>
      </c>
      <c r="G7" s="7"/>
      <c r="H7" s="7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>
      <c r="A8" s="13"/>
      <c r="B8" s="32" t="s">
        <v>80</v>
      </c>
      <c r="C8" s="15" t="s">
        <v>83</v>
      </c>
      <c r="D8" s="46"/>
      <c r="E8" s="15">
        <v>9.18860521494E11</v>
      </c>
      <c r="F8" s="15" t="s">
        <v>84</v>
      </c>
      <c r="G8" s="7"/>
      <c r="H8" s="7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>
      <c r="A9" s="13" t="s">
        <v>91</v>
      </c>
      <c r="B9" s="13" t="s">
        <v>92</v>
      </c>
      <c r="C9" s="13" t="s">
        <v>93</v>
      </c>
      <c r="D9" s="38" t="s">
        <v>94</v>
      </c>
      <c r="E9" s="13">
        <v>9.958006818E9</v>
      </c>
      <c r="F9" s="13" t="s">
        <v>96</v>
      </c>
      <c r="G9" s="7"/>
      <c r="H9" s="7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>
      <c r="A10" s="13" t="s">
        <v>104</v>
      </c>
      <c r="B10" s="13" t="s">
        <v>105</v>
      </c>
      <c r="C10" s="13" t="s">
        <v>93</v>
      </c>
      <c r="D10" s="38" t="s">
        <v>106</v>
      </c>
      <c r="E10" s="57">
        <v>2.26918192E9</v>
      </c>
      <c r="F10" s="13" t="s">
        <v>109</v>
      </c>
      <c r="G10" s="7"/>
      <c r="H10" s="7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>
      <c r="A11" s="13"/>
      <c r="B11" s="15" t="s">
        <v>113</v>
      </c>
      <c r="C11" s="15" t="s">
        <v>83</v>
      </c>
      <c r="D11" s="46"/>
      <c r="E11" s="13"/>
      <c r="F11" s="59" t="s">
        <v>114</v>
      </c>
      <c r="G11" s="7"/>
      <c r="H11" s="7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>
      <c r="A12" s="13" t="s">
        <v>119</v>
      </c>
      <c r="B12" s="13" t="s">
        <v>121</v>
      </c>
      <c r="C12" s="13" t="s">
        <v>15</v>
      </c>
      <c r="D12" s="38" t="s">
        <v>123</v>
      </c>
      <c r="E12" s="13">
        <v>1.20444044E9</v>
      </c>
      <c r="F12" s="57" t="s">
        <v>125</v>
      </c>
      <c r="G12" s="7"/>
      <c r="H12" s="7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>
      <c r="A13" s="13"/>
      <c r="B13" s="13"/>
      <c r="C13" s="13"/>
      <c r="D13" s="46"/>
      <c r="E13" s="13"/>
      <c r="F13" s="13"/>
      <c r="G13" s="7"/>
      <c r="H13" s="7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>
      <c r="A14" s="13" t="s">
        <v>132</v>
      </c>
      <c r="B14" s="13" t="s">
        <v>133</v>
      </c>
      <c r="C14" s="13" t="s">
        <v>134</v>
      </c>
      <c r="D14" s="38" t="s">
        <v>135</v>
      </c>
      <c r="E14" s="13">
        <v>9.811144892E9</v>
      </c>
      <c r="F14" s="13" t="s">
        <v>139</v>
      </c>
      <c r="G14" s="7"/>
      <c r="H14" s="7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>
      <c r="A15" s="13" t="s">
        <v>132</v>
      </c>
      <c r="B15" s="13" t="s">
        <v>140</v>
      </c>
      <c r="C15" s="13" t="s">
        <v>93</v>
      </c>
      <c r="D15" s="38" t="s">
        <v>141</v>
      </c>
      <c r="E15" s="13">
        <v>2.051736149E9</v>
      </c>
      <c r="F15" s="13" t="s">
        <v>146</v>
      </c>
      <c r="G15" s="7"/>
      <c r="H15" s="7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>
      <c r="A16" s="13" t="s">
        <v>132</v>
      </c>
      <c r="B16" s="13" t="s">
        <v>151</v>
      </c>
      <c r="C16" s="13" t="s">
        <v>152</v>
      </c>
      <c r="D16" s="38" t="s">
        <v>153</v>
      </c>
      <c r="E16" s="13">
        <v>8.882555444E9</v>
      </c>
      <c r="F16" s="13" t="s">
        <v>156</v>
      </c>
      <c r="G16" s="7"/>
      <c r="H16" s="7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ht="12.0" customHeight="1">
      <c r="A17" s="13"/>
      <c r="B17" s="15" t="s">
        <v>163</v>
      </c>
      <c r="C17" s="15" t="s">
        <v>32</v>
      </c>
      <c r="D17" s="46"/>
      <c r="E17" s="15">
        <v>9.891263245E9</v>
      </c>
      <c r="F17" s="15" t="s">
        <v>164</v>
      </c>
      <c r="G17" s="7"/>
      <c r="H17" s="7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ht="12.0" customHeight="1">
      <c r="A18" s="13" t="s">
        <v>171</v>
      </c>
      <c r="B18" s="13" t="s">
        <v>173</v>
      </c>
      <c r="C18" s="13" t="s">
        <v>175</v>
      </c>
      <c r="D18" s="38" t="s">
        <v>176</v>
      </c>
      <c r="E18" s="13">
        <v>9.266623006E9</v>
      </c>
      <c r="F18" s="13" t="s">
        <v>179</v>
      </c>
      <c r="G18" s="7"/>
      <c r="H18" s="7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>
      <c r="A19" s="13"/>
      <c r="B19" s="15" t="s">
        <v>182</v>
      </c>
      <c r="C19" s="15" t="s">
        <v>83</v>
      </c>
      <c r="D19" s="46"/>
      <c r="E19" s="69"/>
      <c r="F19" s="15" t="s">
        <v>184</v>
      </c>
      <c r="G19" s="7"/>
      <c r="H19" s="7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7"/>
      <c r="AC19" s="7"/>
      <c r="AD19" s="7"/>
      <c r="AE19" s="7"/>
      <c r="AF19" s="7"/>
    </row>
    <row r="20">
      <c r="A20" s="13" t="s">
        <v>190</v>
      </c>
      <c r="B20" s="13" t="s">
        <v>191</v>
      </c>
      <c r="C20" s="13" t="s">
        <v>192</v>
      </c>
      <c r="D20" s="38" t="s">
        <v>193</v>
      </c>
      <c r="E20" s="69">
        <v>9.953646119E9</v>
      </c>
      <c r="F20" s="13" t="s">
        <v>198</v>
      </c>
      <c r="G20" s="7"/>
      <c r="H20" s="7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7"/>
      <c r="AC20" s="7"/>
      <c r="AD20" s="7"/>
      <c r="AE20" s="7"/>
      <c r="AF20" s="7"/>
    </row>
    <row r="21">
      <c r="A21" s="13" t="s">
        <v>203</v>
      </c>
      <c r="B21" s="13" t="s">
        <v>205</v>
      </c>
      <c r="C21" s="13" t="s">
        <v>206</v>
      </c>
      <c r="D21" s="38" t="s">
        <v>208</v>
      </c>
      <c r="E21" s="46">
        <v>8.130890821E9</v>
      </c>
      <c r="F21" s="13" t="s">
        <v>210</v>
      </c>
      <c r="G21" s="7"/>
      <c r="H21" s="7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7"/>
      <c r="AC21" s="7"/>
      <c r="AD21" s="7"/>
      <c r="AE21" s="7"/>
      <c r="AF21" s="7"/>
    </row>
    <row r="22">
      <c r="A22" s="72"/>
      <c r="B22" s="73" t="s">
        <v>214</v>
      </c>
      <c r="C22" s="74" t="s">
        <v>216</v>
      </c>
      <c r="D22" s="32" t="s">
        <v>218</v>
      </c>
      <c r="E22" s="1"/>
      <c r="F22" s="1" t="s">
        <v>219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>
      <c r="A23" s="13" t="s">
        <v>226</v>
      </c>
      <c r="B23" s="13" t="s">
        <v>227</v>
      </c>
      <c r="C23" s="13" t="s">
        <v>93</v>
      </c>
      <c r="D23" s="38" t="s">
        <v>228</v>
      </c>
      <c r="E23" s="46">
        <v>8.860786457E9</v>
      </c>
      <c r="F23" s="13" t="s">
        <v>230</v>
      </c>
      <c r="G23" s="7"/>
      <c r="H23" s="7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7"/>
      <c r="AC23" s="7"/>
      <c r="AD23" s="7"/>
      <c r="AE23" s="7"/>
      <c r="AF23" s="7"/>
    </row>
    <row r="24">
      <c r="A24" s="13" t="s">
        <v>226</v>
      </c>
      <c r="B24" s="13" t="s">
        <v>232</v>
      </c>
      <c r="C24" s="13" t="s">
        <v>93</v>
      </c>
      <c r="D24" s="38" t="s">
        <v>233</v>
      </c>
      <c r="E24" s="46">
        <f>15104346941</f>
        <v>15104346941</v>
      </c>
      <c r="F24" s="13" t="s">
        <v>240</v>
      </c>
      <c r="G24" s="7"/>
      <c r="H24" s="7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7"/>
      <c r="AC24" s="7"/>
      <c r="AD24" s="7"/>
      <c r="AE24" s="7"/>
      <c r="AF24" s="7"/>
    </row>
    <row r="25">
      <c r="A25" s="13"/>
      <c r="B25" s="15" t="s">
        <v>244</v>
      </c>
      <c r="C25" s="15" t="s">
        <v>83</v>
      </c>
      <c r="D25" s="46"/>
      <c r="E25" s="46"/>
      <c r="F25" s="15" t="s">
        <v>247</v>
      </c>
      <c r="G25" s="7"/>
      <c r="H25" s="7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7"/>
      <c r="AC25" s="7"/>
      <c r="AD25" s="7"/>
      <c r="AE25" s="7"/>
      <c r="AF25" s="7"/>
    </row>
    <row r="26">
      <c r="A26" s="13" t="s">
        <v>250</v>
      </c>
      <c r="B26" s="13" t="s">
        <v>251</v>
      </c>
      <c r="C26" s="13" t="s">
        <v>253</v>
      </c>
      <c r="D26" s="38" t="s">
        <v>254</v>
      </c>
      <c r="E26" s="46">
        <f>919560613123</f>
        <v>919560613123</v>
      </c>
      <c r="F26" s="13" t="s">
        <v>257</v>
      </c>
      <c r="G26" s="7"/>
      <c r="H26" s="7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7"/>
      <c r="AC26" s="7"/>
      <c r="AD26" s="7"/>
      <c r="AE26" s="7"/>
      <c r="AF26" s="7"/>
    </row>
    <row r="27">
      <c r="A27" s="13" t="s">
        <v>250</v>
      </c>
      <c r="B27" s="13" t="s">
        <v>261</v>
      </c>
      <c r="C27" s="13" t="s">
        <v>263</v>
      </c>
      <c r="D27" s="38" t="s">
        <v>264</v>
      </c>
      <c r="E27" s="46" t="s">
        <v>266</v>
      </c>
      <c r="F27" s="13" t="s">
        <v>267</v>
      </c>
      <c r="G27" s="7"/>
      <c r="H27" s="7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7"/>
      <c r="AC27" s="7"/>
      <c r="AD27" s="7"/>
      <c r="AE27" s="7"/>
      <c r="AF27" s="7"/>
    </row>
    <row r="28">
      <c r="A28" s="72"/>
      <c r="B28" s="73" t="s">
        <v>278</v>
      </c>
      <c r="C28" s="74" t="s">
        <v>279</v>
      </c>
      <c r="D28" s="32" t="s">
        <v>280</v>
      </c>
      <c r="E28" s="61"/>
      <c r="F28" s="96" t="s">
        <v>284</v>
      </c>
      <c r="G28" s="1" t="s">
        <v>287</v>
      </c>
      <c r="H28" s="1" t="s">
        <v>288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>
      <c r="A29" s="13" t="s">
        <v>293</v>
      </c>
      <c r="B29" s="13" t="s">
        <v>294</v>
      </c>
      <c r="C29" s="13" t="s">
        <v>253</v>
      </c>
      <c r="D29" s="38" t="s">
        <v>296</v>
      </c>
      <c r="E29" s="46" t="s">
        <v>298</v>
      </c>
      <c r="F29" s="13" t="s">
        <v>299</v>
      </c>
      <c r="G29" s="7"/>
      <c r="H29" s="7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7"/>
      <c r="AC29" s="7"/>
      <c r="AD29" s="7"/>
      <c r="AE29" s="7"/>
      <c r="AF29" s="7"/>
    </row>
    <row r="30">
      <c r="A30" s="13" t="s">
        <v>303</v>
      </c>
      <c r="B30" s="13" t="s">
        <v>304</v>
      </c>
      <c r="C30" s="99" t="s">
        <v>305</v>
      </c>
      <c r="D30" s="38" t="s">
        <v>306</v>
      </c>
      <c r="E30" s="46" t="s">
        <v>310</v>
      </c>
      <c r="F30" s="13" t="s">
        <v>311</v>
      </c>
      <c r="G30" s="7"/>
      <c r="H30" s="7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7"/>
      <c r="AC30" s="7"/>
      <c r="AD30" s="7"/>
      <c r="AE30" s="7"/>
      <c r="AF30" s="7"/>
    </row>
    <row r="31">
      <c r="A31" s="13"/>
      <c r="B31" s="15" t="s">
        <v>313</v>
      </c>
      <c r="C31" s="15" t="s">
        <v>83</v>
      </c>
      <c r="D31" s="46"/>
      <c r="E31" s="46"/>
      <c r="F31" s="15" t="s">
        <v>314</v>
      </c>
      <c r="G31" s="7"/>
      <c r="H31" s="7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7"/>
      <c r="AC31" s="7"/>
      <c r="AD31" s="7"/>
      <c r="AE31" s="7"/>
      <c r="AF31" s="7"/>
    </row>
    <row r="32">
      <c r="A32" s="13" t="s">
        <v>322</v>
      </c>
      <c r="B32" s="13" t="s">
        <v>323</v>
      </c>
      <c r="C32" s="13" t="s">
        <v>237</v>
      </c>
      <c r="D32" s="38" t="s">
        <v>324</v>
      </c>
      <c r="E32" s="46" t="s">
        <v>326</v>
      </c>
      <c r="F32" s="13" t="s">
        <v>327</v>
      </c>
      <c r="G32" s="7"/>
      <c r="H32" s="7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7"/>
      <c r="AC32" s="7"/>
      <c r="AD32" s="7"/>
      <c r="AE32" s="7"/>
      <c r="AF32" s="7"/>
    </row>
    <row r="33">
      <c r="A33" s="13"/>
      <c r="B33" s="15" t="s">
        <v>332</v>
      </c>
      <c r="C33" s="13" t="s">
        <v>237</v>
      </c>
      <c r="D33" s="46"/>
      <c r="E33" s="13"/>
      <c r="F33" s="15" t="s">
        <v>334</v>
      </c>
      <c r="G33" s="7"/>
      <c r="H33" s="7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7"/>
      <c r="AC33" s="7"/>
      <c r="AD33" s="7"/>
      <c r="AE33" s="7"/>
      <c r="AF33" s="7"/>
    </row>
    <row r="34">
      <c r="A34" s="13" t="s">
        <v>339</v>
      </c>
      <c r="B34" s="13" t="s">
        <v>341</v>
      </c>
      <c r="C34" s="13" t="s">
        <v>192</v>
      </c>
      <c r="D34" s="38" t="s">
        <v>342</v>
      </c>
      <c r="E34" s="13"/>
      <c r="F34" s="13" t="s">
        <v>344</v>
      </c>
      <c r="G34" s="7"/>
      <c r="H34" s="7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7"/>
      <c r="AC34" s="7"/>
      <c r="AD34" s="7"/>
      <c r="AE34" s="7"/>
      <c r="AF34" s="7"/>
    </row>
    <row r="35">
      <c r="A35" s="13" t="s">
        <v>339</v>
      </c>
      <c r="B35" s="13" t="s">
        <v>351</v>
      </c>
      <c r="C35" s="13" t="s">
        <v>352</v>
      </c>
      <c r="D35" s="38" t="s">
        <v>353</v>
      </c>
      <c r="E35" s="13"/>
      <c r="F35" s="13" t="s">
        <v>354</v>
      </c>
      <c r="G35" s="7"/>
      <c r="H35" s="7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7"/>
      <c r="AC35" s="7"/>
      <c r="AD35" s="7"/>
      <c r="AE35" s="7"/>
      <c r="AF35" s="7"/>
    </row>
    <row r="36">
      <c r="A36" s="13" t="s">
        <v>339</v>
      </c>
      <c r="B36" s="13" t="s">
        <v>357</v>
      </c>
      <c r="C36" s="13" t="s">
        <v>175</v>
      </c>
      <c r="D36" s="38" t="s">
        <v>360</v>
      </c>
      <c r="E36" s="13"/>
      <c r="F36" s="13" t="s">
        <v>361</v>
      </c>
      <c r="G36" s="7"/>
      <c r="H36" s="7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7"/>
      <c r="AC36" s="7"/>
      <c r="AD36" s="7"/>
      <c r="AE36" s="7"/>
      <c r="AF36" s="7"/>
    </row>
    <row r="37">
      <c r="A37" s="13"/>
      <c r="B37" s="15" t="s">
        <v>369</v>
      </c>
      <c r="C37" s="15" t="s">
        <v>61</v>
      </c>
      <c r="D37" s="46"/>
      <c r="E37" s="13"/>
      <c r="F37" s="15" t="s">
        <v>370</v>
      </c>
      <c r="G37" s="7"/>
      <c r="H37" s="7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7"/>
      <c r="AC37" s="7"/>
      <c r="AD37" s="7"/>
      <c r="AE37" s="7"/>
      <c r="AF37" s="7"/>
    </row>
    <row r="38">
      <c r="A38" s="13" t="s">
        <v>374</v>
      </c>
      <c r="B38" s="13" t="s">
        <v>375</v>
      </c>
      <c r="C38" s="13" t="s">
        <v>237</v>
      </c>
      <c r="D38" s="38" t="s">
        <v>376</v>
      </c>
      <c r="E38" s="13"/>
      <c r="F38" s="13" t="s">
        <v>382</v>
      </c>
      <c r="G38" s="7"/>
      <c r="H38" s="7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7"/>
      <c r="AC38" s="7"/>
      <c r="AD38" s="7"/>
      <c r="AE38" s="7"/>
      <c r="AF38" s="7"/>
    </row>
    <row r="39">
      <c r="A39" s="13" t="s">
        <v>374</v>
      </c>
      <c r="B39" s="13" t="s">
        <v>388</v>
      </c>
      <c r="C39" s="13" t="s">
        <v>237</v>
      </c>
      <c r="D39" s="38" t="s">
        <v>389</v>
      </c>
      <c r="E39" s="13"/>
      <c r="F39" s="13" t="s">
        <v>391</v>
      </c>
      <c r="G39" s="7"/>
      <c r="H39" s="7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7"/>
      <c r="AC39" s="7"/>
      <c r="AD39" s="7"/>
      <c r="AE39" s="7"/>
      <c r="AF39" s="7"/>
    </row>
    <row r="40">
      <c r="A40" s="13" t="s">
        <v>374</v>
      </c>
      <c r="B40" s="15" t="s">
        <v>398</v>
      </c>
      <c r="C40" s="15"/>
      <c r="D40" s="46"/>
      <c r="E40" s="15">
        <f>919650966111</f>
        <v>919650966111</v>
      </c>
      <c r="F40" s="15" t="s">
        <v>403</v>
      </c>
      <c r="G40" s="7"/>
      <c r="H40" s="7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7"/>
      <c r="AC40" s="7"/>
      <c r="AD40" s="7"/>
      <c r="AE40" s="7"/>
      <c r="AF40" s="7"/>
    </row>
    <row r="41">
      <c r="A41" s="13"/>
      <c r="B41" s="15" t="s">
        <v>408</v>
      </c>
      <c r="C41" s="15" t="s">
        <v>409</v>
      </c>
      <c r="D41" s="46"/>
      <c r="E41" s="15" t="s">
        <v>410</v>
      </c>
      <c r="F41" s="15" t="s">
        <v>411</v>
      </c>
      <c r="G41" s="7"/>
      <c r="H41" s="7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7"/>
      <c r="AC41" s="7"/>
      <c r="AD41" s="7"/>
      <c r="AE41" s="7"/>
      <c r="AF41" s="7"/>
    </row>
    <row r="42">
      <c r="A42" s="13" t="s">
        <v>419</v>
      </c>
      <c r="B42" s="13" t="s">
        <v>420</v>
      </c>
      <c r="C42" s="13" t="s">
        <v>421</v>
      </c>
      <c r="D42" s="38" t="s">
        <v>422</v>
      </c>
      <c r="E42" s="13"/>
      <c r="F42" s="13" t="s">
        <v>427</v>
      </c>
      <c r="G42" s="7"/>
      <c r="H42" s="7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7"/>
      <c r="AC42" s="7"/>
      <c r="AD42" s="7"/>
      <c r="AE42" s="7"/>
      <c r="AF42" s="7"/>
    </row>
    <row r="43">
      <c r="A43" s="38" t="s">
        <v>432</v>
      </c>
      <c r="B43" s="13" t="s">
        <v>434</v>
      </c>
      <c r="C43" s="13" t="s">
        <v>253</v>
      </c>
      <c r="D43" s="38" t="s">
        <v>436</v>
      </c>
      <c r="E43" s="13"/>
      <c r="F43" s="13" t="s">
        <v>438</v>
      </c>
      <c r="G43" s="7"/>
      <c r="H43" s="7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7"/>
      <c r="AC43" s="7"/>
      <c r="AD43" s="7"/>
      <c r="AE43" s="7"/>
      <c r="AF43" s="7"/>
    </row>
    <row r="44">
      <c r="A44" s="13"/>
      <c r="B44" s="15" t="s">
        <v>442</v>
      </c>
      <c r="C44" s="15" t="s">
        <v>32</v>
      </c>
      <c r="D44" s="46"/>
      <c r="E44" s="15">
        <v>9.811422657E9</v>
      </c>
      <c r="F44" s="13"/>
      <c r="G44" s="7"/>
      <c r="H44" s="7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7"/>
      <c r="AC44" s="7"/>
      <c r="AD44" s="7"/>
      <c r="AE44" s="7"/>
      <c r="AF44" s="7"/>
    </row>
    <row r="45">
      <c r="A45" s="13" t="s">
        <v>444</v>
      </c>
      <c r="B45" s="13" t="s">
        <v>445</v>
      </c>
      <c r="C45" s="13" t="s">
        <v>253</v>
      </c>
      <c r="D45" s="38" t="s">
        <v>446</v>
      </c>
      <c r="E45" s="13"/>
      <c r="F45" s="13" t="s">
        <v>447</v>
      </c>
      <c r="G45" s="7"/>
      <c r="H45" s="7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7"/>
      <c r="AC45" s="7"/>
      <c r="AD45" s="7"/>
      <c r="AE45" s="7"/>
      <c r="AF45" s="7"/>
    </row>
    <row r="46">
      <c r="A46" s="1" t="s">
        <v>444</v>
      </c>
      <c r="B46" s="1" t="s">
        <v>445</v>
      </c>
      <c r="C46" s="113" t="s">
        <v>451</v>
      </c>
      <c r="D46" s="32" t="s">
        <v>452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>
      <c r="A47" s="1" t="s">
        <v>444</v>
      </c>
      <c r="B47" s="1" t="s">
        <v>460</v>
      </c>
      <c r="C47" s="113" t="s">
        <v>172</v>
      </c>
      <c r="D47" s="32" t="s">
        <v>461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>
      <c r="A48" s="13" t="s">
        <v>470</v>
      </c>
      <c r="B48" s="13" t="s">
        <v>471</v>
      </c>
      <c r="C48" s="13" t="s">
        <v>472</v>
      </c>
      <c r="D48" s="13"/>
      <c r="E48" s="13">
        <f>+919820021521</f>
        <v>919820021521</v>
      </c>
      <c r="F48" s="13" t="s">
        <v>474</v>
      </c>
      <c r="G48" s="7"/>
      <c r="H48" s="7"/>
      <c r="I48" s="46"/>
      <c r="J48" s="13"/>
      <c r="K48" s="7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7"/>
      <c r="AB48" s="7"/>
      <c r="AC48" s="7"/>
      <c r="AD48" s="7"/>
      <c r="AE48" s="7"/>
      <c r="AF48" s="7"/>
    </row>
    <row r="49">
      <c r="A49" s="13"/>
      <c r="B49" s="15" t="s">
        <v>478</v>
      </c>
      <c r="C49" s="15" t="s">
        <v>32</v>
      </c>
      <c r="D49" s="13"/>
      <c r="E49" s="13"/>
      <c r="F49" s="15" t="s">
        <v>480</v>
      </c>
      <c r="G49" s="7"/>
      <c r="H49" s="7"/>
      <c r="I49" s="46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7"/>
      <c r="AB49" s="7"/>
      <c r="AC49" s="7"/>
      <c r="AD49" s="7"/>
      <c r="AE49" s="7"/>
      <c r="AF49" s="7"/>
    </row>
    <row r="50">
      <c r="A50" s="13" t="s">
        <v>485</v>
      </c>
      <c r="B50" s="13" t="s">
        <v>487</v>
      </c>
      <c r="C50" s="13" t="s">
        <v>147</v>
      </c>
      <c r="D50" s="13"/>
      <c r="E50" s="13" t="s">
        <v>489</v>
      </c>
      <c r="F50" s="13" t="s">
        <v>490</v>
      </c>
      <c r="G50" s="7"/>
      <c r="H50" s="7"/>
      <c r="I50" s="46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7"/>
      <c r="AB50" s="7"/>
      <c r="AC50" s="7"/>
      <c r="AD50" s="7"/>
      <c r="AE50" s="7"/>
      <c r="AF50" s="7"/>
    </row>
    <row r="51">
      <c r="A51" s="115"/>
      <c r="B51" s="32" t="s">
        <v>498</v>
      </c>
      <c r="C51" s="116" t="s">
        <v>32</v>
      </c>
      <c r="D51" s="46"/>
      <c r="E51" s="15" t="s">
        <v>502</v>
      </c>
      <c r="F51" s="15" t="s">
        <v>503</v>
      </c>
      <c r="G51" s="7"/>
      <c r="H51" s="7"/>
      <c r="I51" s="115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>
      <c r="A52" s="115" t="s">
        <v>511</v>
      </c>
      <c r="B52" s="115" t="s">
        <v>512</v>
      </c>
      <c r="C52" s="117" t="s">
        <v>15</v>
      </c>
      <c r="D52" s="38" t="s">
        <v>513</v>
      </c>
      <c r="E52" s="13"/>
      <c r="F52" s="115" t="s">
        <v>517</v>
      </c>
      <c r="G52" s="7"/>
      <c r="H52" s="7"/>
      <c r="I52" s="115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>
      <c r="A53" s="115" t="s">
        <v>511</v>
      </c>
      <c r="B53" s="115" t="s">
        <v>521</v>
      </c>
      <c r="C53" s="117" t="s">
        <v>172</v>
      </c>
      <c r="D53" s="119" t="s">
        <v>522</v>
      </c>
      <c r="E53" s="13"/>
      <c r="F53" s="115" t="s">
        <v>526</v>
      </c>
      <c r="G53" s="7"/>
      <c r="H53" s="7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>
      <c r="A54" s="115"/>
      <c r="B54" s="15" t="s">
        <v>529</v>
      </c>
      <c r="C54" s="15" t="s">
        <v>32</v>
      </c>
      <c r="D54" s="121"/>
      <c r="E54" s="123" t="s">
        <v>530</v>
      </c>
      <c r="F54" s="15" t="s">
        <v>531</v>
      </c>
      <c r="G54" s="7"/>
      <c r="H54" s="7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7"/>
      <c r="AC54" s="7"/>
      <c r="AD54" s="7"/>
      <c r="AE54" s="7"/>
      <c r="AF54" s="7"/>
    </row>
    <row r="55">
      <c r="A55" s="115" t="s">
        <v>203</v>
      </c>
      <c r="B55" s="115" t="s">
        <v>205</v>
      </c>
      <c r="C55" s="115" t="s">
        <v>206</v>
      </c>
      <c r="D55" s="119" t="s">
        <v>208</v>
      </c>
      <c r="E55" s="46">
        <v>8.130890821E9</v>
      </c>
      <c r="F55" s="115" t="s">
        <v>210</v>
      </c>
      <c r="G55" s="7"/>
      <c r="H55" s="7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7"/>
      <c r="AC55" s="7"/>
      <c r="AD55" s="7"/>
      <c r="AE55" s="7"/>
      <c r="AF55" s="7"/>
    </row>
    <row r="56">
      <c r="A56" s="72"/>
      <c r="B56" s="73" t="s">
        <v>214</v>
      </c>
      <c r="C56" s="74" t="s">
        <v>216</v>
      </c>
      <c r="D56" s="32" t="s">
        <v>218</v>
      </c>
      <c r="E56" s="1"/>
      <c r="F56" s="1" t="s">
        <v>219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>
      <c r="A57" s="13" t="s">
        <v>548</v>
      </c>
      <c r="B57" s="13" t="s">
        <v>549</v>
      </c>
      <c r="C57" s="13" t="s">
        <v>417</v>
      </c>
      <c r="D57" s="13"/>
      <c r="E57" s="13"/>
      <c r="F57" s="13" t="s">
        <v>551</v>
      </c>
      <c r="G57" s="7"/>
      <c r="H57" s="7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7"/>
      <c r="AA57" s="7"/>
      <c r="AB57" s="7"/>
      <c r="AC57" s="7"/>
      <c r="AD57" s="7"/>
      <c r="AE57" s="7"/>
      <c r="AF57" s="7"/>
    </row>
    <row r="58">
      <c r="A58" s="13"/>
      <c r="B58" s="13"/>
      <c r="C58" s="13"/>
      <c r="D58" s="13"/>
      <c r="E58" s="13"/>
      <c r="F58" s="13"/>
      <c r="G58" s="7"/>
      <c r="H58" s="7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7"/>
      <c r="AF58" s="7"/>
    </row>
    <row r="59">
      <c r="A59" s="13" t="s">
        <v>560</v>
      </c>
      <c r="B59" s="13" t="s">
        <v>561</v>
      </c>
      <c r="C59" s="13" t="s">
        <v>253</v>
      </c>
      <c r="D59" s="13"/>
      <c r="E59" s="13">
        <v>9.810098197E9</v>
      </c>
      <c r="F59" s="13" t="s">
        <v>563</v>
      </c>
      <c r="G59" s="7"/>
      <c r="H59" s="7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7"/>
      <c r="AF59" s="7"/>
    </row>
    <row r="60">
      <c r="A60" s="131" t="s">
        <v>568</v>
      </c>
      <c r="B60" s="117" t="s">
        <v>570</v>
      </c>
      <c r="C60" s="117" t="s">
        <v>15</v>
      </c>
      <c r="D60" s="135" t="s">
        <v>572</v>
      </c>
      <c r="E60" s="117">
        <v>9.90000395E9</v>
      </c>
      <c r="F60" s="117" t="s">
        <v>577</v>
      </c>
      <c r="G60" s="7"/>
      <c r="H60" s="7"/>
      <c r="I60" s="117"/>
      <c r="J60" s="137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7"/>
      <c r="AE60" s="7"/>
      <c r="AF60" s="7"/>
    </row>
    <row r="61">
      <c r="A61" s="131"/>
      <c r="B61" s="117"/>
      <c r="C61" s="117"/>
      <c r="D61" s="137"/>
      <c r="E61" s="117"/>
      <c r="F61" s="117"/>
      <c r="G61" s="7"/>
      <c r="H61" s="7"/>
      <c r="I61" s="117"/>
      <c r="J61" s="137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7"/>
      <c r="AE61" s="7"/>
      <c r="AF61" s="7"/>
    </row>
    <row r="62">
      <c r="A62" s="131" t="s">
        <v>593</v>
      </c>
      <c r="B62" s="117" t="s">
        <v>595</v>
      </c>
      <c r="C62" s="117" t="s">
        <v>172</v>
      </c>
      <c r="D62" s="135" t="s">
        <v>597</v>
      </c>
      <c r="E62" s="117">
        <v>8.095114E9</v>
      </c>
      <c r="F62" s="117" t="s">
        <v>599</v>
      </c>
      <c r="G62" s="7"/>
      <c r="H62" s="7"/>
      <c r="I62" s="117"/>
      <c r="J62" s="137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7"/>
      <c r="AE62" s="7"/>
      <c r="AF62" s="7"/>
    </row>
    <row r="63">
      <c r="A63" s="131" t="s">
        <v>604</v>
      </c>
      <c r="B63" s="117" t="s">
        <v>606</v>
      </c>
      <c r="C63" s="117" t="s">
        <v>237</v>
      </c>
      <c r="D63" s="135" t="s">
        <v>607</v>
      </c>
      <c r="E63" s="13"/>
      <c r="F63" s="117" t="s">
        <v>609</v>
      </c>
      <c r="G63" s="7"/>
      <c r="H63" s="7"/>
      <c r="I63" s="13"/>
      <c r="J63" s="137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7"/>
      <c r="AE63" s="7"/>
      <c r="AF63" s="7"/>
    </row>
    <row r="64">
      <c r="A64" s="72"/>
      <c r="B64" s="142" t="s">
        <v>618</v>
      </c>
      <c r="C64" s="74" t="s">
        <v>51</v>
      </c>
      <c r="D64" s="32" t="s">
        <v>621</v>
      </c>
      <c r="E64" s="1"/>
      <c r="F64" s="1" t="s">
        <v>624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>
      <c r="A65" s="131" t="s">
        <v>630</v>
      </c>
      <c r="B65" s="117" t="s">
        <v>631</v>
      </c>
      <c r="C65" s="117" t="s">
        <v>237</v>
      </c>
      <c r="D65" s="135" t="s">
        <v>632</v>
      </c>
      <c r="E65" s="13"/>
      <c r="F65" s="13"/>
      <c r="G65" s="7"/>
      <c r="H65" s="7"/>
      <c r="I65" s="13"/>
      <c r="J65" s="137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7"/>
      <c r="AE65" s="7"/>
      <c r="AF65" s="7"/>
    </row>
    <row r="66">
      <c r="A66" s="115"/>
      <c r="B66" s="143" t="s">
        <v>637</v>
      </c>
      <c r="C66" s="15" t="s">
        <v>641</v>
      </c>
      <c r="D66" s="13"/>
      <c r="E66" s="15" t="s">
        <v>642</v>
      </c>
      <c r="F66" s="15" t="s">
        <v>644</v>
      </c>
      <c r="G66" s="7"/>
      <c r="H66" s="7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7"/>
      <c r="AE66" s="7"/>
      <c r="AF66" s="7"/>
    </row>
    <row r="67">
      <c r="A67" s="115" t="s">
        <v>648</v>
      </c>
      <c r="B67" s="13" t="s">
        <v>649</v>
      </c>
      <c r="C67" s="13" t="s">
        <v>650</v>
      </c>
      <c r="D67" s="13"/>
      <c r="E67" s="13"/>
      <c r="F67" s="13" t="s">
        <v>651</v>
      </c>
      <c r="G67" s="7"/>
      <c r="H67" s="7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7"/>
      <c r="AE67" s="7"/>
      <c r="AF67" s="7"/>
    </row>
    <row r="68">
      <c r="A68" s="115"/>
      <c r="B68" s="32" t="s">
        <v>654</v>
      </c>
      <c r="C68" s="15" t="s">
        <v>32</v>
      </c>
      <c r="D68" s="13"/>
      <c r="E68" s="15" t="s">
        <v>656</v>
      </c>
      <c r="F68" s="15" t="s">
        <v>657</v>
      </c>
      <c r="G68" s="7"/>
      <c r="H68" s="7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7"/>
      <c r="AE68" s="7"/>
      <c r="AF68" s="7"/>
    </row>
    <row r="69">
      <c r="A69" s="115" t="s">
        <v>659</v>
      </c>
      <c r="B69" s="13" t="s">
        <v>660</v>
      </c>
      <c r="C69" s="13" t="s">
        <v>417</v>
      </c>
      <c r="D69" s="13"/>
      <c r="E69" s="13"/>
      <c r="F69" s="13" t="s">
        <v>661</v>
      </c>
      <c r="G69" s="7"/>
      <c r="H69" s="7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7"/>
      <c r="AE69" s="7"/>
      <c r="AF69" s="7"/>
    </row>
    <row r="70">
      <c r="A70" s="131"/>
      <c r="B70" s="32" t="s">
        <v>665</v>
      </c>
      <c r="C70" s="116" t="s">
        <v>32</v>
      </c>
      <c r="D70" s="137"/>
      <c r="E70" s="116">
        <v>9.00011401E9</v>
      </c>
      <c r="F70" s="117"/>
      <c r="G70" s="7"/>
      <c r="H70" s="7"/>
      <c r="I70" s="117"/>
      <c r="J70" s="137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7"/>
      <c r="AE70" s="7"/>
      <c r="AF70" s="7"/>
    </row>
    <row r="71">
      <c r="A71" s="131" t="s">
        <v>669</v>
      </c>
      <c r="B71" s="117" t="s">
        <v>670</v>
      </c>
      <c r="C71" s="117" t="s">
        <v>172</v>
      </c>
      <c r="D71" s="135" t="s">
        <v>671</v>
      </c>
      <c r="E71" s="117" t="s">
        <v>673</v>
      </c>
      <c r="F71" s="117" t="s">
        <v>675</v>
      </c>
      <c r="G71" s="7"/>
      <c r="H71" s="7"/>
      <c r="I71" s="117"/>
      <c r="J71" s="137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7"/>
      <c r="AE71" s="7"/>
      <c r="AF71" s="7"/>
    </row>
    <row r="72" ht="14.25" customHeight="1">
      <c r="A72" s="1"/>
      <c r="B72" s="32" t="s">
        <v>677</v>
      </c>
      <c r="C72" s="116" t="s">
        <v>682</v>
      </c>
      <c r="D72" s="144"/>
      <c r="E72" s="7"/>
      <c r="F72" s="1" t="s">
        <v>683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ht="14.25" customHeight="1">
      <c r="A73" s="1" t="s">
        <v>685</v>
      </c>
      <c r="B73" s="32" t="s">
        <v>686</v>
      </c>
      <c r="C73" s="117" t="s">
        <v>172</v>
      </c>
      <c r="D73" s="145" t="s">
        <v>690</v>
      </c>
      <c r="E73" s="7">
        <f>14083916403</f>
        <v>14083916403</v>
      </c>
      <c r="F73" s="1" t="s">
        <v>692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ht="15.75" customHeight="1">
      <c r="A74" s="1" t="s">
        <v>685</v>
      </c>
      <c r="B74" s="32" t="s">
        <v>695</v>
      </c>
      <c r="C74" s="117" t="s">
        <v>172</v>
      </c>
      <c r="D74" s="7"/>
      <c r="E74" s="7">
        <f>919860403029</f>
        <v>919860403029</v>
      </c>
      <c r="F74" s="1" t="s">
        <v>697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>
      <c r="A75" s="1"/>
      <c r="B75" s="1" t="s">
        <v>700</v>
      </c>
      <c r="C75" s="116" t="s">
        <v>83</v>
      </c>
      <c r="D75" s="7"/>
      <c r="E75" s="7"/>
      <c r="F75" s="1" t="s">
        <v>703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>
      <c r="A76" s="1" t="s">
        <v>704</v>
      </c>
      <c r="B76" s="32" t="s">
        <v>705</v>
      </c>
      <c r="C76" s="117" t="s">
        <v>172</v>
      </c>
      <c r="D76" s="7"/>
      <c r="E76" s="7"/>
      <c r="F76" s="1" t="s">
        <v>706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>
      <c r="A77" s="1" t="s">
        <v>704</v>
      </c>
      <c r="B77" s="32" t="s">
        <v>710</v>
      </c>
      <c r="C77" s="117" t="s">
        <v>172</v>
      </c>
      <c r="D77" s="7"/>
      <c r="E77" s="7">
        <f>919811228580</f>
        <v>919811228580</v>
      </c>
      <c r="F77" s="1" t="s">
        <v>712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>
      <c r="A78" s="1" t="s">
        <v>704</v>
      </c>
      <c r="B78" s="32" t="s">
        <v>714</v>
      </c>
      <c r="C78" s="117" t="s">
        <v>172</v>
      </c>
      <c r="D78" s="7"/>
      <c r="E78" s="7">
        <f>919899205817</f>
        <v>919899205817</v>
      </c>
      <c r="F78" s="1" t="s">
        <v>717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>
      <c r="A79" s="1" t="s">
        <v>704</v>
      </c>
      <c r="B79" s="32" t="s">
        <v>719</v>
      </c>
      <c r="C79" s="117" t="s">
        <v>172</v>
      </c>
      <c r="D79" s="7"/>
      <c r="E79" s="147">
        <f>+919818664451</f>
        <v>919818664451</v>
      </c>
      <c r="F79" s="148" t="s">
        <v>723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ht="15.75" customHeight="1">
      <c r="A80" s="1" t="s">
        <v>704</v>
      </c>
      <c r="B80" s="32" t="s">
        <v>724</v>
      </c>
      <c r="C80" s="117" t="s">
        <v>172</v>
      </c>
      <c r="D80" s="7"/>
      <c r="E80" s="147">
        <f>+919910202555</f>
        <v>919910202555</v>
      </c>
      <c r="F80" s="148" t="s">
        <v>727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>
      <c r="A81" s="1"/>
      <c r="B81" s="32" t="s">
        <v>730</v>
      </c>
      <c r="C81" s="116" t="s">
        <v>83</v>
      </c>
      <c r="D81" s="7"/>
      <c r="E81" s="1">
        <v>9.1783896111E11</v>
      </c>
      <c r="F81" s="1" t="s">
        <v>734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>
      <c r="A82" s="1" t="s">
        <v>737</v>
      </c>
      <c r="B82" s="32" t="s">
        <v>738</v>
      </c>
      <c r="C82" s="117" t="s">
        <v>172</v>
      </c>
      <c r="D82" s="7"/>
      <c r="E82" s="7"/>
      <c r="F82" s="1" t="s">
        <v>742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>
      <c r="A83" s="1" t="s">
        <v>737</v>
      </c>
      <c r="B83" s="32" t="s">
        <v>744</v>
      </c>
      <c r="C83" s="117" t="s">
        <v>172</v>
      </c>
      <c r="D83" s="7"/>
      <c r="E83" s="147">
        <f>+919845030014</f>
        <v>919845030014</v>
      </c>
      <c r="F83" s="1" t="s">
        <v>747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>
      <c r="A84" s="1" t="s">
        <v>737</v>
      </c>
      <c r="B84" s="32" t="s">
        <v>752</v>
      </c>
      <c r="C84" s="117" t="s">
        <v>172</v>
      </c>
      <c r="D84" s="144"/>
      <c r="E84" s="7"/>
      <c r="F84" s="1" t="s">
        <v>754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>
      <c r="A85" s="1"/>
      <c r="B85" s="1" t="s">
        <v>755</v>
      </c>
      <c r="C85" s="116" t="s">
        <v>83</v>
      </c>
      <c r="D85" s="1"/>
      <c r="E85" s="1">
        <v>9.19958100942E11</v>
      </c>
      <c r="F85" s="1" t="s">
        <v>759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>
      <c r="A86" s="1" t="s">
        <v>761</v>
      </c>
      <c r="B86" s="32" t="s">
        <v>762</v>
      </c>
      <c r="C86" s="117" t="s">
        <v>172</v>
      </c>
      <c r="D86" s="1"/>
      <c r="E86" s="7"/>
      <c r="F86" s="1" t="s">
        <v>765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>
      <c r="A87" s="1"/>
      <c r="B87" s="32" t="s">
        <v>767</v>
      </c>
      <c r="C87" s="116" t="s">
        <v>32</v>
      </c>
      <c r="D87" s="144"/>
      <c r="E87" s="1" t="s">
        <v>770</v>
      </c>
      <c r="F87" s="1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>
      <c r="A88" s="1" t="s">
        <v>772</v>
      </c>
      <c r="B88" s="32" t="s">
        <v>773</v>
      </c>
      <c r="C88" s="117" t="s">
        <v>172</v>
      </c>
      <c r="D88" s="144"/>
      <c r="E88" s="1"/>
      <c r="F88" s="1" t="s">
        <v>777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>
      <c r="A89" s="1" t="s">
        <v>772</v>
      </c>
      <c r="B89" s="1" t="s">
        <v>779</v>
      </c>
      <c r="C89" s="1" t="s">
        <v>32</v>
      </c>
      <c r="D89" s="7"/>
      <c r="E89" s="1" t="s">
        <v>780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>
      <c r="A90" s="150" t="s">
        <v>784</v>
      </c>
      <c r="B90" s="151" t="s">
        <v>785</v>
      </c>
      <c r="C90" s="151" t="s">
        <v>786</v>
      </c>
      <c r="D90" s="151"/>
      <c r="E90" s="151">
        <f>+971507883200</f>
        <v>971507883200</v>
      </c>
      <c r="F90" s="151" t="s">
        <v>788</v>
      </c>
      <c r="G90" s="151"/>
      <c r="H90" s="151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7"/>
      <c r="AA90" s="7"/>
      <c r="AB90" s="7"/>
      <c r="AC90" s="7"/>
      <c r="AD90" s="7"/>
      <c r="AE90" s="7"/>
      <c r="AF90" s="7"/>
    </row>
    <row r="91">
      <c r="A91" s="150" t="s">
        <v>784</v>
      </c>
      <c r="B91" s="151" t="s">
        <v>791</v>
      </c>
      <c r="C91" s="151" t="s">
        <v>792</v>
      </c>
      <c r="D91" s="151"/>
      <c r="E91" s="151"/>
      <c r="F91" s="151" t="s">
        <v>794</v>
      </c>
      <c r="G91" s="151"/>
      <c r="H91" s="151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7"/>
      <c r="AA91" s="7"/>
      <c r="AB91" s="7"/>
      <c r="AC91" s="7"/>
      <c r="AD91" s="7"/>
      <c r="AE91" s="7"/>
      <c r="AF91" s="7"/>
    </row>
    <row r="92">
      <c r="A92" s="150" t="s">
        <v>784</v>
      </c>
      <c r="B92" s="142" t="s">
        <v>795</v>
      </c>
      <c r="C92" s="153" t="s">
        <v>796</v>
      </c>
      <c r="D92" s="32" t="s">
        <v>797</v>
      </c>
      <c r="E92" s="96"/>
      <c r="F92" s="61" t="s">
        <v>801</v>
      </c>
      <c r="G92" s="96" t="s">
        <v>802</v>
      </c>
      <c r="H92" s="1" t="s">
        <v>803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>
      <c r="A93" s="74" t="s">
        <v>805</v>
      </c>
      <c r="B93" s="154" t="s">
        <v>806</v>
      </c>
      <c r="C93" s="74" t="s">
        <v>615</v>
      </c>
      <c r="D93" s="1"/>
      <c r="E93" s="61">
        <v>8.065834445E9</v>
      </c>
      <c r="F93" s="61" t="s">
        <v>807</v>
      </c>
      <c r="G93" s="96"/>
      <c r="H93" s="1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>
      <c r="A94" s="74" t="s">
        <v>805</v>
      </c>
      <c r="B94" s="142" t="s">
        <v>810</v>
      </c>
      <c r="C94" s="74" t="s">
        <v>381</v>
      </c>
      <c r="D94" s="32" t="s">
        <v>811</v>
      </c>
      <c r="E94" s="61"/>
      <c r="F94" s="96" t="s">
        <v>813</v>
      </c>
      <c r="G94" s="96" t="s">
        <v>814</v>
      </c>
      <c r="H94" s="1" t="s">
        <v>815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>
      <c r="A95" s="74" t="s">
        <v>818</v>
      </c>
      <c r="B95" s="32" t="s">
        <v>819</v>
      </c>
      <c r="C95" s="155" t="s">
        <v>615</v>
      </c>
      <c r="D95" s="1"/>
      <c r="E95" s="61">
        <v>9.833122482E9</v>
      </c>
      <c r="F95" s="61" t="s">
        <v>821</v>
      </c>
      <c r="G95" s="96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>
      <c r="A96" s="74" t="s">
        <v>818</v>
      </c>
      <c r="B96" s="73" t="s">
        <v>822</v>
      </c>
      <c r="C96" s="153" t="s">
        <v>823</v>
      </c>
      <c r="D96" s="32" t="s">
        <v>824</v>
      </c>
      <c r="E96" s="96"/>
      <c r="F96" s="96" t="s">
        <v>828</v>
      </c>
      <c r="G96" s="96" t="s">
        <v>829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>
      <c r="A97" s="151" t="s">
        <v>18</v>
      </c>
      <c r="B97" s="152" t="s">
        <v>832</v>
      </c>
      <c r="C97" s="152" t="s">
        <v>833</v>
      </c>
      <c r="D97" s="156" t="s">
        <v>834</v>
      </c>
      <c r="E97" s="152"/>
      <c r="F97" s="151" t="s">
        <v>837</v>
      </c>
      <c r="G97" s="152"/>
      <c r="H97" s="152"/>
      <c r="I97" s="156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7"/>
      <c r="AD97" s="7"/>
      <c r="AE97" s="7"/>
      <c r="AF97" s="7"/>
    </row>
    <row r="98">
      <c r="F98" s="151" t="s">
        <v>840</v>
      </c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7"/>
      <c r="AD98" s="7"/>
      <c r="AE98" s="7"/>
      <c r="AF98" s="7"/>
    </row>
    <row r="99">
      <c r="F99" s="151" t="s">
        <v>843</v>
      </c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7"/>
      <c r="AD99" s="7"/>
      <c r="AE99" s="7"/>
      <c r="AF99" s="7"/>
    </row>
    <row r="100">
      <c r="A100" s="150"/>
      <c r="B100" s="73" t="s">
        <v>845</v>
      </c>
      <c r="C100" s="153" t="s">
        <v>823</v>
      </c>
      <c r="D100" s="32" t="s">
        <v>848</v>
      </c>
      <c r="E100" s="7"/>
      <c r="F100" s="1" t="s">
        <v>849</v>
      </c>
      <c r="G100" s="1" t="s">
        <v>850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>
      <c r="A101" s="151" t="s">
        <v>142</v>
      </c>
      <c r="B101" s="152" t="s">
        <v>806</v>
      </c>
      <c r="C101" s="152" t="s">
        <v>237</v>
      </c>
      <c r="D101" s="151"/>
      <c r="E101" s="152"/>
      <c r="F101" s="160" t="s">
        <v>807</v>
      </c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7"/>
      <c r="Y101" s="7"/>
      <c r="Z101" s="7"/>
      <c r="AA101" s="7"/>
      <c r="AB101" s="7"/>
      <c r="AC101" s="7"/>
      <c r="AD101" s="7"/>
      <c r="AE101" s="7"/>
      <c r="AF101" s="7"/>
    </row>
    <row r="102">
      <c r="A102" s="74" t="s">
        <v>142</v>
      </c>
      <c r="B102" s="142" t="s">
        <v>810</v>
      </c>
      <c r="C102" s="74" t="s">
        <v>381</v>
      </c>
      <c r="D102" s="32" t="s">
        <v>811</v>
      </c>
      <c r="E102" s="61"/>
      <c r="F102" s="96" t="s">
        <v>813</v>
      </c>
      <c r="G102" s="96" t="s">
        <v>814</v>
      </c>
      <c r="H102" s="1" t="s">
        <v>815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>
      <c r="A103" s="151" t="s">
        <v>857</v>
      </c>
      <c r="B103" s="152" t="s">
        <v>858</v>
      </c>
      <c r="C103" s="152" t="s">
        <v>615</v>
      </c>
      <c r="D103" s="151"/>
      <c r="E103" s="152"/>
      <c r="F103" s="164" t="s">
        <v>859</v>
      </c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7"/>
      <c r="Y103" s="7"/>
      <c r="Z103" s="7"/>
      <c r="AA103" s="7"/>
      <c r="AB103" s="7"/>
      <c r="AC103" s="7"/>
      <c r="AD103" s="7"/>
      <c r="AE103" s="7"/>
      <c r="AF103" s="7"/>
    </row>
    <row r="104">
      <c r="A104" s="150"/>
      <c r="B104" s="73" t="s">
        <v>863</v>
      </c>
      <c r="C104" s="155" t="s">
        <v>864</v>
      </c>
      <c r="D104" s="32" t="s">
        <v>866</v>
      </c>
      <c r="E104" s="1"/>
      <c r="F104" s="153" t="s">
        <v>867</v>
      </c>
      <c r="G104" s="1" t="s">
        <v>868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>
      <c r="A105" s="150" t="s">
        <v>870</v>
      </c>
      <c r="B105" s="166" t="s">
        <v>871</v>
      </c>
      <c r="C105" s="155" t="s">
        <v>615</v>
      </c>
      <c r="D105" s="1"/>
      <c r="E105" s="1"/>
      <c r="F105" s="1" t="s">
        <v>872</v>
      </c>
      <c r="G105" s="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>
      <c r="A106" s="1"/>
      <c r="B106" s="136" t="s">
        <v>876</v>
      </c>
      <c r="C106" s="153" t="s">
        <v>381</v>
      </c>
      <c r="D106" s="1"/>
      <c r="E106" s="167">
        <f>+919980754664</f>
        <v>919980754664</v>
      </c>
      <c r="F106" s="168" t="s">
        <v>880</v>
      </c>
      <c r="G106" s="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>
      <c r="A107" s="1" t="s">
        <v>882</v>
      </c>
      <c r="B107" s="73" t="s">
        <v>883</v>
      </c>
      <c r="C107" s="153" t="s">
        <v>381</v>
      </c>
      <c r="D107" s="32" t="s">
        <v>884</v>
      </c>
      <c r="E107" s="1"/>
      <c r="F107" s="1" t="s">
        <v>885</v>
      </c>
      <c r="G107" s="1" t="s">
        <v>887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>
      <c r="A108" s="169" t="s">
        <v>882</v>
      </c>
      <c r="B108" s="152" t="s">
        <v>890</v>
      </c>
      <c r="C108" s="152" t="s">
        <v>172</v>
      </c>
      <c r="D108" s="151"/>
      <c r="E108" s="152"/>
      <c r="F108" s="169" t="s">
        <v>891</v>
      </c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7"/>
      <c r="Z108" s="7"/>
      <c r="AA108" s="7"/>
      <c r="AB108" s="7"/>
      <c r="AC108" s="7"/>
      <c r="AD108" s="7"/>
      <c r="AE108" s="7"/>
      <c r="AF108" s="7"/>
    </row>
    <row r="109">
      <c r="A109" s="151"/>
      <c r="B109" s="151"/>
      <c r="C109" s="151"/>
      <c r="D109" s="156"/>
      <c r="E109" s="170"/>
      <c r="F109" s="170"/>
      <c r="G109" s="171"/>
      <c r="H109" s="169"/>
      <c r="I109" s="156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7"/>
      <c r="AA109" s="7"/>
      <c r="AB109" s="7"/>
      <c r="AC109" s="7"/>
      <c r="AD109" s="7"/>
      <c r="AE109" s="7"/>
      <c r="AF109" s="7"/>
    </row>
    <row r="110">
      <c r="A110" s="151" t="s">
        <v>895</v>
      </c>
      <c r="B110" s="151" t="s">
        <v>896</v>
      </c>
      <c r="C110" s="151" t="s">
        <v>93</v>
      </c>
      <c r="D110" s="156" t="s">
        <v>897</v>
      </c>
      <c r="E110" s="170">
        <f>+919987763360</f>
        <v>919987763360</v>
      </c>
      <c r="F110" s="170" t="s">
        <v>901</v>
      </c>
      <c r="G110" s="171" t="s">
        <v>902</v>
      </c>
      <c r="H110" s="169"/>
      <c r="I110" s="156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7"/>
      <c r="AA110" s="7"/>
      <c r="AB110" s="7"/>
      <c r="AC110" s="7"/>
      <c r="AD110" s="7"/>
      <c r="AE110" s="7"/>
      <c r="AF110" s="7"/>
    </row>
    <row r="111">
      <c r="A111" s="173" t="s">
        <v>895</v>
      </c>
      <c r="B111" s="73" t="s">
        <v>904</v>
      </c>
      <c r="C111" s="173" t="s">
        <v>905</v>
      </c>
      <c r="D111" s="174" t="s">
        <v>906</v>
      </c>
      <c r="E111" s="1"/>
      <c r="F111" s="1" t="s">
        <v>910</v>
      </c>
      <c r="G111" s="1" t="s">
        <v>911</v>
      </c>
      <c r="H111" s="1" t="s">
        <v>912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>
      <c r="A112" s="152"/>
      <c r="B112" s="175"/>
      <c r="C112" s="170"/>
      <c r="D112" s="170"/>
      <c r="E112" s="7"/>
      <c r="F112" s="175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7"/>
      <c r="AB112" s="7"/>
      <c r="AC112" s="7"/>
      <c r="AD112" s="7"/>
      <c r="AE112" s="7"/>
      <c r="AF112" s="7"/>
    </row>
    <row r="113">
      <c r="A113" s="152" t="s">
        <v>917</v>
      </c>
      <c r="B113" s="175" t="s">
        <v>918</v>
      </c>
      <c r="C113" s="170" t="s">
        <v>919</v>
      </c>
      <c r="D113" s="170"/>
      <c r="E113" s="7"/>
      <c r="F113" s="175" t="s">
        <v>920</v>
      </c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7"/>
      <c r="AB113" s="7"/>
      <c r="AC113" s="7"/>
      <c r="AD113" s="7"/>
      <c r="AE113" s="7"/>
      <c r="AF113" s="7"/>
    </row>
    <row r="114">
      <c r="A114" s="152" t="s">
        <v>917</v>
      </c>
      <c r="B114" s="175" t="s">
        <v>922</v>
      </c>
      <c r="C114" s="175" t="s">
        <v>924</v>
      </c>
      <c r="D114" s="175"/>
      <c r="E114" s="7"/>
      <c r="F114" s="175" t="s">
        <v>926</v>
      </c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7"/>
      <c r="AB114" s="7"/>
      <c r="AC114" s="7"/>
      <c r="AD114" s="7"/>
      <c r="AE114" s="7"/>
      <c r="AF114" s="7"/>
    </row>
    <row r="115">
      <c r="A115" s="151"/>
      <c r="B115" s="136" t="s">
        <v>927</v>
      </c>
      <c r="C115" s="153" t="s">
        <v>381</v>
      </c>
      <c r="D115" s="7"/>
      <c r="E115" s="176"/>
      <c r="F115" s="168" t="s">
        <v>928</v>
      </c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76"/>
      <c r="S115" s="176"/>
      <c r="T115" s="176"/>
      <c r="U115" s="176"/>
      <c r="V115" s="176"/>
      <c r="W115" s="176"/>
      <c r="X115" s="176"/>
      <c r="Y115" s="176"/>
      <c r="Z115" s="176"/>
      <c r="AA115" s="176"/>
      <c r="AB115" s="7"/>
      <c r="AC115" s="7"/>
      <c r="AD115" s="7"/>
      <c r="AE115" s="7"/>
      <c r="AF115" s="7"/>
    </row>
    <row r="116">
      <c r="A116" s="151" t="s">
        <v>932</v>
      </c>
      <c r="B116" s="152" t="s">
        <v>933</v>
      </c>
      <c r="C116" s="152" t="s">
        <v>237</v>
      </c>
      <c r="D116" s="7"/>
      <c r="E116" s="176" t="s">
        <v>934</v>
      </c>
      <c r="F116" s="177" t="s">
        <v>936</v>
      </c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76"/>
      <c r="S116" s="176"/>
      <c r="T116" s="176"/>
      <c r="U116" s="176"/>
      <c r="V116" s="176"/>
      <c r="W116" s="176"/>
      <c r="X116" s="176"/>
      <c r="Y116" s="176"/>
      <c r="Z116" s="176"/>
      <c r="AA116" s="176"/>
      <c r="AB116" s="7"/>
      <c r="AC116" s="7"/>
      <c r="AD116" s="7"/>
      <c r="AE116" s="7"/>
      <c r="AF116" s="7"/>
    </row>
    <row r="117">
      <c r="A117" s="151"/>
      <c r="B117" s="136" t="s">
        <v>940</v>
      </c>
      <c r="C117" s="153" t="s">
        <v>381</v>
      </c>
      <c r="D117" s="156"/>
      <c r="E117" s="178">
        <f>+971565782565</f>
        <v>971565782565</v>
      </c>
      <c r="F117" s="168" t="s">
        <v>942</v>
      </c>
      <c r="G117" s="7"/>
      <c r="H117" s="152"/>
      <c r="I117" s="7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7"/>
      <c r="AC117" s="7"/>
      <c r="AD117" s="7"/>
      <c r="AE117" s="7"/>
      <c r="AF117" s="7"/>
    </row>
    <row r="118">
      <c r="A118" s="151" t="s">
        <v>946</v>
      </c>
      <c r="B118" s="152" t="s">
        <v>947</v>
      </c>
      <c r="C118" s="152" t="s">
        <v>93</v>
      </c>
      <c r="D118" s="156" t="s">
        <v>948</v>
      </c>
      <c r="E118" s="152" t="s">
        <v>950</v>
      </c>
      <c r="F118" s="151" t="s">
        <v>951</v>
      </c>
      <c r="G118" s="7"/>
      <c r="H118" s="152"/>
      <c r="I118" s="7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7"/>
      <c r="AC118" s="7"/>
      <c r="AD118" s="7"/>
      <c r="AE118" s="7"/>
      <c r="AF118" s="7"/>
    </row>
    <row r="119">
      <c r="A119" s="151" t="s">
        <v>946</v>
      </c>
      <c r="B119" s="180" t="s">
        <v>952</v>
      </c>
      <c r="C119" s="152" t="s">
        <v>93</v>
      </c>
      <c r="D119" s="156" t="s">
        <v>953</v>
      </c>
      <c r="E119" s="152" t="s">
        <v>957</v>
      </c>
      <c r="F119" s="182" t="s">
        <v>958</v>
      </c>
      <c r="G119" s="7"/>
      <c r="H119" s="152"/>
      <c r="I119" s="7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7"/>
      <c r="AC119" s="7"/>
      <c r="AD119" s="7"/>
      <c r="AE119" s="7"/>
      <c r="AF119" s="7"/>
    </row>
    <row r="120">
      <c r="A120" s="152"/>
      <c r="B120" s="136" t="s">
        <v>960</v>
      </c>
      <c r="C120" s="153" t="s">
        <v>381</v>
      </c>
      <c r="D120" s="185"/>
      <c r="E120" s="152">
        <f>919986559998</f>
        <v>919986559998</v>
      </c>
      <c r="F120" s="169" t="s">
        <v>963</v>
      </c>
      <c r="G120" s="152"/>
      <c r="H120" s="152"/>
      <c r="I120" s="185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7"/>
      <c r="AC120" s="7"/>
      <c r="AD120" s="7"/>
      <c r="AE120" s="7"/>
      <c r="AF120" s="7"/>
    </row>
    <row r="121">
      <c r="A121" s="152" t="s">
        <v>965</v>
      </c>
      <c r="B121" s="152" t="s">
        <v>967</v>
      </c>
      <c r="C121" s="152" t="s">
        <v>968</v>
      </c>
      <c r="D121" s="187" t="s">
        <v>969</v>
      </c>
      <c r="E121" s="152"/>
      <c r="F121" s="152" t="s">
        <v>972</v>
      </c>
      <c r="G121" s="152"/>
      <c r="H121" s="152"/>
      <c r="I121" s="185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7"/>
      <c r="AC121" s="7"/>
      <c r="AD121" s="7"/>
      <c r="AE121" s="7"/>
      <c r="AF121" s="7"/>
    </row>
    <row r="122">
      <c r="A122" s="151"/>
      <c r="B122" s="136" t="s">
        <v>974</v>
      </c>
      <c r="C122" s="153" t="s">
        <v>381</v>
      </c>
      <c r="D122" s="188"/>
      <c r="E122" s="152"/>
      <c r="F122" s="168" t="s">
        <v>975</v>
      </c>
      <c r="G122" s="152"/>
      <c r="H122" s="152"/>
      <c r="I122" s="188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7"/>
      <c r="AC122" s="7"/>
      <c r="AD122" s="7"/>
      <c r="AE122" s="7"/>
      <c r="AF122" s="7"/>
    </row>
    <row r="123">
      <c r="A123" s="151" t="s">
        <v>978</v>
      </c>
      <c r="B123" s="152" t="s">
        <v>979</v>
      </c>
      <c r="C123" s="152" t="s">
        <v>451</v>
      </c>
      <c r="D123" s="190" t="s">
        <v>981</v>
      </c>
      <c r="E123" s="152"/>
      <c r="F123" s="151" t="s">
        <v>982</v>
      </c>
      <c r="G123" s="152"/>
      <c r="H123" s="152"/>
      <c r="I123" s="188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7"/>
      <c r="AC123" s="7"/>
      <c r="AD123" s="7"/>
      <c r="AE123" s="7"/>
      <c r="AF123" s="7"/>
    </row>
    <row r="124">
      <c r="A124" s="152"/>
      <c r="B124" s="151"/>
      <c r="C124" s="151"/>
      <c r="D124" s="188"/>
      <c r="E124" s="151"/>
      <c r="F124" s="151"/>
      <c r="G124" s="152"/>
      <c r="H124" s="152"/>
      <c r="I124" s="188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7"/>
      <c r="AC124" s="7"/>
      <c r="AD124" s="7"/>
      <c r="AE124" s="7"/>
      <c r="AF124" s="7"/>
    </row>
    <row r="125">
      <c r="A125" s="152" t="s">
        <v>53</v>
      </c>
      <c r="B125" s="151" t="s">
        <v>985</v>
      </c>
      <c r="C125" s="151" t="s">
        <v>253</v>
      </c>
      <c r="D125" s="190" t="s">
        <v>987</v>
      </c>
      <c r="E125" s="151"/>
      <c r="F125" s="151" t="s">
        <v>990</v>
      </c>
      <c r="G125" s="152" t="s">
        <v>990</v>
      </c>
      <c r="H125" s="152"/>
      <c r="I125" s="188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7"/>
      <c r="AC125" s="7"/>
      <c r="AD125" s="7"/>
      <c r="AE125" s="7"/>
      <c r="AF125" s="7"/>
    </row>
    <row r="126">
      <c r="A126" s="151" t="s">
        <v>992</v>
      </c>
      <c r="B126" s="151" t="s">
        <v>606</v>
      </c>
      <c r="C126" s="151" t="s">
        <v>253</v>
      </c>
      <c r="D126" s="156" t="s">
        <v>993</v>
      </c>
      <c r="E126" s="151"/>
      <c r="F126" s="151" t="s">
        <v>994</v>
      </c>
      <c r="G126" s="152"/>
      <c r="H126" s="152"/>
      <c r="I126" s="7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7"/>
      <c r="AC126" s="7"/>
      <c r="AD126" s="7"/>
      <c r="AE126" s="7"/>
      <c r="AF126" s="7"/>
    </row>
    <row r="127">
      <c r="A127" s="176" t="s">
        <v>999</v>
      </c>
      <c r="B127" s="176" t="s">
        <v>1000</v>
      </c>
      <c r="C127" s="193" t="s">
        <v>1001</v>
      </c>
      <c r="D127" s="195" t="s">
        <v>1003</v>
      </c>
      <c r="E127" s="176"/>
      <c r="F127" s="176" t="s">
        <v>1004</v>
      </c>
      <c r="G127" s="176" t="s">
        <v>489</v>
      </c>
      <c r="H127" s="176"/>
      <c r="I127" s="7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  <c r="AA127" s="176"/>
      <c r="AB127" s="7"/>
      <c r="AC127" s="7"/>
      <c r="AD127" s="7"/>
      <c r="AE127" s="7"/>
      <c r="AF127" s="7"/>
    </row>
    <row r="128">
      <c r="A128" s="196" t="s">
        <v>1007</v>
      </c>
      <c r="B128" s="198" t="s">
        <v>1009</v>
      </c>
      <c r="C128" s="199" t="s">
        <v>1012</v>
      </c>
      <c r="D128" s="32" t="s">
        <v>1014</v>
      </c>
      <c r="E128" s="96">
        <v>9.1974330003E11</v>
      </c>
      <c r="F128" s="96" t="s">
        <v>1015</v>
      </c>
      <c r="G128" s="96" t="s">
        <v>1016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>
      <c r="A129" s="196"/>
      <c r="B129" s="201" t="s">
        <v>1018</v>
      </c>
      <c r="C129" s="202" t="s">
        <v>1019</v>
      </c>
      <c r="D129" s="32" t="s">
        <v>1020</v>
      </c>
      <c r="E129" s="61"/>
      <c r="F129" s="96" t="s">
        <v>1023</v>
      </c>
      <c r="G129" s="96" t="s">
        <v>1025</v>
      </c>
      <c r="H129" s="1" t="s">
        <v>1026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>
      <c r="A130" s="203" t="s">
        <v>1028</v>
      </c>
      <c r="B130" s="203" t="s">
        <v>1029</v>
      </c>
      <c r="C130" s="204" t="s">
        <v>253</v>
      </c>
      <c r="D130" s="203"/>
      <c r="E130" s="176"/>
      <c r="F130" s="203" t="s">
        <v>1030</v>
      </c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  <c r="AA130" s="176"/>
      <c r="AB130" s="7"/>
      <c r="AC130" s="7"/>
      <c r="AD130" s="7"/>
      <c r="AE130" s="7"/>
      <c r="AF130" s="7"/>
    </row>
    <row r="131">
      <c r="A131" s="204"/>
      <c r="B131" s="136" t="s">
        <v>1034</v>
      </c>
      <c r="C131" s="153" t="s">
        <v>381</v>
      </c>
      <c r="D131" s="176"/>
      <c r="E131" s="177">
        <v>9.19845903825E11</v>
      </c>
      <c r="F131" s="177" t="s">
        <v>1036</v>
      </c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  <c r="AA131" s="176"/>
      <c r="AB131" s="152"/>
      <c r="AC131" s="152"/>
      <c r="AD131" s="152"/>
      <c r="AE131" s="152"/>
      <c r="AF131" s="152"/>
    </row>
    <row r="132">
      <c r="A132" s="204" t="s">
        <v>560</v>
      </c>
      <c r="B132" s="176" t="s">
        <v>561</v>
      </c>
      <c r="C132" s="204" t="s">
        <v>253</v>
      </c>
      <c r="D132" s="176"/>
      <c r="E132" s="176"/>
      <c r="F132" s="176" t="s">
        <v>563</v>
      </c>
      <c r="G132" s="176">
        <v>9.810098197E9</v>
      </c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  <c r="AA132" s="176"/>
      <c r="AB132" s="152"/>
      <c r="AC132" s="152"/>
      <c r="AD132" s="152"/>
      <c r="AE132" s="152"/>
      <c r="AF132" s="152"/>
    </row>
    <row r="133">
      <c r="A133" s="176" t="s">
        <v>1041</v>
      </c>
      <c r="B133" s="203" t="s">
        <v>1042</v>
      </c>
      <c r="C133" s="204" t="s">
        <v>253</v>
      </c>
      <c r="D133" s="195" t="s">
        <v>1043</v>
      </c>
      <c r="E133" s="176"/>
      <c r="F133" s="203" t="s">
        <v>1047</v>
      </c>
      <c r="G133" s="176"/>
      <c r="H133" s="195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  <c r="AA133" s="176"/>
      <c r="AB133" s="152"/>
      <c r="AC133" s="152"/>
      <c r="AD133" s="152"/>
      <c r="AE133" s="152"/>
      <c r="AF133" s="152"/>
    </row>
    <row r="134">
      <c r="A134" s="176" t="s">
        <v>1041</v>
      </c>
      <c r="B134" s="203" t="s">
        <v>922</v>
      </c>
      <c r="C134" s="204" t="s">
        <v>253</v>
      </c>
      <c r="D134" s="195" t="s">
        <v>1049</v>
      </c>
      <c r="E134" s="176"/>
      <c r="F134" s="176" t="s">
        <v>1051</v>
      </c>
      <c r="G134" s="176"/>
      <c r="H134" s="195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  <c r="AA134" s="176"/>
      <c r="AB134" s="152"/>
      <c r="AC134" s="152"/>
      <c r="AD134" s="152"/>
      <c r="AE134" s="152"/>
      <c r="AF134" s="152"/>
    </row>
    <row r="135">
      <c r="A135" s="176" t="s">
        <v>1041</v>
      </c>
      <c r="B135" s="203" t="s">
        <v>1054</v>
      </c>
      <c r="C135" s="204" t="s">
        <v>253</v>
      </c>
      <c r="D135" s="195" t="s">
        <v>1055</v>
      </c>
      <c r="E135" s="176"/>
      <c r="F135" s="203" t="s">
        <v>1056</v>
      </c>
      <c r="G135" s="176"/>
      <c r="H135" s="195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  <c r="AA135" s="176"/>
      <c r="AB135" s="152"/>
      <c r="AC135" s="152"/>
      <c r="AD135" s="152"/>
      <c r="AE135" s="152"/>
      <c r="AF135" s="152"/>
    </row>
    <row r="136">
      <c r="A136" s="176" t="s">
        <v>1041</v>
      </c>
      <c r="B136" s="203" t="s">
        <v>918</v>
      </c>
      <c r="C136" s="204" t="s">
        <v>253</v>
      </c>
      <c r="D136" s="195" t="s">
        <v>1060</v>
      </c>
      <c r="E136" s="176"/>
      <c r="F136" s="176" t="s">
        <v>1062</v>
      </c>
      <c r="G136" s="176"/>
      <c r="H136" s="195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  <c r="AA136" s="176"/>
      <c r="AB136" s="152"/>
      <c r="AC136" s="152"/>
      <c r="AD136" s="152"/>
      <c r="AE136" s="152"/>
      <c r="AF136" s="152"/>
    </row>
    <row r="137">
      <c r="A137" s="176" t="s">
        <v>1041</v>
      </c>
      <c r="B137" s="176" t="s">
        <v>1063</v>
      </c>
      <c r="C137" s="204" t="s">
        <v>253</v>
      </c>
      <c r="D137" s="195" t="s">
        <v>1064</v>
      </c>
      <c r="E137" s="176"/>
      <c r="F137" s="176" t="s">
        <v>1067</v>
      </c>
      <c r="G137" s="176"/>
      <c r="H137" s="195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  <c r="AA137" s="176"/>
      <c r="AB137" s="152"/>
      <c r="AC137" s="152"/>
      <c r="AD137" s="152"/>
      <c r="AE137" s="152"/>
      <c r="AF137" s="152"/>
    </row>
    <row r="138">
      <c r="A138" s="176"/>
      <c r="B138" s="203"/>
      <c r="C138" s="204"/>
      <c r="D138" s="195"/>
      <c r="E138" s="7"/>
      <c r="F138" s="176"/>
      <c r="G138" s="176"/>
      <c r="H138" s="176"/>
      <c r="I138" s="195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  <c r="AA138" s="176"/>
      <c r="AB138" s="152"/>
      <c r="AC138" s="152"/>
      <c r="AD138" s="152"/>
      <c r="AE138" s="152"/>
      <c r="AF138" s="152"/>
    </row>
    <row r="139">
      <c r="A139" s="176" t="s">
        <v>1072</v>
      </c>
      <c r="B139" s="203" t="s">
        <v>1073</v>
      </c>
      <c r="C139" s="204" t="s">
        <v>253</v>
      </c>
      <c r="D139" s="195" t="s">
        <v>1074</v>
      </c>
      <c r="E139" s="7"/>
      <c r="F139" s="176" t="s">
        <v>1076</v>
      </c>
      <c r="G139" s="176"/>
      <c r="H139" s="176"/>
      <c r="I139" s="195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  <c r="AA139" s="176"/>
      <c r="AB139" s="152"/>
      <c r="AC139" s="152"/>
      <c r="AD139" s="152"/>
      <c r="AE139" s="152"/>
      <c r="AF139" s="152"/>
    </row>
    <row r="140">
      <c r="A140" s="176"/>
      <c r="B140" s="203"/>
      <c r="C140" s="204"/>
      <c r="D140" s="176"/>
      <c r="E140" s="7"/>
      <c r="F140" s="203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  <c r="AA140" s="176"/>
      <c r="AB140" s="152"/>
      <c r="AC140" s="152"/>
      <c r="AD140" s="152"/>
      <c r="AE140" s="152"/>
      <c r="AF140" s="152"/>
    </row>
    <row r="141">
      <c r="A141" s="176" t="s">
        <v>1080</v>
      </c>
      <c r="B141" s="203" t="s">
        <v>1081</v>
      </c>
      <c r="C141" s="204" t="s">
        <v>253</v>
      </c>
      <c r="D141" s="176"/>
      <c r="E141" s="7"/>
      <c r="F141" s="203" t="s">
        <v>1082</v>
      </c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  <c r="AA141" s="176"/>
      <c r="AB141" s="152"/>
      <c r="AC141" s="152"/>
      <c r="AD141" s="152"/>
      <c r="AE141" s="152"/>
      <c r="AF141" s="152"/>
    </row>
    <row r="142">
      <c r="A142" s="176"/>
      <c r="B142" s="203" t="s">
        <v>1086</v>
      </c>
      <c r="C142" s="204" t="s">
        <v>253</v>
      </c>
      <c r="D142" s="195" t="s">
        <v>1087</v>
      </c>
      <c r="E142" s="7"/>
      <c r="F142" s="176" t="s">
        <v>1088</v>
      </c>
      <c r="G142" s="176">
        <v>9.890949513E9</v>
      </c>
      <c r="H142" s="176"/>
      <c r="I142" s="195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  <c r="AA142" s="176"/>
      <c r="AB142" s="152"/>
      <c r="AC142" s="152"/>
      <c r="AD142" s="152"/>
      <c r="AE142" s="152"/>
      <c r="AF142" s="152"/>
    </row>
    <row r="143">
      <c r="A143" s="176" t="s">
        <v>1090</v>
      </c>
      <c r="B143" s="203" t="s">
        <v>1091</v>
      </c>
      <c r="C143" s="204" t="s">
        <v>253</v>
      </c>
      <c r="D143" s="176"/>
      <c r="E143" s="7"/>
      <c r="F143" s="176" t="s">
        <v>1092</v>
      </c>
      <c r="G143" s="195" t="s">
        <v>1093</v>
      </c>
      <c r="H143" s="195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  <c r="AA143" s="176"/>
      <c r="AB143" s="152"/>
      <c r="AC143" s="152"/>
      <c r="AD143" s="152"/>
      <c r="AE143" s="152"/>
      <c r="AF143" s="152"/>
    </row>
    <row r="144">
      <c r="A144" s="176"/>
      <c r="B144" s="203"/>
      <c r="C144" s="204"/>
      <c r="D144" s="195"/>
      <c r="E144" s="7"/>
      <c r="F144" s="176"/>
      <c r="G144" s="176"/>
      <c r="H144" s="176"/>
      <c r="I144" s="195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  <c r="AA144" s="176"/>
      <c r="AB144" s="152"/>
      <c r="AC144" s="152"/>
      <c r="AD144" s="152"/>
      <c r="AE144" s="152"/>
      <c r="AF144" s="152"/>
    </row>
    <row r="145">
      <c r="A145" s="176" t="s">
        <v>1097</v>
      </c>
      <c r="B145" s="203" t="s">
        <v>1098</v>
      </c>
      <c r="C145" s="204" t="s">
        <v>253</v>
      </c>
      <c r="D145" s="195" t="s">
        <v>1100</v>
      </c>
      <c r="E145" s="7"/>
      <c r="F145" s="176" t="s">
        <v>1101</v>
      </c>
      <c r="G145" s="176"/>
      <c r="H145" s="176"/>
      <c r="I145" s="195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  <c r="AA145" s="176"/>
      <c r="AB145" s="152"/>
      <c r="AC145" s="152"/>
      <c r="AD145" s="152"/>
      <c r="AE145" s="152"/>
      <c r="AF145" s="152"/>
    </row>
    <row r="146">
      <c r="A146" s="204"/>
      <c r="B146" s="209"/>
      <c r="C146" s="204"/>
      <c r="D146" s="176"/>
      <c r="E146" s="7"/>
      <c r="F146" s="176"/>
      <c r="G146" s="176"/>
      <c r="H146" s="176"/>
      <c r="I146" s="176"/>
      <c r="J146" s="176"/>
      <c r="K146" s="204"/>
      <c r="L146" s="204"/>
      <c r="M146" s="204"/>
      <c r="N146" s="204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  <c r="AA146" s="176"/>
      <c r="AB146" s="152"/>
      <c r="AC146" s="152"/>
      <c r="AD146" s="152"/>
      <c r="AE146" s="152"/>
      <c r="AF146" s="152"/>
    </row>
    <row r="147">
      <c r="A147" s="204" t="s">
        <v>1107</v>
      </c>
      <c r="B147" s="209" t="s">
        <v>1108</v>
      </c>
      <c r="C147" s="204" t="s">
        <v>253</v>
      </c>
      <c r="D147" s="176"/>
      <c r="E147" s="7"/>
      <c r="F147" s="176" t="s">
        <v>1109</v>
      </c>
      <c r="G147" s="176"/>
      <c r="H147" s="176"/>
      <c r="I147" s="176"/>
      <c r="J147" s="176"/>
      <c r="K147" s="204"/>
      <c r="L147" s="204"/>
      <c r="M147" s="204"/>
      <c r="N147" s="204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  <c r="AA147" s="176"/>
      <c r="AB147" s="152"/>
      <c r="AC147" s="152"/>
      <c r="AD147" s="152"/>
      <c r="AE147" s="152"/>
      <c r="AF147" s="152"/>
    </row>
    <row r="148">
      <c r="A148" s="176"/>
      <c r="B148" s="203"/>
      <c r="C148" s="204"/>
      <c r="D148" s="195"/>
      <c r="E148" s="7"/>
      <c r="F148" s="176"/>
      <c r="G148" s="176"/>
      <c r="H148" s="176"/>
      <c r="I148" s="195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  <c r="AA148" s="176"/>
      <c r="AB148" s="152"/>
      <c r="AC148" s="152"/>
      <c r="AD148" s="152"/>
      <c r="AE148" s="152"/>
      <c r="AF148" s="152"/>
    </row>
    <row r="149">
      <c r="A149" s="176" t="s">
        <v>1111</v>
      </c>
      <c r="B149" s="203" t="s">
        <v>1112</v>
      </c>
      <c r="C149" s="204" t="s">
        <v>253</v>
      </c>
      <c r="D149" s="195" t="s">
        <v>1113</v>
      </c>
      <c r="E149" s="7"/>
      <c r="F149" s="176" t="s">
        <v>1115</v>
      </c>
      <c r="G149" s="176"/>
      <c r="H149" s="176"/>
      <c r="I149" s="195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  <c r="AA149" s="176"/>
      <c r="AB149" s="152"/>
      <c r="AC149" s="152"/>
      <c r="AD149" s="152"/>
      <c r="AE149" s="152"/>
      <c r="AF149" s="152"/>
    </row>
    <row r="150">
      <c r="A150" s="176" t="s">
        <v>1111</v>
      </c>
      <c r="B150" s="176" t="s">
        <v>1118</v>
      </c>
      <c r="C150" s="204" t="s">
        <v>253</v>
      </c>
      <c r="D150" s="195" t="s">
        <v>1120</v>
      </c>
      <c r="E150" s="7"/>
      <c r="F150" s="176" t="s">
        <v>1121</v>
      </c>
      <c r="G150" s="176"/>
      <c r="H150" s="176"/>
      <c r="I150" s="195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  <c r="AA150" s="176"/>
      <c r="AB150" s="152"/>
      <c r="AC150" s="152"/>
      <c r="AD150" s="152"/>
      <c r="AE150" s="152"/>
      <c r="AF150" s="152"/>
    </row>
    <row r="151">
      <c r="A151" s="176" t="s">
        <v>1111</v>
      </c>
      <c r="B151" s="203" t="s">
        <v>1125</v>
      </c>
      <c r="C151" s="204" t="s">
        <v>253</v>
      </c>
      <c r="D151" s="195" t="s">
        <v>1126</v>
      </c>
      <c r="E151" s="7"/>
      <c r="F151" s="176" t="s">
        <v>1128</v>
      </c>
      <c r="G151" s="176"/>
      <c r="H151" s="176"/>
      <c r="I151" s="195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  <c r="AA151" s="176"/>
      <c r="AB151" s="152"/>
      <c r="AC151" s="152"/>
      <c r="AD151" s="152"/>
      <c r="AE151" s="152"/>
      <c r="AF151" s="152"/>
    </row>
    <row r="152">
      <c r="A152" s="176"/>
      <c r="B152" s="203"/>
      <c r="C152" s="204"/>
      <c r="D152" s="195"/>
      <c r="E152" s="7"/>
      <c r="F152" s="203"/>
      <c r="G152" s="176"/>
      <c r="H152" s="176"/>
      <c r="I152" s="195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  <c r="AA152" s="176"/>
      <c r="AB152" s="152"/>
      <c r="AC152" s="152"/>
      <c r="AD152" s="152"/>
      <c r="AE152" s="152"/>
      <c r="AF152" s="152"/>
    </row>
    <row r="153">
      <c r="A153" s="176" t="s">
        <v>1132</v>
      </c>
      <c r="B153" s="203" t="s">
        <v>1133</v>
      </c>
      <c r="C153" s="204" t="s">
        <v>253</v>
      </c>
      <c r="D153" s="195" t="s">
        <v>1134</v>
      </c>
      <c r="E153" s="7"/>
      <c r="F153" s="203" t="s">
        <v>1136</v>
      </c>
      <c r="G153" s="176"/>
      <c r="H153" s="176"/>
      <c r="I153" s="195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  <c r="AA153" s="176"/>
      <c r="AB153" s="152"/>
      <c r="AC153" s="152"/>
      <c r="AD153" s="152"/>
      <c r="AE153" s="152"/>
      <c r="AF153" s="152"/>
    </row>
    <row r="154">
      <c r="A154" s="176" t="s">
        <v>1132</v>
      </c>
      <c r="B154" s="176" t="s">
        <v>1139</v>
      </c>
      <c r="C154" s="204" t="s">
        <v>253</v>
      </c>
      <c r="D154" s="195" t="s">
        <v>1141</v>
      </c>
      <c r="E154" s="7"/>
      <c r="F154" s="176" t="s">
        <v>1143</v>
      </c>
      <c r="G154" s="176"/>
      <c r="H154" s="176"/>
      <c r="I154" s="195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  <c r="AA154" s="176"/>
      <c r="AB154" s="152"/>
      <c r="AC154" s="152"/>
      <c r="AD154" s="152"/>
      <c r="AE154" s="152"/>
      <c r="AF154" s="152"/>
    </row>
    <row r="155">
      <c r="A155" s="176"/>
      <c r="B155" s="203"/>
      <c r="C155" s="204"/>
      <c r="D155" s="195"/>
      <c r="E155" s="7"/>
      <c r="F155" s="203"/>
      <c r="G155" s="176"/>
      <c r="H155" s="176"/>
      <c r="I155" s="195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  <c r="AA155" s="176"/>
      <c r="AB155" s="152"/>
      <c r="AC155" s="152"/>
      <c r="AD155" s="152"/>
      <c r="AE155" s="152"/>
      <c r="AF155" s="152"/>
    </row>
    <row r="156">
      <c r="A156" s="176" t="s">
        <v>1148</v>
      </c>
      <c r="B156" s="203" t="s">
        <v>1149</v>
      </c>
      <c r="C156" s="204" t="s">
        <v>253</v>
      </c>
      <c r="D156" s="195" t="s">
        <v>1150</v>
      </c>
      <c r="E156" s="7"/>
      <c r="F156" s="203" t="s">
        <v>1152</v>
      </c>
      <c r="G156" s="176"/>
      <c r="H156" s="176"/>
      <c r="I156" s="195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  <c r="AA156" s="176"/>
      <c r="AB156" s="152"/>
      <c r="AC156" s="152"/>
      <c r="AD156" s="152"/>
      <c r="AE156" s="152"/>
      <c r="AF156" s="152"/>
    </row>
    <row r="157">
      <c r="A157" s="176" t="s">
        <v>1148</v>
      </c>
      <c r="B157" s="203" t="s">
        <v>1155</v>
      </c>
      <c r="C157" s="204" t="s">
        <v>253</v>
      </c>
      <c r="D157" s="213" t="s">
        <v>1156</v>
      </c>
      <c r="E157" s="7"/>
      <c r="F157" s="176" t="s">
        <v>1157</v>
      </c>
      <c r="G157" s="176"/>
      <c r="H157" s="176"/>
      <c r="I157" s="214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  <c r="AA157" s="176"/>
      <c r="AB157" s="152"/>
      <c r="AC157" s="152"/>
      <c r="AD157" s="152"/>
      <c r="AE157" s="152"/>
      <c r="AF157" s="152"/>
    </row>
    <row r="158">
      <c r="A158" s="176" t="s">
        <v>1148</v>
      </c>
      <c r="B158" s="203" t="s">
        <v>1161</v>
      </c>
      <c r="C158" s="204" t="s">
        <v>253</v>
      </c>
      <c r="D158" s="176"/>
      <c r="E158" s="7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  <c r="AA158" s="176"/>
      <c r="AB158" s="152"/>
      <c r="AC158" s="152"/>
      <c r="AD158" s="152"/>
      <c r="AE158" s="152"/>
      <c r="AF158" s="152"/>
    </row>
    <row r="159">
      <c r="A159" s="176"/>
      <c r="B159" s="176"/>
      <c r="C159" s="204"/>
      <c r="D159" s="176"/>
      <c r="E159" s="7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  <c r="AA159" s="176"/>
      <c r="AB159" s="152"/>
      <c r="AC159" s="152"/>
      <c r="AD159" s="152"/>
      <c r="AE159" s="152"/>
      <c r="AF159" s="152"/>
    </row>
    <row r="160">
      <c r="A160" s="176" t="s">
        <v>1166</v>
      </c>
      <c r="B160" s="176" t="s">
        <v>1167</v>
      </c>
      <c r="C160" s="204" t="s">
        <v>253</v>
      </c>
      <c r="D160" s="176"/>
      <c r="E160" s="7"/>
      <c r="F160" s="176" t="s">
        <v>1168</v>
      </c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  <c r="AA160" s="176"/>
      <c r="AB160" s="152"/>
      <c r="AC160" s="152"/>
      <c r="AD160" s="152"/>
      <c r="AE160" s="152"/>
      <c r="AF160" s="152"/>
    </row>
    <row r="161">
      <c r="A161" s="209"/>
      <c r="B161" s="203"/>
      <c r="C161" s="204"/>
      <c r="D161" s="176"/>
      <c r="E161" s="7"/>
      <c r="F161" s="203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  <c r="AA161" s="176"/>
      <c r="AB161" s="152"/>
      <c r="AC161" s="152"/>
      <c r="AD161" s="152"/>
      <c r="AE161" s="152"/>
      <c r="AF161" s="152"/>
    </row>
    <row r="162">
      <c r="A162" s="209" t="s">
        <v>1172</v>
      </c>
      <c r="B162" s="203" t="s">
        <v>1173</v>
      </c>
      <c r="C162" s="204" t="s">
        <v>253</v>
      </c>
      <c r="D162" s="176"/>
      <c r="E162" s="7"/>
      <c r="F162" s="203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  <c r="AA162" s="176"/>
      <c r="AB162" s="152"/>
      <c r="AC162" s="152"/>
      <c r="AD162" s="152"/>
      <c r="AE162" s="152"/>
      <c r="AF162" s="152"/>
    </row>
    <row r="163">
      <c r="A163" s="209" t="s">
        <v>1172</v>
      </c>
      <c r="B163" s="203" t="s">
        <v>1176</v>
      </c>
      <c r="C163" s="204" t="s">
        <v>253</v>
      </c>
      <c r="D163" s="176"/>
      <c r="E163" s="7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  <c r="AA163" s="176"/>
      <c r="AB163" s="152"/>
      <c r="AC163" s="152"/>
      <c r="AD163" s="152"/>
      <c r="AE163" s="152"/>
      <c r="AF163" s="152"/>
    </row>
    <row r="164">
      <c r="A164" s="204" t="s">
        <v>1172</v>
      </c>
      <c r="B164" s="204" t="s">
        <v>1178</v>
      </c>
      <c r="C164" s="204" t="s">
        <v>253</v>
      </c>
      <c r="D164" s="176"/>
      <c r="E164" s="7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  <c r="AA164" s="176"/>
      <c r="AB164" s="152"/>
      <c r="AC164" s="152"/>
      <c r="AD164" s="152"/>
      <c r="AE164" s="152"/>
      <c r="AF164" s="152"/>
    </row>
    <row r="165">
      <c r="A165" s="176"/>
      <c r="B165" s="203"/>
      <c r="C165" s="204"/>
      <c r="D165" s="195"/>
      <c r="E165" s="7"/>
      <c r="F165" s="176"/>
      <c r="G165" s="176"/>
      <c r="H165" s="176"/>
      <c r="I165" s="195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  <c r="AA165" s="176"/>
      <c r="AB165" s="152"/>
      <c r="AC165" s="152"/>
      <c r="AD165" s="152"/>
      <c r="AE165" s="152"/>
      <c r="AF165" s="152"/>
    </row>
    <row r="166">
      <c r="A166" s="176" t="s">
        <v>1182</v>
      </c>
      <c r="B166" s="203" t="s">
        <v>1183</v>
      </c>
      <c r="C166" s="204" t="s">
        <v>253</v>
      </c>
      <c r="D166" s="195" t="s">
        <v>1184</v>
      </c>
      <c r="E166" s="7"/>
      <c r="F166" s="176" t="s">
        <v>1186</v>
      </c>
      <c r="G166" s="176"/>
      <c r="H166" s="176"/>
      <c r="I166" s="195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  <c r="AA166" s="176"/>
      <c r="AB166" s="152"/>
      <c r="AC166" s="152"/>
      <c r="AD166" s="152"/>
      <c r="AE166" s="152"/>
      <c r="AF166" s="152"/>
    </row>
    <row r="167">
      <c r="A167" s="176" t="s">
        <v>1190</v>
      </c>
      <c r="B167" s="203" t="s">
        <v>1183</v>
      </c>
      <c r="C167" s="204" t="s">
        <v>253</v>
      </c>
      <c r="D167" s="176"/>
      <c r="E167" s="7"/>
      <c r="F167" s="218" t="s">
        <v>1191</v>
      </c>
      <c r="G167" s="176"/>
      <c r="H167" s="195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  <c r="AA167" s="176"/>
      <c r="AB167" s="152"/>
      <c r="AC167" s="152"/>
      <c r="AD167" s="152"/>
      <c r="AE167" s="152"/>
      <c r="AF167" s="152"/>
    </row>
    <row r="168">
      <c r="A168" s="176"/>
      <c r="B168" s="203"/>
      <c r="C168" s="204"/>
      <c r="D168" s="176"/>
      <c r="E168" s="7"/>
      <c r="F168" s="176"/>
      <c r="G168" s="176"/>
      <c r="H168" s="195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  <c r="AA168" s="176"/>
      <c r="AB168" s="152"/>
      <c r="AC168" s="152"/>
      <c r="AD168" s="152"/>
      <c r="AE168" s="152"/>
      <c r="AF168" s="152"/>
    </row>
    <row r="169">
      <c r="A169" s="176" t="s">
        <v>132</v>
      </c>
      <c r="B169" s="203" t="s">
        <v>1207</v>
      </c>
      <c r="C169" s="204" t="s">
        <v>253</v>
      </c>
      <c r="D169" s="176"/>
      <c r="E169" s="7"/>
      <c r="F169" s="176" t="s">
        <v>156</v>
      </c>
      <c r="G169" s="176"/>
      <c r="H169" s="195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  <c r="AA169" s="176"/>
      <c r="AB169" s="152"/>
      <c r="AC169" s="152"/>
      <c r="AD169" s="152"/>
      <c r="AE169" s="152"/>
      <c r="AF169" s="152"/>
    </row>
    <row r="170">
      <c r="A170" s="176" t="s">
        <v>132</v>
      </c>
      <c r="B170" s="203" t="s">
        <v>133</v>
      </c>
      <c r="C170" s="204" t="s">
        <v>253</v>
      </c>
      <c r="D170" s="195" t="s">
        <v>135</v>
      </c>
      <c r="E170" s="7"/>
      <c r="F170" s="176" t="s">
        <v>134</v>
      </c>
      <c r="G170" s="176">
        <v>9.811144892E9</v>
      </c>
      <c r="H170" s="176"/>
      <c r="I170" s="195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52"/>
      <c r="AC170" s="152"/>
      <c r="AD170" s="152"/>
      <c r="AE170" s="152"/>
      <c r="AF170" s="152"/>
    </row>
    <row r="171">
      <c r="A171" s="176" t="s">
        <v>132</v>
      </c>
      <c r="B171" s="203" t="s">
        <v>140</v>
      </c>
      <c r="C171" s="204" t="s">
        <v>253</v>
      </c>
      <c r="D171" s="195" t="s">
        <v>141</v>
      </c>
      <c r="E171" s="7"/>
      <c r="F171" s="203" t="s">
        <v>93</v>
      </c>
      <c r="G171" s="176">
        <v>2.051736149E9</v>
      </c>
      <c r="H171" s="176"/>
      <c r="I171" s="195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52"/>
      <c r="AC171" s="152"/>
      <c r="AD171" s="152"/>
      <c r="AE171" s="152"/>
      <c r="AF171" s="152"/>
    </row>
    <row r="172">
      <c r="A172" s="204"/>
      <c r="B172" s="204"/>
      <c r="C172" s="204"/>
      <c r="D172" s="176"/>
      <c r="E172" s="7"/>
      <c r="F172" s="176"/>
      <c r="G172" s="176"/>
      <c r="H172" s="176"/>
      <c r="I172" s="176"/>
      <c r="J172" s="176"/>
      <c r="K172" s="177"/>
      <c r="L172" s="204"/>
      <c r="M172" s="204"/>
      <c r="N172" s="204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52"/>
      <c r="AC172" s="152"/>
      <c r="AD172" s="152"/>
      <c r="AE172" s="152"/>
      <c r="AF172" s="152"/>
    </row>
    <row r="173">
      <c r="A173" s="204" t="s">
        <v>1222</v>
      </c>
      <c r="B173" s="204" t="s">
        <v>1223</v>
      </c>
      <c r="C173" s="204" t="s">
        <v>253</v>
      </c>
      <c r="D173" s="176"/>
      <c r="E173" s="7"/>
      <c r="F173" s="176"/>
      <c r="G173" s="176"/>
      <c r="H173" s="176"/>
      <c r="I173" s="176"/>
      <c r="J173" s="176"/>
      <c r="K173" s="177"/>
      <c r="L173" s="204"/>
      <c r="M173" s="204"/>
      <c r="N173" s="204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52"/>
      <c r="AC173" s="152"/>
      <c r="AD173" s="152"/>
      <c r="AE173" s="152"/>
      <c r="AF173" s="152"/>
    </row>
    <row r="174">
      <c r="A174" s="204"/>
      <c r="B174" s="209"/>
      <c r="C174" s="204"/>
      <c r="D174" s="176"/>
      <c r="E174" s="7"/>
      <c r="F174" s="176"/>
      <c r="G174" s="176"/>
      <c r="H174" s="176"/>
      <c r="I174" s="176"/>
      <c r="J174" s="176"/>
      <c r="K174" s="204"/>
      <c r="L174" s="204"/>
      <c r="M174" s="204"/>
      <c r="N174" s="204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  <c r="AA174" s="176"/>
      <c r="AB174" s="152"/>
      <c r="AC174" s="152"/>
      <c r="AD174" s="152"/>
      <c r="AE174" s="152"/>
      <c r="AF174" s="152"/>
    </row>
    <row r="175">
      <c r="A175" s="204" t="s">
        <v>1231</v>
      </c>
      <c r="B175" s="209" t="s">
        <v>1232</v>
      </c>
      <c r="C175" s="204" t="s">
        <v>253</v>
      </c>
      <c r="D175" s="176"/>
      <c r="E175" s="7"/>
      <c r="F175" s="176" t="s">
        <v>1234</v>
      </c>
      <c r="G175" s="176"/>
      <c r="H175" s="176"/>
      <c r="I175" s="176"/>
      <c r="J175" s="176"/>
      <c r="K175" s="204"/>
      <c r="L175" s="204"/>
      <c r="M175" s="204"/>
      <c r="N175" s="204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  <c r="AA175" s="176"/>
      <c r="AB175" s="152"/>
      <c r="AC175" s="152"/>
      <c r="AD175" s="152"/>
      <c r="AE175" s="152"/>
      <c r="AF175" s="152"/>
    </row>
    <row r="176">
      <c r="A176" s="176"/>
      <c r="B176" s="203"/>
      <c r="C176" s="204"/>
      <c r="D176" s="195"/>
      <c r="E176" s="7"/>
      <c r="F176" s="176"/>
      <c r="G176" s="176"/>
      <c r="H176" s="176"/>
      <c r="I176" s="195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  <c r="AA176" s="176"/>
      <c r="AB176" s="152"/>
      <c r="AC176" s="152"/>
      <c r="AD176" s="152"/>
      <c r="AE176" s="152"/>
      <c r="AF176" s="152"/>
    </row>
    <row r="177">
      <c r="A177" s="176" t="s">
        <v>1243</v>
      </c>
      <c r="B177" s="203" t="s">
        <v>1244</v>
      </c>
      <c r="C177" s="204" t="s">
        <v>253</v>
      </c>
      <c r="D177" s="195" t="s">
        <v>1245</v>
      </c>
      <c r="E177" s="7"/>
      <c r="F177" s="176" t="s">
        <v>1246</v>
      </c>
      <c r="G177" s="176"/>
      <c r="H177" s="176"/>
      <c r="I177" s="195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  <c r="AA177" s="176"/>
      <c r="AB177" s="152"/>
      <c r="AC177" s="152"/>
      <c r="AD177" s="152"/>
      <c r="AE177" s="152"/>
      <c r="AF177" s="152"/>
    </row>
    <row r="178">
      <c r="A178" s="176" t="s">
        <v>1243</v>
      </c>
      <c r="B178" s="203" t="s">
        <v>1250</v>
      </c>
      <c r="C178" s="204" t="s">
        <v>253</v>
      </c>
      <c r="D178" s="195" t="s">
        <v>1252</v>
      </c>
      <c r="E178" s="7"/>
      <c r="F178" s="176" t="s">
        <v>1256</v>
      </c>
      <c r="G178" s="176"/>
      <c r="H178" s="176"/>
      <c r="I178" s="195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  <c r="AA178" s="176"/>
      <c r="AB178" s="152"/>
      <c r="AC178" s="152"/>
      <c r="AD178" s="152"/>
      <c r="AE178" s="152"/>
      <c r="AF178" s="152"/>
    </row>
    <row r="179">
      <c r="A179" s="204"/>
      <c r="B179" s="204"/>
      <c r="C179" s="204"/>
      <c r="D179" s="176"/>
      <c r="E179" s="7"/>
      <c r="F179" s="176"/>
      <c r="G179" s="176"/>
      <c r="H179" s="176"/>
      <c r="I179" s="176"/>
      <c r="J179" s="204"/>
      <c r="K179" s="204"/>
      <c r="L179" s="204"/>
      <c r="M179" s="204"/>
      <c r="N179" s="204"/>
      <c r="O179" s="176"/>
      <c r="P179" s="176"/>
      <c r="Q179" s="176"/>
      <c r="R179" s="176"/>
      <c r="S179" s="204"/>
      <c r="T179" s="176"/>
      <c r="U179" s="176"/>
      <c r="V179" s="176"/>
      <c r="W179" s="176"/>
      <c r="X179" s="176"/>
      <c r="Y179" s="176"/>
      <c r="Z179" s="176"/>
      <c r="AA179" s="176"/>
      <c r="AB179" s="152"/>
      <c r="AC179" s="152"/>
      <c r="AD179" s="152"/>
      <c r="AE179" s="152"/>
      <c r="AF179" s="152"/>
    </row>
    <row r="180">
      <c r="A180" s="204" t="s">
        <v>1265</v>
      </c>
      <c r="B180" s="204" t="s">
        <v>1266</v>
      </c>
      <c r="C180" s="204" t="s">
        <v>253</v>
      </c>
      <c r="D180" s="176"/>
      <c r="E180" s="7"/>
      <c r="F180" s="176"/>
      <c r="G180" s="176"/>
      <c r="H180" s="176"/>
      <c r="I180" s="176"/>
      <c r="J180" s="204"/>
      <c r="K180" s="204"/>
      <c r="L180" s="204"/>
      <c r="M180" s="204"/>
      <c r="N180" s="204"/>
      <c r="O180" s="176"/>
      <c r="P180" s="176"/>
      <c r="Q180" s="176"/>
      <c r="R180" s="176"/>
      <c r="S180" s="204"/>
      <c r="T180" s="176"/>
      <c r="U180" s="176"/>
      <c r="V180" s="176"/>
      <c r="W180" s="176"/>
      <c r="X180" s="176"/>
      <c r="Y180" s="176"/>
      <c r="Z180" s="176"/>
      <c r="AA180" s="176"/>
      <c r="AB180" s="152"/>
      <c r="AC180" s="152"/>
      <c r="AD180" s="152"/>
      <c r="AE180" s="152"/>
      <c r="AF180" s="152"/>
    </row>
    <row r="181">
      <c r="A181" s="226"/>
      <c r="B181" s="227"/>
      <c r="C181" s="204"/>
      <c r="D181" s="228"/>
      <c r="E181" s="7"/>
      <c r="F181" s="226"/>
      <c r="G181" s="226"/>
      <c r="H181" s="176"/>
      <c r="I181" s="228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  <c r="AA181" s="176"/>
      <c r="AB181" s="152"/>
      <c r="AC181" s="152"/>
      <c r="AD181" s="152"/>
      <c r="AE181" s="152"/>
      <c r="AF181" s="152"/>
    </row>
    <row r="182">
      <c r="A182" s="226" t="s">
        <v>1275</v>
      </c>
      <c r="B182" s="227" t="s">
        <v>1276</v>
      </c>
      <c r="C182" s="204" t="s">
        <v>253</v>
      </c>
      <c r="D182" s="228" t="s">
        <v>1277</v>
      </c>
      <c r="E182" s="7"/>
      <c r="F182" s="226" t="s">
        <v>1283</v>
      </c>
      <c r="G182" s="226" t="s">
        <v>1284</v>
      </c>
      <c r="H182" s="176"/>
      <c r="I182" s="228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  <c r="AA182" s="176"/>
      <c r="AB182" s="152"/>
      <c r="AC182" s="152"/>
      <c r="AD182" s="152"/>
      <c r="AE182" s="152"/>
      <c r="AF182" s="152"/>
    </row>
    <row r="183">
      <c r="A183" s="176"/>
      <c r="B183" s="176"/>
      <c r="C183" s="204"/>
      <c r="D183" s="229"/>
      <c r="E183" s="7"/>
      <c r="F183" s="176"/>
      <c r="G183" s="176"/>
      <c r="H183" s="176"/>
      <c r="I183" s="229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  <c r="AA183" s="176"/>
      <c r="AB183" s="152"/>
      <c r="AC183" s="152"/>
      <c r="AD183" s="152"/>
      <c r="AE183" s="152"/>
      <c r="AF183" s="152"/>
    </row>
    <row r="184">
      <c r="A184" s="176" t="s">
        <v>1295</v>
      </c>
      <c r="B184" s="176" t="s">
        <v>1297</v>
      </c>
      <c r="C184" s="204" t="s">
        <v>253</v>
      </c>
      <c r="D184" s="229" t="s">
        <v>1298</v>
      </c>
      <c r="E184" s="7"/>
      <c r="F184" s="176" t="s">
        <v>1301</v>
      </c>
      <c r="G184" s="176" t="s">
        <v>1302</v>
      </c>
      <c r="H184" s="176"/>
      <c r="I184" s="229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  <c r="AA184" s="176"/>
      <c r="AB184" s="152"/>
      <c r="AC184" s="152"/>
      <c r="AD184" s="152"/>
      <c r="AE184" s="152"/>
      <c r="AF184" s="152"/>
    </row>
    <row r="185">
      <c r="A185" s="204"/>
      <c r="B185" s="209"/>
      <c r="C185" s="204"/>
      <c r="D185" s="176"/>
      <c r="E185" s="7"/>
      <c r="F185" s="176"/>
      <c r="G185" s="176"/>
      <c r="H185" s="176"/>
      <c r="I185" s="176"/>
      <c r="J185" s="176"/>
      <c r="K185" s="204"/>
      <c r="L185" s="204"/>
      <c r="M185" s="204"/>
      <c r="N185" s="204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  <c r="AA185" s="176"/>
      <c r="AB185" s="152"/>
      <c r="AC185" s="152"/>
      <c r="AD185" s="152"/>
      <c r="AE185" s="152"/>
      <c r="AF185" s="152"/>
    </row>
    <row r="186">
      <c r="A186" s="204" t="s">
        <v>1313</v>
      </c>
      <c r="B186" s="209" t="s">
        <v>1315</v>
      </c>
      <c r="C186" s="204" t="s">
        <v>253</v>
      </c>
      <c r="D186" s="176"/>
      <c r="E186" s="7"/>
      <c r="F186" s="176" t="s">
        <v>1316</v>
      </c>
      <c r="G186" s="176"/>
      <c r="H186" s="176"/>
      <c r="I186" s="176"/>
      <c r="J186" s="176"/>
      <c r="K186" s="204"/>
      <c r="L186" s="204"/>
      <c r="M186" s="204"/>
      <c r="N186" s="204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  <c r="AA186" s="176"/>
      <c r="AB186" s="152"/>
      <c r="AC186" s="152"/>
      <c r="AD186" s="152"/>
      <c r="AE186" s="152"/>
      <c r="AF186" s="152"/>
    </row>
    <row r="187">
      <c r="A187" s="176" t="s">
        <v>1313</v>
      </c>
      <c r="B187" s="203" t="s">
        <v>1321</v>
      </c>
      <c r="C187" s="204" t="s">
        <v>253</v>
      </c>
      <c r="D187" s="176"/>
      <c r="E187" s="7"/>
      <c r="F187" s="176" t="s">
        <v>1324</v>
      </c>
      <c r="G187" s="176"/>
      <c r="H187" s="176"/>
      <c r="I187" s="176"/>
      <c r="J187" s="204"/>
      <c r="K187" s="176"/>
      <c r="L187" s="204"/>
      <c r="M187" s="176"/>
      <c r="N187" s="204"/>
      <c r="O187" s="176"/>
      <c r="P187" s="176"/>
      <c r="Q187" s="176"/>
      <c r="R187" s="176"/>
      <c r="S187" s="204"/>
      <c r="T187" s="176"/>
      <c r="U187" s="176"/>
      <c r="V187" s="176"/>
      <c r="W187" s="176"/>
      <c r="X187" s="176"/>
      <c r="Y187" s="176"/>
      <c r="Z187" s="176"/>
      <c r="AA187" s="176"/>
      <c r="AB187" s="152"/>
      <c r="AC187" s="152"/>
      <c r="AD187" s="152"/>
      <c r="AE187" s="152"/>
      <c r="AF187" s="152"/>
    </row>
    <row r="188">
      <c r="A188" s="203"/>
      <c r="B188" s="203"/>
      <c r="C188" s="204"/>
      <c r="D188" s="176"/>
      <c r="E188" s="7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  <c r="AA188" s="176"/>
      <c r="AB188" s="152"/>
      <c r="AC188" s="152"/>
      <c r="AD188" s="152"/>
      <c r="AE188" s="152"/>
      <c r="AF188" s="152"/>
    </row>
    <row r="189">
      <c r="A189" s="203" t="s">
        <v>1333</v>
      </c>
      <c r="B189" s="203" t="s">
        <v>1334</v>
      </c>
      <c r="C189" s="204" t="s">
        <v>253</v>
      </c>
      <c r="D189" s="176"/>
      <c r="E189" s="7"/>
      <c r="F189" s="176" t="s">
        <v>1335</v>
      </c>
      <c r="G189" s="176" t="s">
        <v>1336</v>
      </c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  <c r="AA189" s="176"/>
      <c r="AB189" s="152"/>
      <c r="AC189" s="152"/>
      <c r="AD189" s="152"/>
      <c r="AE189" s="152"/>
      <c r="AF189" s="152"/>
    </row>
    <row r="190">
      <c r="A190" s="204"/>
      <c r="B190" s="204"/>
      <c r="C190" s="204"/>
      <c r="D190" s="176"/>
      <c r="E190" s="7"/>
      <c r="F190" s="204"/>
      <c r="G190" s="176"/>
      <c r="H190" s="176"/>
      <c r="I190" s="176"/>
      <c r="J190" s="204"/>
      <c r="K190" s="204"/>
      <c r="L190" s="204"/>
      <c r="M190" s="204"/>
      <c r="N190" s="204"/>
      <c r="O190" s="204"/>
      <c r="P190" s="176"/>
      <c r="Q190" s="176"/>
      <c r="R190" s="176"/>
      <c r="S190" s="204"/>
      <c r="T190" s="176"/>
      <c r="U190" s="176"/>
      <c r="V190" s="176"/>
      <c r="W190" s="176"/>
      <c r="X190" s="176"/>
      <c r="Y190" s="176"/>
      <c r="Z190" s="176"/>
      <c r="AA190" s="176"/>
      <c r="AB190" s="152"/>
      <c r="AC190" s="152"/>
      <c r="AD190" s="152"/>
      <c r="AE190" s="152"/>
      <c r="AF190" s="152"/>
    </row>
    <row r="191">
      <c r="A191" s="204" t="s">
        <v>1343</v>
      </c>
      <c r="B191" s="204" t="s">
        <v>1344</v>
      </c>
      <c r="C191" s="204" t="s">
        <v>253</v>
      </c>
      <c r="D191" s="176"/>
      <c r="E191" s="7"/>
      <c r="F191" s="235" t="s">
        <v>1348</v>
      </c>
      <c r="G191" s="176"/>
      <c r="H191" s="176"/>
      <c r="I191" s="176"/>
      <c r="J191" s="204"/>
      <c r="K191" s="204"/>
      <c r="L191" s="204"/>
      <c r="M191" s="204"/>
      <c r="N191" s="204"/>
      <c r="O191" s="204"/>
      <c r="P191" s="176"/>
      <c r="Q191" s="176"/>
      <c r="R191" s="176"/>
      <c r="S191" s="204"/>
      <c r="T191" s="176"/>
      <c r="U191" s="176"/>
      <c r="V191" s="176"/>
      <c r="W191" s="176"/>
      <c r="X191" s="176"/>
      <c r="Y191" s="176"/>
      <c r="Z191" s="176"/>
      <c r="AA191" s="176"/>
      <c r="AB191" s="152"/>
      <c r="AC191" s="152"/>
      <c r="AD191" s="152"/>
      <c r="AE191" s="152"/>
      <c r="AF191" s="152"/>
    </row>
    <row r="192">
      <c r="A192" s="176"/>
      <c r="B192" s="203"/>
      <c r="C192" s="204"/>
      <c r="D192" s="176"/>
      <c r="E192" s="7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  <c r="AA192" s="176"/>
      <c r="AB192" s="152"/>
      <c r="AC192" s="152"/>
      <c r="AD192" s="152"/>
      <c r="AE192" s="152"/>
      <c r="AF192" s="152"/>
    </row>
    <row r="193">
      <c r="A193" s="176" t="s">
        <v>1363</v>
      </c>
      <c r="B193" s="203" t="s">
        <v>1364</v>
      </c>
      <c r="C193" s="204" t="s">
        <v>253</v>
      </c>
      <c r="D193" s="176"/>
      <c r="E193" s="7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  <c r="AA193" s="176"/>
      <c r="AB193" s="152"/>
      <c r="AC193" s="152"/>
      <c r="AD193" s="152"/>
      <c r="AE193" s="152"/>
      <c r="AF193" s="152"/>
    </row>
    <row r="194">
      <c r="A194" s="176" t="s">
        <v>1363</v>
      </c>
      <c r="B194" s="203" t="s">
        <v>1369</v>
      </c>
      <c r="C194" s="204" t="s">
        <v>253</v>
      </c>
      <c r="D194" s="176"/>
      <c r="E194" s="7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  <c r="AA194" s="176"/>
      <c r="AB194" s="152"/>
      <c r="AC194" s="152"/>
      <c r="AD194" s="152"/>
      <c r="AE194" s="152"/>
      <c r="AF194" s="152"/>
    </row>
    <row r="195">
      <c r="A195" s="176" t="s">
        <v>1363</v>
      </c>
      <c r="B195" s="203" t="s">
        <v>1376</v>
      </c>
      <c r="C195" s="204" t="s">
        <v>253</v>
      </c>
      <c r="D195" s="176"/>
      <c r="E195" s="7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  <c r="AA195" s="176"/>
      <c r="AB195" s="152"/>
      <c r="AC195" s="152"/>
      <c r="AD195" s="152"/>
      <c r="AE195" s="152"/>
      <c r="AF195" s="152"/>
    </row>
    <row r="196">
      <c r="A196" s="176" t="s">
        <v>1363</v>
      </c>
      <c r="B196" s="176" t="s">
        <v>1384</v>
      </c>
      <c r="C196" s="204" t="s">
        <v>253</v>
      </c>
      <c r="D196" s="195" t="s">
        <v>1386</v>
      </c>
      <c r="E196" s="7"/>
      <c r="F196" s="218" t="s">
        <v>1387</v>
      </c>
      <c r="G196" s="176" t="s">
        <v>489</v>
      </c>
      <c r="H196" s="176"/>
      <c r="I196" s="195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  <c r="AA196" s="176"/>
      <c r="AB196" s="152"/>
      <c r="AC196" s="152"/>
      <c r="AD196" s="152"/>
      <c r="AE196" s="152"/>
      <c r="AF196" s="152"/>
    </row>
    <row r="197">
      <c r="A197" s="203"/>
      <c r="B197" s="237"/>
      <c r="C197" s="204"/>
      <c r="D197" s="176"/>
      <c r="E197" s="7"/>
      <c r="F197" s="218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  <c r="AA197" s="176"/>
      <c r="AB197" s="152"/>
      <c r="AC197" s="152"/>
      <c r="AD197" s="152"/>
      <c r="AE197" s="152"/>
      <c r="AF197" s="152"/>
    </row>
    <row r="198">
      <c r="A198" s="203" t="s">
        <v>1399</v>
      </c>
      <c r="B198" s="237" t="s">
        <v>1400</v>
      </c>
      <c r="C198" s="204" t="s">
        <v>253</v>
      </c>
      <c r="D198" s="176"/>
      <c r="E198" s="7"/>
      <c r="F198" s="218" t="s">
        <v>1401</v>
      </c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  <c r="AA198" s="176"/>
      <c r="AB198" s="152"/>
      <c r="AC198" s="152"/>
      <c r="AD198" s="152"/>
      <c r="AE198" s="152"/>
      <c r="AF198" s="152"/>
    </row>
    <row r="199">
      <c r="A199" s="238"/>
      <c r="B199" s="136" t="s">
        <v>1408</v>
      </c>
      <c r="C199" s="177" t="s">
        <v>32</v>
      </c>
      <c r="D199" s="176"/>
      <c r="E199" s="7"/>
      <c r="F199" s="239" t="s">
        <v>1413</v>
      </c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  <c r="AA199" s="176"/>
      <c r="AB199" s="152"/>
      <c r="AC199" s="152"/>
      <c r="AD199" s="152"/>
      <c r="AE199" s="152"/>
      <c r="AF199" s="152"/>
    </row>
    <row r="200">
      <c r="A200" s="238" t="s">
        <v>1420</v>
      </c>
      <c r="B200" s="237" t="s">
        <v>1423</v>
      </c>
      <c r="C200" s="235" t="s">
        <v>253</v>
      </c>
      <c r="D200" s="176"/>
      <c r="E200" s="7"/>
      <c r="F200" s="237" t="s">
        <v>1426</v>
      </c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  <c r="AA200" s="176"/>
      <c r="AB200" s="152"/>
      <c r="AC200" s="152"/>
      <c r="AD200" s="152"/>
      <c r="AE200" s="152"/>
      <c r="AF200" s="152"/>
    </row>
    <row r="201">
      <c r="A201" s="238" t="s">
        <v>1420</v>
      </c>
      <c r="B201" s="237" t="s">
        <v>1433</v>
      </c>
      <c r="C201" s="235" t="s">
        <v>253</v>
      </c>
      <c r="D201" s="176"/>
      <c r="E201" s="7"/>
      <c r="F201" s="237" t="s">
        <v>1435</v>
      </c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  <c r="AA201" s="176"/>
      <c r="AB201" s="152"/>
      <c r="AC201" s="152"/>
      <c r="AD201" s="152"/>
      <c r="AE201" s="152"/>
      <c r="AF201" s="152"/>
    </row>
    <row r="202">
      <c r="A202" s="218" t="s">
        <v>1438</v>
      </c>
      <c r="B202" s="218" t="s">
        <v>1439</v>
      </c>
      <c r="C202" s="204" t="s">
        <v>253</v>
      </c>
      <c r="D202" s="176"/>
      <c r="E202" s="7"/>
      <c r="F202" s="218" t="s">
        <v>1440</v>
      </c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  <c r="AA202" s="176"/>
      <c r="AB202" s="152"/>
      <c r="AC202" s="152"/>
      <c r="AD202" s="152"/>
      <c r="AE202" s="152"/>
      <c r="AF202" s="152"/>
    </row>
    <row r="203">
      <c r="A203" s="209"/>
      <c r="B203" s="203"/>
      <c r="C203" s="204"/>
      <c r="D203" s="176"/>
      <c r="E203" s="7"/>
      <c r="F203" s="237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  <c r="AA203" s="176"/>
      <c r="AB203" s="152"/>
      <c r="AC203" s="152"/>
      <c r="AD203" s="152"/>
      <c r="AE203" s="152"/>
      <c r="AF203" s="152"/>
    </row>
    <row r="204">
      <c r="A204" s="209" t="s">
        <v>1452</v>
      </c>
      <c r="B204" s="203" t="s">
        <v>1453</v>
      </c>
      <c r="C204" s="204" t="s">
        <v>253</v>
      </c>
      <c r="D204" s="176"/>
      <c r="E204" s="7"/>
      <c r="F204" s="237" t="s">
        <v>1455</v>
      </c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  <c r="AA204" s="176"/>
      <c r="AB204" s="152"/>
      <c r="AC204" s="152"/>
      <c r="AD204" s="152"/>
      <c r="AE204" s="152"/>
      <c r="AF204" s="152"/>
    </row>
    <row r="205">
      <c r="A205" s="209" t="s">
        <v>1452</v>
      </c>
      <c r="B205" s="209" t="s">
        <v>1462</v>
      </c>
      <c r="C205" s="204" t="s">
        <v>253</v>
      </c>
      <c r="D205" s="176"/>
      <c r="E205" s="7"/>
      <c r="F205" s="237" t="s">
        <v>1464</v>
      </c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  <c r="AA205" s="176"/>
      <c r="AB205" s="152"/>
      <c r="AC205" s="152"/>
      <c r="AD205" s="152"/>
      <c r="AE205" s="152"/>
      <c r="AF205" s="152"/>
    </row>
    <row r="206">
      <c r="A206" s="176"/>
      <c r="B206" s="177" t="s">
        <v>1468</v>
      </c>
      <c r="C206" s="177" t="s">
        <v>1469</v>
      </c>
      <c r="D206" s="176"/>
      <c r="E206" s="1">
        <v>9.1879914074E11</v>
      </c>
      <c r="F206" s="177" t="s">
        <v>1470</v>
      </c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  <c r="AA206" s="176"/>
      <c r="AB206" s="152"/>
      <c r="AC206" s="152"/>
      <c r="AD206" s="152"/>
      <c r="AE206" s="152"/>
      <c r="AF206" s="152"/>
    </row>
    <row r="207">
      <c r="A207" s="176" t="s">
        <v>1476</v>
      </c>
      <c r="B207" s="203" t="s">
        <v>1477</v>
      </c>
      <c r="C207" s="204" t="s">
        <v>253</v>
      </c>
      <c r="D207" s="176"/>
      <c r="E207" s="7"/>
      <c r="F207" s="203" t="s">
        <v>1478</v>
      </c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  <c r="AA207" s="176"/>
      <c r="AB207" s="152"/>
      <c r="AC207" s="152"/>
      <c r="AD207" s="152"/>
      <c r="AE207" s="152"/>
      <c r="AF207" s="152"/>
    </row>
    <row r="208">
      <c r="A208" s="176" t="s">
        <v>1476</v>
      </c>
      <c r="B208" s="203" t="s">
        <v>1486</v>
      </c>
      <c r="C208" s="204" t="s">
        <v>253</v>
      </c>
      <c r="D208" s="176"/>
      <c r="E208" s="7"/>
      <c r="F208" s="203" t="s">
        <v>1489</v>
      </c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  <c r="AA208" s="176"/>
      <c r="AB208" s="152"/>
      <c r="AC208" s="152"/>
      <c r="AD208" s="152"/>
      <c r="AE208" s="152"/>
      <c r="AF208" s="152"/>
    </row>
    <row r="209">
      <c r="A209" s="176" t="s">
        <v>1476</v>
      </c>
      <c r="B209" s="203" t="s">
        <v>1495</v>
      </c>
      <c r="C209" s="204" t="s">
        <v>253</v>
      </c>
      <c r="D209" s="176"/>
      <c r="E209" s="7"/>
      <c r="F209" s="203" t="s">
        <v>1496</v>
      </c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  <c r="AA209" s="176"/>
      <c r="AB209" s="152"/>
      <c r="AC209" s="152"/>
      <c r="AD209" s="152"/>
      <c r="AE209" s="152"/>
      <c r="AF209" s="152"/>
    </row>
    <row r="210">
      <c r="A210" s="176"/>
      <c r="B210" s="177" t="s">
        <v>1501</v>
      </c>
      <c r="C210" s="177" t="s">
        <v>32</v>
      </c>
      <c r="D210" s="195"/>
      <c r="E210" s="1" t="s">
        <v>1503</v>
      </c>
      <c r="F210" s="177" t="s">
        <v>1504</v>
      </c>
      <c r="G210" s="176"/>
      <c r="H210" s="176"/>
      <c r="I210" s="195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  <c r="AA210" s="176"/>
      <c r="AB210" s="152"/>
      <c r="AC210" s="152"/>
      <c r="AD210" s="152"/>
      <c r="AE210" s="152"/>
      <c r="AF210" s="152"/>
    </row>
    <row r="211">
      <c r="A211" s="176" t="s">
        <v>1511</v>
      </c>
      <c r="B211" s="176" t="s">
        <v>1512</v>
      </c>
      <c r="C211" s="204" t="s">
        <v>253</v>
      </c>
      <c r="D211" s="195" t="s">
        <v>1513</v>
      </c>
      <c r="E211" s="7"/>
      <c r="F211" s="176" t="s">
        <v>1516</v>
      </c>
      <c r="G211" s="176"/>
      <c r="H211" s="176"/>
      <c r="I211" s="195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  <c r="AA211" s="176"/>
      <c r="AB211" s="152"/>
      <c r="AC211" s="152"/>
      <c r="AD211" s="152"/>
      <c r="AE211" s="152"/>
      <c r="AF211" s="152"/>
    </row>
    <row r="212">
      <c r="A212" s="176"/>
      <c r="B212" s="136" t="s">
        <v>1519</v>
      </c>
      <c r="C212" s="177" t="s">
        <v>1527</v>
      </c>
      <c r="D212" s="195"/>
      <c r="E212" s="7"/>
      <c r="F212" s="168" t="s">
        <v>1529</v>
      </c>
      <c r="G212" s="176"/>
      <c r="H212" s="176"/>
      <c r="I212" s="195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  <c r="AA212" s="176"/>
      <c r="AB212" s="152"/>
      <c r="AC212" s="152"/>
      <c r="AD212" s="152"/>
      <c r="AE212" s="152"/>
      <c r="AF212" s="152"/>
    </row>
    <row r="213">
      <c r="A213" s="176" t="s">
        <v>1533</v>
      </c>
      <c r="B213" s="176" t="s">
        <v>1534</v>
      </c>
      <c r="C213" s="204" t="s">
        <v>253</v>
      </c>
      <c r="D213" s="195" t="s">
        <v>1535</v>
      </c>
      <c r="E213" s="7"/>
      <c r="F213" s="176" t="s">
        <v>1537</v>
      </c>
      <c r="G213" s="176"/>
      <c r="H213" s="176"/>
      <c r="I213" s="195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  <c r="AA213" s="176"/>
      <c r="AB213" s="152"/>
      <c r="AC213" s="152"/>
      <c r="AD213" s="152"/>
      <c r="AE213" s="152"/>
      <c r="AF213" s="152"/>
    </row>
    <row r="214">
      <c r="A214" s="176" t="s">
        <v>1533</v>
      </c>
      <c r="B214" s="176" t="s">
        <v>1547</v>
      </c>
      <c r="C214" s="204" t="s">
        <v>253</v>
      </c>
      <c r="D214" s="195" t="s">
        <v>1550</v>
      </c>
      <c r="E214" s="7"/>
      <c r="F214" s="176" t="s">
        <v>1552</v>
      </c>
      <c r="G214" s="176"/>
      <c r="H214" s="176"/>
      <c r="I214" s="195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  <c r="AA214" s="176"/>
      <c r="AB214" s="152"/>
      <c r="AC214" s="152"/>
      <c r="AD214" s="152"/>
      <c r="AE214" s="152"/>
      <c r="AF214" s="152"/>
    </row>
    <row r="215">
      <c r="A215" s="176"/>
      <c r="B215" s="176"/>
      <c r="C215" s="204"/>
      <c r="D215" s="176"/>
      <c r="E215" s="7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  <c r="AA215" s="176"/>
      <c r="AB215" s="152"/>
      <c r="AC215" s="152"/>
      <c r="AD215" s="152"/>
      <c r="AE215" s="152"/>
      <c r="AF215" s="152"/>
    </row>
    <row r="220">
      <c r="A220" s="176"/>
      <c r="B220" s="203"/>
      <c r="C220" s="204"/>
      <c r="D220" s="195"/>
      <c r="E220" s="7"/>
      <c r="F220" s="218"/>
      <c r="G220" s="176"/>
      <c r="H220" s="176"/>
      <c r="I220" s="195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  <c r="AA220" s="176"/>
      <c r="AB220" s="152"/>
      <c r="AC220" s="152"/>
      <c r="AD220" s="152"/>
      <c r="AE220" s="152"/>
      <c r="AF220" s="152"/>
    </row>
    <row r="221">
      <c r="A221" s="176" t="s">
        <v>1567</v>
      </c>
      <c r="B221" s="203" t="s">
        <v>1568</v>
      </c>
      <c r="C221" s="204" t="s">
        <v>253</v>
      </c>
      <c r="D221" s="195" t="s">
        <v>1569</v>
      </c>
      <c r="E221" s="7"/>
      <c r="F221" s="218" t="s">
        <v>1574</v>
      </c>
      <c r="G221" s="176">
        <v>9.011079735E9</v>
      </c>
      <c r="H221" s="176"/>
      <c r="I221" s="195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  <c r="AA221" s="176"/>
      <c r="AB221" s="152"/>
      <c r="AC221" s="152"/>
      <c r="AD221" s="152"/>
      <c r="AE221" s="152"/>
      <c r="AF221" s="152"/>
    </row>
    <row r="222">
      <c r="A222" s="204"/>
      <c r="B222" s="136" t="s">
        <v>1577</v>
      </c>
      <c r="C222" s="204"/>
      <c r="D222" s="176"/>
      <c r="E222" s="7"/>
      <c r="F222" s="177" t="s">
        <v>1581</v>
      </c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52"/>
      <c r="AC222" s="152"/>
      <c r="AD222" s="152"/>
      <c r="AE222" s="152"/>
      <c r="AF222" s="152"/>
    </row>
    <row r="223">
      <c r="A223" s="156"/>
      <c r="B223" s="136" t="s">
        <v>1586</v>
      </c>
      <c r="C223" s="243" t="s">
        <v>1591</v>
      </c>
      <c r="D223" s="152"/>
      <c r="E223" s="7"/>
      <c r="F223" s="169" t="s">
        <v>1592</v>
      </c>
      <c r="G223" s="1" t="s">
        <v>1593</v>
      </c>
      <c r="H223" s="7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</row>
    <row r="224">
      <c r="A224" s="204"/>
      <c r="B224" s="204"/>
      <c r="C224" s="204"/>
      <c r="D224" s="176"/>
      <c r="E224" s="7"/>
      <c r="F224" s="177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52"/>
      <c r="AC224" s="152"/>
      <c r="AD224" s="152"/>
      <c r="AE224" s="152"/>
      <c r="AF224" s="152"/>
    </row>
    <row r="225">
      <c r="A225" s="176" t="s">
        <v>1601</v>
      </c>
      <c r="B225" s="176" t="s">
        <v>1602</v>
      </c>
      <c r="C225" s="204" t="s">
        <v>253</v>
      </c>
      <c r="D225" s="195" t="s">
        <v>1604</v>
      </c>
      <c r="E225" s="7"/>
      <c r="F225" s="176" t="s">
        <v>1611</v>
      </c>
      <c r="G225" s="176" t="s">
        <v>1612</v>
      </c>
      <c r="H225" s="176"/>
      <c r="I225" s="195"/>
      <c r="J225" s="176"/>
      <c r="K225" s="176"/>
      <c r="L225" s="176"/>
      <c r="M225" s="176"/>
      <c r="N225" s="176"/>
      <c r="O225" s="176"/>
      <c r="P225" s="176"/>
      <c r="Q225" s="176"/>
      <c r="R225" s="195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52"/>
      <c r="AC225" s="152"/>
      <c r="AD225" s="152"/>
      <c r="AE225" s="152"/>
      <c r="AF225" s="152"/>
    </row>
    <row r="226">
      <c r="A226" s="204"/>
      <c r="B226" s="136" t="s">
        <v>1616</v>
      </c>
      <c r="C226" s="204"/>
      <c r="D226" s="176"/>
      <c r="E226" s="7"/>
      <c r="F226" s="177" t="s">
        <v>1622</v>
      </c>
      <c r="G226" s="177" t="s">
        <v>1623</v>
      </c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  <c r="AA226" s="176"/>
      <c r="AB226" s="152"/>
      <c r="AC226" s="152"/>
      <c r="AD226" s="152"/>
      <c r="AE226" s="152"/>
      <c r="AF226" s="152"/>
    </row>
    <row r="227">
      <c r="A227" s="204"/>
      <c r="B227" s="136" t="s">
        <v>1628</v>
      </c>
      <c r="C227" s="245" t="s">
        <v>1633</v>
      </c>
      <c r="D227" s="176"/>
      <c r="E227" s="1">
        <v>9.833512949E9</v>
      </c>
      <c r="F227" s="168" t="s">
        <v>1637</v>
      </c>
      <c r="G227" s="177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  <c r="AA227" s="176"/>
      <c r="AB227" s="152"/>
      <c r="AC227" s="152"/>
      <c r="AD227" s="152"/>
      <c r="AE227" s="152"/>
      <c r="AF227" s="152"/>
    </row>
    <row r="228">
      <c r="A228" s="204" t="s">
        <v>1640</v>
      </c>
      <c r="B228" s="204" t="s">
        <v>1641</v>
      </c>
      <c r="C228" s="204" t="s">
        <v>253</v>
      </c>
      <c r="D228" s="176"/>
      <c r="E228" s="7"/>
      <c r="F228" s="177" t="s">
        <v>1642</v>
      </c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  <c r="AA228" s="176"/>
      <c r="AB228" s="152"/>
      <c r="AC228" s="152"/>
      <c r="AD228" s="152"/>
      <c r="AE228" s="152"/>
      <c r="AF228" s="152"/>
    </row>
    <row r="229">
      <c r="A229" s="204" t="s">
        <v>1640</v>
      </c>
      <c r="B229" s="204" t="s">
        <v>1647</v>
      </c>
      <c r="C229" s="204" t="s">
        <v>253</v>
      </c>
      <c r="D229" s="176"/>
      <c r="E229" s="7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  <c r="AA229" s="176"/>
      <c r="AB229" s="152"/>
      <c r="AC229" s="152"/>
      <c r="AD229" s="152"/>
      <c r="AE229" s="152"/>
      <c r="AF229" s="152"/>
    </row>
    <row r="230">
      <c r="A230" s="204"/>
      <c r="B230" s="246" t="s">
        <v>1653</v>
      </c>
      <c r="C230" s="177" t="s">
        <v>1655</v>
      </c>
      <c r="D230" s="176"/>
      <c r="E230" s="7"/>
      <c r="F230" s="177" t="s">
        <v>1657</v>
      </c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  <c r="AA230" s="176"/>
      <c r="AB230" s="152"/>
      <c r="AC230" s="152"/>
      <c r="AD230" s="152"/>
      <c r="AE230" s="152"/>
      <c r="AF230" s="152"/>
    </row>
    <row r="231">
      <c r="A231" s="204"/>
      <c r="B231" s="136" t="s">
        <v>1663</v>
      </c>
      <c r="C231" s="245" t="s">
        <v>1668</v>
      </c>
      <c r="D231" s="176"/>
      <c r="E231" s="7"/>
      <c r="F231" s="168" t="s">
        <v>1670</v>
      </c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  <c r="AA231" s="176"/>
      <c r="AB231" s="152"/>
      <c r="AC231" s="152"/>
      <c r="AD231" s="152"/>
      <c r="AE231" s="152"/>
      <c r="AF231" s="152"/>
    </row>
    <row r="232">
      <c r="A232" s="204"/>
      <c r="B232" s="136" t="s">
        <v>1676</v>
      </c>
      <c r="C232" s="245" t="s">
        <v>1677</v>
      </c>
      <c r="D232" s="176"/>
      <c r="E232" s="7"/>
      <c r="F232" s="177" t="s">
        <v>1679</v>
      </c>
      <c r="G232" s="177" t="s">
        <v>1680</v>
      </c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  <c r="AA232" s="176"/>
      <c r="AB232" s="152"/>
      <c r="AC232" s="152"/>
      <c r="AD232" s="152"/>
      <c r="AE232" s="152"/>
      <c r="AF232" s="152"/>
    </row>
    <row r="233">
      <c r="A233" s="204"/>
      <c r="B233" s="136" t="s">
        <v>1688</v>
      </c>
      <c r="C233" s="245" t="s">
        <v>51</v>
      </c>
      <c r="D233" s="176"/>
      <c r="E233" s="7"/>
      <c r="F233" s="177" t="s">
        <v>1692</v>
      </c>
      <c r="G233" s="177" t="s">
        <v>1694</v>
      </c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  <c r="AA233" s="176"/>
      <c r="AB233" s="152"/>
      <c r="AC233" s="152"/>
      <c r="AD233" s="152"/>
      <c r="AE233" s="152"/>
      <c r="AF233" s="152"/>
    </row>
    <row r="234">
      <c r="A234" s="204" t="s">
        <v>1699</v>
      </c>
      <c r="B234" s="204" t="s">
        <v>1701</v>
      </c>
      <c r="C234" s="204" t="s">
        <v>253</v>
      </c>
      <c r="D234" s="176"/>
      <c r="E234" s="7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  <c r="AA234" s="176"/>
      <c r="AB234" s="152"/>
      <c r="AC234" s="152"/>
      <c r="AD234" s="152"/>
      <c r="AE234" s="152"/>
      <c r="AF234" s="152"/>
    </row>
    <row r="235">
      <c r="A235" s="204" t="s">
        <v>1699</v>
      </c>
      <c r="B235" s="204" t="s">
        <v>1708</v>
      </c>
      <c r="C235" s="204" t="s">
        <v>253</v>
      </c>
      <c r="D235" s="176"/>
      <c r="E235" s="7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  <c r="AA235" s="176"/>
      <c r="AB235" s="152"/>
      <c r="AC235" s="152"/>
      <c r="AD235" s="152"/>
      <c r="AE235" s="152"/>
      <c r="AF235" s="152"/>
    </row>
    <row r="236">
      <c r="A236" s="204"/>
      <c r="B236" s="136" t="s">
        <v>1712</v>
      </c>
      <c r="C236" s="245" t="s">
        <v>1715</v>
      </c>
      <c r="D236" s="176"/>
      <c r="E236" s="7"/>
      <c r="F236" s="177" t="s">
        <v>1716</v>
      </c>
      <c r="G236" s="177" t="s">
        <v>1717</v>
      </c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  <c r="AA236" s="176"/>
      <c r="AB236" s="152"/>
      <c r="AC236" s="152"/>
      <c r="AD236" s="152"/>
      <c r="AE236" s="152"/>
      <c r="AF236" s="152"/>
    </row>
    <row r="237">
      <c r="A237" s="204"/>
      <c r="B237" s="136" t="s">
        <v>1721</v>
      </c>
      <c r="C237" s="245" t="s">
        <v>1725</v>
      </c>
      <c r="D237" s="176"/>
      <c r="E237" s="7"/>
      <c r="F237" s="177" t="s">
        <v>1726</v>
      </c>
      <c r="G237" s="177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  <c r="AA237" s="176"/>
      <c r="AB237" s="152"/>
      <c r="AC237" s="152"/>
      <c r="AD237" s="152"/>
      <c r="AE237" s="152"/>
      <c r="AF237" s="152"/>
    </row>
    <row r="238">
      <c r="A238" s="176"/>
      <c r="B238" s="136" t="s">
        <v>1731</v>
      </c>
      <c r="C238" s="245" t="s">
        <v>1736</v>
      </c>
      <c r="D238" s="176"/>
      <c r="E238" s="7"/>
      <c r="F238" s="177" t="s">
        <v>1738</v>
      </c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  <c r="AA238" s="176"/>
      <c r="AB238" s="152"/>
      <c r="AC238" s="152"/>
      <c r="AD238" s="152"/>
      <c r="AE238" s="152"/>
      <c r="AF238" s="152"/>
    </row>
    <row r="239">
      <c r="A239" s="176"/>
      <c r="B239" s="87"/>
      <c r="C239" s="204"/>
      <c r="D239" s="176"/>
      <c r="E239" s="7"/>
      <c r="F239" s="177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  <c r="AA239" s="176"/>
      <c r="AB239" s="152"/>
      <c r="AC239" s="152"/>
      <c r="AD239" s="152"/>
      <c r="AE239" s="152"/>
      <c r="AF239" s="152"/>
    </row>
    <row r="240">
      <c r="A240" s="176"/>
      <c r="B240" s="87"/>
      <c r="C240" s="204"/>
      <c r="D240" s="176"/>
      <c r="E240" s="7"/>
      <c r="F240" s="177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  <c r="AA240" s="176"/>
      <c r="AB240" s="152"/>
      <c r="AC240" s="152"/>
      <c r="AD240" s="152"/>
      <c r="AE240" s="152"/>
      <c r="AF240" s="152"/>
    </row>
    <row r="241">
      <c r="A241" s="176" t="s">
        <v>1752</v>
      </c>
      <c r="B241" s="176" t="s">
        <v>1753</v>
      </c>
      <c r="C241" s="204" t="s">
        <v>253</v>
      </c>
      <c r="D241" s="176"/>
      <c r="E241" s="7"/>
      <c r="F241" s="176" t="s">
        <v>1754</v>
      </c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  <c r="AA241" s="176"/>
      <c r="AB241" s="152"/>
      <c r="AC241" s="152"/>
      <c r="AD241" s="152"/>
      <c r="AE241" s="152"/>
      <c r="AF241" s="152"/>
    </row>
    <row r="242">
      <c r="A242" s="176" t="s">
        <v>1752</v>
      </c>
      <c r="B242" s="176" t="s">
        <v>1760</v>
      </c>
      <c r="C242" s="204" t="s">
        <v>253</v>
      </c>
      <c r="D242" s="176"/>
      <c r="E242" s="7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  <c r="AA242" s="176"/>
      <c r="AB242" s="152"/>
      <c r="AC242" s="152"/>
      <c r="AD242" s="152"/>
      <c r="AE242" s="152"/>
      <c r="AF242" s="152"/>
    </row>
    <row r="243">
      <c r="A243" s="204"/>
      <c r="B243" s="136" t="s">
        <v>1768</v>
      </c>
      <c r="C243" s="177" t="s">
        <v>1655</v>
      </c>
      <c r="D243" s="176"/>
      <c r="E243" s="7"/>
      <c r="F243" s="177" t="s">
        <v>1773</v>
      </c>
      <c r="G243" s="176"/>
      <c r="H243" s="176"/>
      <c r="I243" s="176"/>
      <c r="J243" s="176"/>
      <c r="K243" s="204"/>
      <c r="L243" s="204"/>
      <c r="M243" s="204"/>
      <c r="N243" s="204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  <c r="AA243" s="176"/>
      <c r="AB243" s="152"/>
      <c r="AC243" s="152"/>
      <c r="AD243" s="152"/>
      <c r="AE243" s="152"/>
      <c r="AF243" s="152"/>
    </row>
    <row r="244">
      <c r="A244" s="204"/>
      <c r="B244" s="204"/>
      <c r="C244" s="204"/>
      <c r="D244" s="176"/>
      <c r="E244" s="7"/>
      <c r="F244" s="176"/>
      <c r="G244" s="176"/>
      <c r="H244" s="176"/>
      <c r="I244" s="176"/>
      <c r="J244" s="176"/>
      <c r="K244" s="204"/>
      <c r="L244" s="204"/>
      <c r="M244" s="204"/>
      <c r="N244" s="204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  <c r="AA244" s="176"/>
      <c r="AB244" s="152"/>
      <c r="AC244" s="152"/>
      <c r="AD244" s="152"/>
      <c r="AE244" s="152"/>
      <c r="AF244" s="152"/>
    </row>
    <row r="245">
      <c r="A245" s="204"/>
      <c r="B245" s="204"/>
      <c r="C245" s="204"/>
      <c r="D245" s="176"/>
      <c r="E245" s="7"/>
      <c r="F245" s="176"/>
      <c r="G245" s="176"/>
      <c r="H245" s="176"/>
      <c r="I245" s="176"/>
      <c r="J245" s="176"/>
      <c r="K245" s="204"/>
      <c r="L245" s="204"/>
      <c r="M245" s="204"/>
      <c r="N245" s="204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  <c r="AA245" s="176"/>
      <c r="AB245" s="152"/>
      <c r="AC245" s="152"/>
      <c r="AD245" s="152"/>
      <c r="AE245" s="152"/>
      <c r="AF245" s="152"/>
    </row>
    <row r="246">
      <c r="A246" s="204"/>
      <c r="B246" s="204"/>
      <c r="C246" s="204"/>
      <c r="D246" s="176"/>
      <c r="E246" s="7"/>
      <c r="F246" s="176"/>
      <c r="G246" s="176"/>
      <c r="H246" s="176"/>
      <c r="I246" s="176"/>
      <c r="J246" s="176"/>
      <c r="K246" s="204"/>
      <c r="L246" s="204"/>
      <c r="M246" s="204"/>
      <c r="N246" s="204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  <c r="AA246" s="176"/>
      <c r="AB246" s="152"/>
      <c r="AC246" s="152"/>
      <c r="AD246" s="152"/>
      <c r="AE246" s="152"/>
      <c r="AF246" s="152"/>
    </row>
    <row r="247">
      <c r="A247" s="204"/>
      <c r="B247" s="204"/>
      <c r="C247" s="204"/>
      <c r="D247" s="176"/>
      <c r="E247" s="7"/>
      <c r="F247" s="176"/>
      <c r="G247" s="176"/>
      <c r="H247" s="176"/>
      <c r="I247" s="176"/>
      <c r="J247" s="176"/>
      <c r="K247" s="204"/>
      <c r="L247" s="204"/>
      <c r="M247" s="204"/>
      <c r="N247" s="204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  <c r="AA247" s="176"/>
      <c r="AB247" s="152"/>
      <c r="AC247" s="152"/>
      <c r="AD247" s="152"/>
      <c r="AE247" s="152"/>
      <c r="AF247" s="152"/>
    </row>
    <row r="248">
      <c r="A248" s="204"/>
      <c r="B248" s="204"/>
      <c r="C248" s="204"/>
      <c r="D248" s="176"/>
      <c r="E248" s="7"/>
      <c r="F248" s="176"/>
      <c r="G248" s="176"/>
      <c r="H248" s="176"/>
      <c r="I248" s="176"/>
      <c r="J248" s="176"/>
      <c r="K248" s="204"/>
      <c r="L248" s="204"/>
      <c r="M248" s="204"/>
      <c r="N248" s="204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  <c r="AA248" s="176"/>
      <c r="AB248" s="152"/>
      <c r="AC248" s="152"/>
      <c r="AD248" s="152"/>
      <c r="AE248" s="152"/>
      <c r="AF248" s="152"/>
    </row>
    <row r="249">
      <c r="A249" s="204" t="s">
        <v>524</v>
      </c>
      <c r="B249" s="204" t="s">
        <v>1799</v>
      </c>
      <c r="C249" s="204" t="s">
        <v>253</v>
      </c>
      <c r="D249" s="176"/>
      <c r="E249" s="7"/>
      <c r="F249" s="176" t="s">
        <v>1802</v>
      </c>
      <c r="G249" s="176"/>
      <c r="H249" s="176"/>
      <c r="I249" s="176"/>
      <c r="J249" s="176"/>
      <c r="K249" s="204"/>
      <c r="L249" s="204"/>
      <c r="M249" s="204"/>
      <c r="N249" s="204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  <c r="AA249" s="176"/>
      <c r="AB249" s="152"/>
      <c r="AC249" s="152"/>
      <c r="AD249" s="152"/>
      <c r="AE249" s="152"/>
      <c r="AF249" s="152"/>
    </row>
    <row r="250">
      <c r="A250" s="218"/>
      <c r="B250" s="136" t="s">
        <v>1808</v>
      </c>
      <c r="C250" s="177" t="s">
        <v>1655</v>
      </c>
      <c r="D250" s="195"/>
      <c r="E250" s="1">
        <v>9.19935099959E11</v>
      </c>
      <c r="F250" s="239" t="s">
        <v>1809</v>
      </c>
      <c r="G250" s="218"/>
      <c r="H250" s="176"/>
      <c r="I250" s="195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  <c r="AA250" s="176"/>
      <c r="AB250" s="152"/>
      <c r="AC250" s="152"/>
      <c r="AD250" s="152"/>
      <c r="AE250" s="152"/>
      <c r="AF250" s="152"/>
    </row>
    <row r="251">
      <c r="A251" s="218"/>
      <c r="B251" s="136" t="s">
        <v>1815</v>
      </c>
      <c r="C251" s="245" t="s">
        <v>1820</v>
      </c>
      <c r="D251" s="195"/>
      <c r="E251" s="1"/>
      <c r="F251" s="168" t="s">
        <v>1821</v>
      </c>
      <c r="G251" s="218"/>
      <c r="H251" s="176"/>
      <c r="I251" s="195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  <c r="AA251" s="176"/>
      <c r="AB251" s="152"/>
      <c r="AC251" s="152"/>
      <c r="AD251" s="152"/>
      <c r="AE251" s="152"/>
      <c r="AF251" s="152"/>
    </row>
    <row r="252">
      <c r="A252" s="218"/>
      <c r="B252" s="136" t="s">
        <v>1825</v>
      </c>
      <c r="C252" s="245" t="s">
        <v>1830</v>
      </c>
      <c r="D252" s="195"/>
      <c r="E252" s="1"/>
      <c r="F252" s="239"/>
      <c r="G252" s="218"/>
      <c r="H252" s="176"/>
      <c r="I252" s="195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  <c r="AA252" s="176"/>
      <c r="AB252" s="152"/>
      <c r="AC252" s="152"/>
      <c r="AD252" s="152"/>
      <c r="AE252" s="152"/>
      <c r="AF252" s="152"/>
    </row>
    <row r="253">
      <c r="A253" s="218"/>
      <c r="B253" s="136" t="s">
        <v>1835</v>
      </c>
      <c r="C253" s="245"/>
      <c r="D253" s="195"/>
      <c r="E253" s="1"/>
      <c r="F253" s="239" t="s">
        <v>1840</v>
      </c>
      <c r="G253" s="218"/>
      <c r="H253" s="176"/>
      <c r="I253" s="195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  <c r="AA253" s="176"/>
      <c r="AB253" s="152"/>
      <c r="AC253" s="152"/>
      <c r="AD253" s="152"/>
      <c r="AE253" s="152"/>
      <c r="AF253" s="152"/>
    </row>
    <row r="254">
      <c r="A254" s="218" t="s">
        <v>1415</v>
      </c>
      <c r="B254" s="251" t="s">
        <v>1416</v>
      </c>
      <c r="C254" s="204" t="s">
        <v>253</v>
      </c>
      <c r="D254" s="195" t="s">
        <v>1848</v>
      </c>
      <c r="E254" s="7"/>
      <c r="F254" s="218" t="s">
        <v>1849</v>
      </c>
      <c r="G254" s="218">
        <f>+919500042049</f>
        <v>919500042049</v>
      </c>
      <c r="H254" s="176"/>
      <c r="I254" s="195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  <c r="AA254" s="176"/>
      <c r="AB254" s="152"/>
      <c r="AC254" s="152"/>
      <c r="AD254" s="152"/>
      <c r="AE254" s="152"/>
      <c r="AF254" s="152"/>
    </row>
    <row r="255">
      <c r="A255" s="218" t="s">
        <v>1415</v>
      </c>
      <c r="B255" s="251" t="s">
        <v>1430</v>
      </c>
      <c r="C255" s="204" t="s">
        <v>253</v>
      </c>
      <c r="D255" s="195" t="s">
        <v>1857</v>
      </c>
      <c r="E255" s="7"/>
      <c r="F255" s="218" t="s">
        <v>1859</v>
      </c>
      <c r="G255" s="218">
        <f>+919790998016</f>
        <v>919790998016</v>
      </c>
      <c r="H255" s="176"/>
      <c r="I255" s="195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  <c r="AA255" s="176"/>
      <c r="AB255" s="152"/>
      <c r="AC255" s="152"/>
      <c r="AD255" s="152"/>
      <c r="AE255" s="152"/>
      <c r="AF255" s="152"/>
    </row>
    <row r="256">
      <c r="A256" s="193"/>
      <c r="B256" s="136" t="s">
        <v>1865</v>
      </c>
      <c r="C256" s="177" t="s">
        <v>32</v>
      </c>
      <c r="D256" s="195"/>
      <c r="E256" s="1">
        <v>9.19945499442E11</v>
      </c>
      <c r="F256" s="177" t="s">
        <v>1870</v>
      </c>
      <c r="G256" s="176"/>
      <c r="H256" s="176"/>
      <c r="I256" s="195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  <c r="AA256" s="176"/>
      <c r="AB256" s="152"/>
      <c r="AC256" s="152"/>
      <c r="AD256" s="152"/>
      <c r="AE256" s="152"/>
      <c r="AF256" s="152"/>
    </row>
    <row r="257">
      <c r="A257" s="193"/>
      <c r="B257" s="136" t="s">
        <v>1875</v>
      </c>
      <c r="C257" s="245" t="s">
        <v>1878</v>
      </c>
      <c r="D257" s="195"/>
      <c r="E257" s="167">
        <f>+919920180889</f>
        <v>919920180889</v>
      </c>
      <c r="F257" s="168" t="s">
        <v>1881</v>
      </c>
      <c r="G257" s="176"/>
      <c r="H257" s="176"/>
      <c r="I257" s="195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  <c r="AA257" s="176"/>
      <c r="AB257" s="152"/>
      <c r="AC257" s="152"/>
      <c r="AD257" s="152"/>
      <c r="AE257" s="152"/>
      <c r="AF257" s="152"/>
    </row>
    <row r="258">
      <c r="A258" s="193"/>
      <c r="B258" s="136" t="s">
        <v>1886</v>
      </c>
      <c r="C258" s="245" t="s">
        <v>1888</v>
      </c>
      <c r="D258" s="195"/>
      <c r="E258" s="1"/>
      <c r="F258" s="177" t="s">
        <v>1889</v>
      </c>
      <c r="G258" s="176"/>
      <c r="H258" s="176"/>
      <c r="I258" s="195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  <c r="AA258" s="176"/>
      <c r="AB258" s="152"/>
      <c r="AC258" s="152"/>
      <c r="AD258" s="152"/>
      <c r="AE258" s="152"/>
      <c r="AF258" s="152"/>
    </row>
    <row r="259">
      <c r="A259" s="193"/>
      <c r="B259" s="87"/>
      <c r="C259" s="177"/>
      <c r="D259" s="195"/>
      <c r="E259" s="1"/>
      <c r="F259" s="177"/>
      <c r="G259" s="176"/>
      <c r="H259" s="176"/>
      <c r="I259" s="195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  <c r="AA259" s="176"/>
      <c r="AB259" s="152"/>
      <c r="AC259" s="152"/>
      <c r="AD259" s="152"/>
      <c r="AE259" s="152"/>
      <c r="AF259" s="152"/>
    </row>
    <row r="260">
      <c r="A260" s="193" t="s">
        <v>1900</v>
      </c>
      <c r="B260" s="176" t="s">
        <v>1901</v>
      </c>
      <c r="C260" s="204" t="s">
        <v>253</v>
      </c>
      <c r="D260" s="195" t="s">
        <v>1902</v>
      </c>
      <c r="E260" s="7"/>
      <c r="F260" s="176" t="s">
        <v>1905</v>
      </c>
      <c r="G260" s="176"/>
      <c r="H260" s="176"/>
      <c r="I260" s="195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  <c r="AA260" s="176"/>
      <c r="AB260" s="152"/>
      <c r="AC260" s="152"/>
      <c r="AD260" s="152"/>
      <c r="AE260" s="152"/>
      <c r="AF260" s="152"/>
    </row>
    <row r="261" ht="27.75" customHeight="1">
      <c r="A261" s="176"/>
      <c r="B261" s="136" t="s">
        <v>1911</v>
      </c>
      <c r="C261" s="177" t="s">
        <v>1916</v>
      </c>
      <c r="D261" s="195"/>
      <c r="E261" s="1" t="s">
        <v>1917</v>
      </c>
      <c r="F261" s="239" t="s">
        <v>1918</v>
      </c>
      <c r="G261" s="218"/>
      <c r="H261" s="176"/>
      <c r="I261" s="195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  <c r="AA261" s="176"/>
      <c r="AB261" s="152"/>
      <c r="AC261" s="152"/>
      <c r="AD261" s="152"/>
      <c r="AE261" s="152"/>
      <c r="AF261" s="152"/>
    </row>
    <row r="262" ht="18.75" customHeight="1">
      <c r="A262" s="176"/>
      <c r="B262" s="136" t="s">
        <v>1923</v>
      </c>
      <c r="C262" s="245" t="s">
        <v>1924</v>
      </c>
      <c r="D262" s="195"/>
      <c r="E262" s="1"/>
      <c r="F262" s="168" t="s">
        <v>1925</v>
      </c>
      <c r="G262" s="218"/>
      <c r="H262" s="176"/>
      <c r="I262" s="195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  <c r="AA262" s="176"/>
      <c r="AB262" s="152"/>
      <c r="AC262" s="152"/>
      <c r="AD262" s="152"/>
      <c r="AE262" s="152"/>
      <c r="AF262" s="152"/>
    </row>
    <row r="263">
      <c r="A263" s="176"/>
      <c r="B263" s="176" t="s">
        <v>1901</v>
      </c>
      <c r="C263" s="204" t="s">
        <v>253</v>
      </c>
      <c r="D263" s="176"/>
      <c r="E263" s="7"/>
      <c r="F263" s="176" t="s">
        <v>489</v>
      </c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  <c r="AA263" s="176"/>
      <c r="AB263" s="152"/>
      <c r="AC263" s="152"/>
      <c r="AD263" s="152"/>
      <c r="AE263" s="152"/>
      <c r="AF263" s="152"/>
    </row>
    <row r="264">
      <c r="A264" s="176"/>
      <c r="B264" s="176" t="s">
        <v>1936</v>
      </c>
      <c r="C264" s="204" t="s">
        <v>253</v>
      </c>
      <c r="D264" s="176"/>
      <c r="E264" s="7"/>
      <c r="F264" s="176" t="s">
        <v>489</v>
      </c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  <c r="AA264" s="176"/>
      <c r="AB264" s="152"/>
      <c r="AC264" s="152"/>
      <c r="AD264" s="152"/>
      <c r="AE264" s="152"/>
      <c r="AF264" s="152"/>
    </row>
    <row r="265">
      <c r="A265" s="176"/>
      <c r="B265" s="177" t="s">
        <v>1941</v>
      </c>
      <c r="C265" s="177" t="s">
        <v>1943</v>
      </c>
      <c r="D265" s="195"/>
      <c r="E265" s="178">
        <f>+919910956965</f>
        <v>919910956965</v>
      </c>
      <c r="F265" s="168" t="s">
        <v>1946</v>
      </c>
      <c r="G265" s="176"/>
      <c r="H265" s="176"/>
      <c r="I265" s="195"/>
      <c r="J265" s="176"/>
      <c r="K265" s="176"/>
      <c r="L265" s="176"/>
      <c r="M265" s="176"/>
      <c r="N265" s="176"/>
      <c r="O265" s="176"/>
      <c r="P265" s="176"/>
      <c r="Q265" s="176"/>
      <c r="R265" s="195"/>
      <c r="S265" s="176"/>
      <c r="T265" s="176"/>
      <c r="U265" s="176"/>
      <c r="V265" s="176"/>
      <c r="W265" s="176"/>
      <c r="X265" s="176"/>
      <c r="Y265" s="176"/>
      <c r="Z265" s="176"/>
      <c r="AA265" s="176"/>
      <c r="AB265" s="152"/>
      <c r="AC265" s="152"/>
      <c r="AD265" s="152"/>
      <c r="AE265" s="152"/>
      <c r="AF265" s="152"/>
    </row>
    <row r="266">
      <c r="A266" s="176"/>
      <c r="B266" s="177"/>
      <c r="C266" s="177"/>
      <c r="D266" s="195"/>
      <c r="E266" s="178"/>
      <c r="F266" s="168"/>
      <c r="G266" s="176"/>
      <c r="H266" s="176"/>
      <c r="I266" s="195"/>
      <c r="J266" s="176"/>
      <c r="K266" s="176"/>
      <c r="L266" s="176"/>
      <c r="M266" s="176"/>
      <c r="N266" s="176"/>
      <c r="O266" s="176"/>
      <c r="P266" s="176"/>
      <c r="Q266" s="176"/>
      <c r="R266" s="195"/>
      <c r="S266" s="176"/>
      <c r="T266" s="176"/>
      <c r="U266" s="176"/>
      <c r="V266" s="176"/>
      <c r="W266" s="176"/>
      <c r="X266" s="176"/>
      <c r="Y266" s="176"/>
      <c r="Z266" s="176"/>
      <c r="AA266" s="176"/>
      <c r="AB266" s="152"/>
      <c r="AC266" s="152"/>
      <c r="AD266" s="152"/>
      <c r="AE266" s="152"/>
      <c r="AF266" s="152"/>
    </row>
    <row r="267">
      <c r="A267" s="176"/>
      <c r="B267" s="177"/>
      <c r="C267" s="177"/>
      <c r="D267" s="195"/>
      <c r="E267" s="178"/>
      <c r="F267" s="168"/>
      <c r="G267" s="176"/>
      <c r="H267" s="176"/>
      <c r="I267" s="195"/>
      <c r="J267" s="176"/>
      <c r="K267" s="176"/>
      <c r="L267" s="176"/>
      <c r="M267" s="176"/>
      <c r="N267" s="176"/>
      <c r="O267" s="176"/>
      <c r="P267" s="176"/>
      <c r="Q267" s="176"/>
      <c r="R267" s="195"/>
      <c r="S267" s="176"/>
      <c r="T267" s="176"/>
      <c r="U267" s="176"/>
      <c r="V267" s="176"/>
      <c r="W267" s="176"/>
      <c r="X267" s="176"/>
      <c r="Y267" s="176"/>
      <c r="Z267" s="176"/>
      <c r="AA267" s="176"/>
      <c r="AB267" s="152"/>
      <c r="AC267" s="152"/>
      <c r="AD267" s="152"/>
      <c r="AE267" s="152"/>
      <c r="AF267" s="152"/>
    </row>
    <row r="268">
      <c r="A268" s="204" t="s">
        <v>1960</v>
      </c>
      <c r="B268" s="204" t="s">
        <v>1961</v>
      </c>
      <c r="C268" s="204" t="s">
        <v>253</v>
      </c>
      <c r="D268" s="176"/>
      <c r="E268" s="7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  <c r="AA268" s="176"/>
      <c r="AB268" s="152"/>
      <c r="AC268" s="152"/>
      <c r="AD268" s="152"/>
      <c r="AE268" s="152"/>
      <c r="AF268" s="152"/>
    </row>
    <row r="269">
      <c r="A269" s="204"/>
      <c r="B269" s="136" t="s">
        <v>1967</v>
      </c>
      <c r="C269" s="245" t="s">
        <v>1970</v>
      </c>
      <c r="D269" s="176"/>
      <c r="E269" s="7"/>
      <c r="F269" s="177" t="s">
        <v>1973</v>
      </c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  <c r="AA269" s="176"/>
      <c r="AB269" s="152"/>
      <c r="AC269" s="152"/>
      <c r="AD269" s="152"/>
      <c r="AE269" s="152"/>
      <c r="AF269" s="152"/>
    </row>
    <row r="270">
      <c r="A270" s="204"/>
      <c r="B270" s="136" t="s">
        <v>1976</v>
      </c>
      <c r="C270" s="245" t="s">
        <v>3</v>
      </c>
      <c r="D270" s="176"/>
      <c r="E270" s="7"/>
      <c r="F270" s="177" t="s">
        <v>1980</v>
      </c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  <c r="AA270" s="176"/>
      <c r="AB270" s="152"/>
      <c r="AC270" s="152"/>
      <c r="AD270" s="152"/>
      <c r="AE270" s="152"/>
      <c r="AF270" s="152"/>
    </row>
    <row r="271">
      <c r="A271" s="204"/>
      <c r="B271" s="136" t="s">
        <v>1984</v>
      </c>
      <c r="C271" s="245" t="s">
        <v>1986</v>
      </c>
      <c r="D271" s="176"/>
      <c r="E271" s="7"/>
      <c r="F271" s="168" t="s">
        <v>1987</v>
      </c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  <c r="AA271" s="176"/>
      <c r="AB271" s="152"/>
      <c r="AC271" s="152"/>
      <c r="AD271" s="152"/>
      <c r="AE271" s="152"/>
      <c r="AF271" s="152"/>
    </row>
    <row r="272">
      <c r="A272" s="204"/>
      <c r="B272" s="136" t="s">
        <v>1993</v>
      </c>
      <c r="C272" s="177" t="s">
        <v>1916</v>
      </c>
      <c r="D272" s="176"/>
      <c r="E272" s="178">
        <f>+919880202255</f>
        <v>919880202255</v>
      </c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  <c r="AA272" s="176"/>
      <c r="AB272" s="152"/>
      <c r="AC272" s="152"/>
      <c r="AD272" s="152"/>
      <c r="AE272" s="152"/>
      <c r="AF272" s="152"/>
    </row>
    <row r="273">
      <c r="A273" s="204" t="s">
        <v>200</v>
      </c>
      <c r="B273" s="176" t="s">
        <v>2002</v>
      </c>
      <c r="C273" s="204" t="s">
        <v>253</v>
      </c>
      <c r="D273" s="176"/>
      <c r="E273" s="7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  <c r="AA273" s="176"/>
      <c r="AB273" s="152"/>
      <c r="AC273" s="152"/>
      <c r="AD273" s="152"/>
      <c r="AE273" s="152"/>
      <c r="AF273" s="152"/>
    </row>
    <row r="274">
      <c r="A274" s="176" t="s">
        <v>200</v>
      </c>
      <c r="B274" s="176" t="s">
        <v>2007</v>
      </c>
      <c r="C274" s="204" t="s">
        <v>253</v>
      </c>
      <c r="D274" s="176"/>
      <c r="E274" s="7"/>
      <c r="F274" s="176"/>
      <c r="G274" s="218">
        <f>+919015853951</f>
        <v>919015853951</v>
      </c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52"/>
      <c r="AC274" s="152"/>
      <c r="AD274" s="152"/>
      <c r="AE274" s="152"/>
      <c r="AF274" s="152"/>
    </row>
    <row r="275">
      <c r="A275" s="176"/>
      <c r="B275" s="136" t="s">
        <v>2015</v>
      </c>
      <c r="C275" s="245" t="s">
        <v>2017</v>
      </c>
      <c r="D275" s="176"/>
      <c r="E275" s="7"/>
      <c r="F275" s="177" t="s">
        <v>2018</v>
      </c>
      <c r="G275" s="218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52"/>
      <c r="AC275" s="152"/>
      <c r="AD275" s="152"/>
      <c r="AE275" s="152"/>
      <c r="AF275" s="152"/>
    </row>
    <row r="276">
      <c r="A276" s="176"/>
      <c r="B276" s="136" t="s">
        <v>2024</v>
      </c>
      <c r="C276" s="243" t="s">
        <v>2026</v>
      </c>
      <c r="D276" s="176"/>
      <c r="E276" s="7"/>
      <c r="F276" s="177" t="s">
        <v>2028</v>
      </c>
      <c r="G276" s="218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52"/>
      <c r="AC276" s="152"/>
      <c r="AD276" s="152"/>
      <c r="AE276" s="152"/>
      <c r="AF276" s="152"/>
    </row>
    <row r="277">
      <c r="A277" s="176"/>
      <c r="B277" s="136" t="s">
        <v>2034</v>
      </c>
      <c r="C277" s="245" t="s">
        <v>2036</v>
      </c>
      <c r="D277" s="176"/>
      <c r="E277" s="7"/>
      <c r="F277" s="177" t="s">
        <v>2040</v>
      </c>
      <c r="G277" s="218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52"/>
      <c r="AC277" s="152"/>
      <c r="AD277" s="152"/>
      <c r="AE277" s="152"/>
      <c r="AF277" s="152"/>
    </row>
    <row r="278">
      <c r="A278" s="176"/>
      <c r="B278" s="176"/>
      <c r="C278" s="253"/>
      <c r="D278" s="176"/>
      <c r="E278" s="7"/>
      <c r="F278" s="176"/>
      <c r="G278" s="218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  <c r="AA278" s="176"/>
      <c r="AB278" s="152"/>
      <c r="AC278" s="152"/>
      <c r="AD278" s="152"/>
      <c r="AE278" s="152"/>
      <c r="AF278" s="152"/>
    </row>
    <row r="279">
      <c r="A279" s="176"/>
      <c r="B279" s="176"/>
      <c r="C279" s="254"/>
      <c r="D279" s="255"/>
      <c r="E279" s="7"/>
      <c r="F279" s="176"/>
      <c r="G279" s="176"/>
      <c r="H279" s="176"/>
      <c r="I279" s="255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  <c r="AA279" s="176"/>
      <c r="AB279" s="152"/>
      <c r="AC279" s="152"/>
      <c r="AD279" s="152"/>
      <c r="AE279" s="152"/>
      <c r="AF279" s="152"/>
    </row>
    <row r="280">
      <c r="A280" s="176" t="s">
        <v>2052</v>
      </c>
      <c r="B280" s="176" t="s">
        <v>1149</v>
      </c>
      <c r="C280" s="204" t="s">
        <v>253</v>
      </c>
      <c r="D280" s="255" t="s">
        <v>2054</v>
      </c>
      <c r="E280" s="7"/>
      <c r="F280" s="176" t="s">
        <v>2059</v>
      </c>
      <c r="G280" s="176" t="s">
        <v>489</v>
      </c>
      <c r="H280" s="176"/>
      <c r="I280" s="255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  <c r="AA280" s="176"/>
      <c r="AB280" s="152"/>
      <c r="AC280" s="152"/>
      <c r="AD280" s="152"/>
      <c r="AE280" s="152"/>
      <c r="AF280" s="152"/>
    </row>
    <row r="281">
      <c r="A281" s="176" t="s">
        <v>2052</v>
      </c>
      <c r="B281" s="176" t="s">
        <v>2065</v>
      </c>
      <c r="C281" s="204" t="s">
        <v>253</v>
      </c>
      <c r="D281" s="195" t="s">
        <v>2067</v>
      </c>
      <c r="E281" s="7"/>
      <c r="F281" s="176" t="s">
        <v>2071</v>
      </c>
      <c r="G281" s="176" t="s">
        <v>489</v>
      </c>
      <c r="H281" s="176"/>
      <c r="I281" s="195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  <c r="AA281" s="176"/>
      <c r="AB281" s="152"/>
      <c r="AC281" s="152"/>
      <c r="AD281" s="152"/>
      <c r="AE281" s="152"/>
      <c r="AF281" s="152"/>
    </row>
    <row r="282">
      <c r="A282" s="152"/>
      <c r="B282" s="136" t="s">
        <v>2073</v>
      </c>
      <c r="C282" s="177" t="s">
        <v>2077</v>
      </c>
      <c r="D282" s="152"/>
      <c r="E282" s="7"/>
      <c r="F282" s="169" t="s">
        <v>2079</v>
      </c>
      <c r="G282" s="1" t="s">
        <v>2079</v>
      </c>
      <c r="H282" s="7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</row>
    <row r="283">
      <c r="A283" s="156"/>
      <c r="B283" s="136" t="s">
        <v>2083</v>
      </c>
      <c r="C283" s="245" t="s">
        <v>2087</v>
      </c>
      <c r="D283" s="152"/>
      <c r="E283" s="7"/>
      <c r="F283" s="169" t="s">
        <v>2088</v>
      </c>
      <c r="G283" s="7"/>
      <c r="H283" s="7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</row>
    <row r="284">
      <c r="A284" s="156"/>
      <c r="B284" s="136" t="s">
        <v>2092</v>
      </c>
      <c r="C284" s="243" t="s">
        <v>1591</v>
      </c>
      <c r="D284" s="152"/>
      <c r="E284" s="7"/>
      <c r="F284" s="169" t="s">
        <v>1592</v>
      </c>
      <c r="G284" s="1" t="s">
        <v>1593</v>
      </c>
      <c r="H284" s="7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</row>
    <row r="285">
      <c r="A285" s="156"/>
      <c r="B285" s="152"/>
      <c r="C285" s="257"/>
      <c r="D285" s="152"/>
      <c r="E285" s="7"/>
      <c r="F285" s="169"/>
      <c r="G285" s="1"/>
      <c r="H285" s="7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</row>
    <row r="286">
      <c r="A286" s="152"/>
      <c r="B286" s="152"/>
      <c r="C286" s="204"/>
      <c r="D286" s="152"/>
      <c r="E286" s="7"/>
      <c r="F286" s="152"/>
      <c r="G286" s="7"/>
      <c r="H286" s="7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</row>
    <row r="287">
      <c r="A287" s="156"/>
      <c r="B287" s="152"/>
      <c r="C287" s="204"/>
      <c r="D287" s="152"/>
      <c r="E287" s="7"/>
      <c r="F287" s="152"/>
      <c r="G287" s="7"/>
      <c r="H287" s="7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</row>
    <row r="288">
      <c r="A288" s="156"/>
      <c r="B288" s="152"/>
      <c r="C288" s="204"/>
      <c r="D288" s="152"/>
      <c r="E288" s="7"/>
      <c r="F288" s="152"/>
      <c r="G288" s="7"/>
      <c r="H288" s="7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</row>
    <row r="289">
      <c r="A289" s="156"/>
      <c r="B289" s="152"/>
      <c r="C289" s="204"/>
      <c r="D289" s="152"/>
      <c r="E289" s="7"/>
      <c r="F289" s="152"/>
      <c r="G289" s="7"/>
      <c r="H289" s="7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</row>
    <row r="290">
      <c r="A290" s="152"/>
      <c r="B290" s="152"/>
      <c r="C290" s="204"/>
      <c r="D290" s="152"/>
      <c r="E290" s="7"/>
      <c r="F290" s="152"/>
      <c r="G290" s="7"/>
      <c r="H290" s="7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</row>
    <row r="291">
      <c r="A291" s="156"/>
      <c r="B291" s="152"/>
      <c r="C291" s="204"/>
      <c r="D291" s="152"/>
      <c r="E291" s="7"/>
      <c r="F291" s="152"/>
      <c r="G291" s="7"/>
      <c r="H291" s="7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</row>
    <row r="292">
      <c r="A292" s="156"/>
      <c r="B292" s="152"/>
      <c r="C292" s="204"/>
      <c r="D292" s="152"/>
      <c r="E292" s="7"/>
      <c r="F292" s="152"/>
      <c r="G292" s="7"/>
      <c r="H292" s="7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</row>
    <row r="293">
      <c r="A293" s="156"/>
      <c r="B293" s="152"/>
      <c r="C293" s="204"/>
      <c r="D293" s="152"/>
      <c r="E293" s="7"/>
      <c r="F293" s="152"/>
      <c r="G293" s="7"/>
      <c r="H293" s="7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</row>
    <row r="294">
      <c r="A294" s="7"/>
      <c r="B294" s="7"/>
      <c r="C294" s="204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>
      <c r="A295" s="7"/>
      <c r="B295" s="7"/>
      <c r="C295" s="204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>
      <c r="A296" s="7"/>
      <c r="B296" s="7"/>
      <c r="C296" s="204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>
      <c r="A297" s="7"/>
      <c r="B297" s="7"/>
      <c r="C297" s="204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>
      <c r="A298" s="7"/>
      <c r="B298" s="7"/>
      <c r="C298" s="204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>
      <c r="A299" s="7"/>
      <c r="B299" s="7"/>
      <c r="C299" s="204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>
      <c r="A300" s="7"/>
      <c r="B300" s="7"/>
      <c r="C300" s="204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>
      <c r="A301" s="7"/>
      <c r="B301" s="7"/>
      <c r="C301" s="204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>
      <c r="A302" s="7"/>
      <c r="B302" s="7"/>
      <c r="C302" s="204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>
      <c r="A303" s="7"/>
      <c r="B303" s="7"/>
      <c r="C303" s="204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>
      <c r="A304" s="7"/>
      <c r="B304" s="7"/>
      <c r="C304" s="204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>
      <c r="A305" s="7"/>
      <c r="B305" s="7"/>
      <c r="C305" s="204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>
      <c r="A306" s="7"/>
      <c r="B306" s="7"/>
      <c r="C306" s="204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>
      <c r="A307" s="7"/>
      <c r="B307" s="7"/>
      <c r="C307" s="204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>
      <c r="A308" s="7"/>
      <c r="B308" s="7"/>
      <c r="C308" s="204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</row>
    <row r="1064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</row>
    <row r="106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</row>
    <row r="1066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</row>
    <row r="1067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</row>
    <row r="1068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</row>
    <row r="106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</row>
    <row r="1070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</row>
    <row r="1071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</row>
    <row r="1072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</row>
    <row r="1073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</row>
    <row r="1074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</row>
    <row r="107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</row>
    <row r="1076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</row>
    <row r="1077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</row>
    <row r="1078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</row>
    <row r="107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</row>
    <row r="1080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</row>
    <row r="1081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</row>
    <row r="1082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</row>
    <row r="1083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</row>
    <row r="1084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</row>
    <row r="108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</row>
    <row r="1086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</row>
    <row r="1087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</row>
    <row r="1088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</row>
    <row r="108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</row>
    <row r="1090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</row>
    <row r="1091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</row>
    <row r="1092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</row>
    <row r="1093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</row>
    <row r="1094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</row>
    <row r="109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</row>
    <row r="1096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</row>
    <row r="1097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</row>
    <row r="1098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</row>
    <row r="109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</row>
    <row r="1100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</row>
    <row r="1101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</row>
    <row r="1102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</row>
    <row r="1103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</row>
    <row r="1104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</row>
    <row r="110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</row>
    <row r="1106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</row>
    <row r="1107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</row>
    <row r="1108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</row>
    <row r="110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</row>
    <row r="1110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</row>
  </sheetData>
  <mergeCells count="5">
    <mergeCell ref="A97:A99"/>
    <mergeCell ref="B97:B99"/>
    <mergeCell ref="C97:C99"/>
    <mergeCell ref="D97:D99"/>
    <mergeCell ref="E97:E99"/>
  </mergeCells>
  <conditionalFormatting sqref="B46:B47 B128:B129">
    <cfRule type="expression" dxfId="0" priority="1">
      <formula>COUNTIF($A:$A, $A46) &gt; 1</formula>
    </cfRule>
  </conditionalFormatting>
  <conditionalFormatting sqref="B1:B107 C108 B109:B1110">
    <cfRule type="expression" dxfId="0" priority="2">
      <formula>COUNTIF($B:$B, $B1) &gt; 1</formula>
    </cfRule>
  </conditionalFormatting>
  <hyperlinks>
    <hyperlink r:id="rId1" ref="D2"/>
    <hyperlink r:id="rId2" ref="B3"/>
    <hyperlink r:id="rId3" ref="D4"/>
    <hyperlink r:id="rId4" ref="D5"/>
    <hyperlink r:id="rId5" ref="D7"/>
    <hyperlink r:id="rId6" ref="B8"/>
    <hyperlink r:id="rId7" ref="D9"/>
    <hyperlink r:id="rId8" ref="D10"/>
    <hyperlink r:id="rId9" ref="D12"/>
    <hyperlink r:id="rId10" ref="D14"/>
    <hyperlink r:id="rId11" ref="D15"/>
    <hyperlink r:id="rId12" ref="D16"/>
    <hyperlink r:id="rId13" ref="D18"/>
    <hyperlink r:id="rId14" ref="D20"/>
    <hyperlink r:id="rId15" ref="D21"/>
    <hyperlink r:id="rId16" ref="D22"/>
    <hyperlink r:id="rId17" ref="D23"/>
    <hyperlink r:id="rId18" ref="D24"/>
    <hyperlink r:id="rId19" ref="D26"/>
    <hyperlink r:id="rId20" ref="D27"/>
    <hyperlink r:id="rId21" ref="D28"/>
    <hyperlink r:id="rId22" ref="D29"/>
    <hyperlink r:id="rId23" ref="D30"/>
    <hyperlink r:id="rId24" ref="D32"/>
    <hyperlink r:id="rId25" ref="D34"/>
    <hyperlink r:id="rId26" ref="D35"/>
    <hyperlink r:id="rId27" ref="D36"/>
    <hyperlink r:id="rId28" ref="D38"/>
    <hyperlink r:id="rId29" ref="D39"/>
    <hyperlink r:id="rId30" ref="D42"/>
    <hyperlink r:id="rId31" ref="A43"/>
    <hyperlink r:id="rId32" ref="D43"/>
    <hyperlink r:id="rId33" ref="D45"/>
    <hyperlink r:id="rId34" ref="D46"/>
    <hyperlink r:id="rId35" ref="D47"/>
    <hyperlink r:id="rId36" ref="B51"/>
    <hyperlink r:id="rId37" ref="D52"/>
    <hyperlink r:id="rId38" ref="D53"/>
    <hyperlink r:id="rId39" ref="D55"/>
    <hyperlink r:id="rId40" ref="D56"/>
    <hyperlink r:id="rId41" ref="D60"/>
    <hyperlink r:id="rId42" ref="D62"/>
    <hyperlink r:id="rId43" ref="D63"/>
    <hyperlink r:id="rId44" ref="D64"/>
    <hyperlink r:id="rId45" ref="D65"/>
    <hyperlink r:id="rId46" ref="B66"/>
    <hyperlink r:id="rId47" ref="B68"/>
    <hyperlink r:id="rId48" ref="B70"/>
    <hyperlink r:id="rId49" ref="D71"/>
    <hyperlink r:id="rId50" ref="B72"/>
    <hyperlink r:id="rId51" ref="B73"/>
    <hyperlink r:id="rId52" ref="D73"/>
    <hyperlink r:id="rId53" ref="B74"/>
    <hyperlink r:id="rId54" ref="B76"/>
    <hyperlink r:id="rId55" ref="B77"/>
    <hyperlink r:id="rId56" ref="B78"/>
    <hyperlink r:id="rId57" ref="B79"/>
    <hyperlink r:id="rId58" ref="B80"/>
    <hyperlink r:id="rId59" ref="B81"/>
    <hyperlink r:id="rId60" ref="B82"/>
    <hyperlink r:id="rId61" ref="B83"/>
    <hyperlink r:id="rId62" ref="B84"/>
    <hyperlink r:id="rId63" ref="B86"/>
    <hyperlink r:id="rId64" ref="B87"/>
    <hyperlink r:id="rId65" ref="B88"/>
    <hyperlink r:id="rId66" ref="D92"/>
    <hyperlink r:id="rId67" ref="D94"/>
    <hyperlink r:id="rId68" ref="B95"/>
    <hyperlink r:id="rId69" ref="D96"/>
    <hyperlink r:id="rId70" ref="D97"/>
    <hyperlink r:id="rId71" ref="D100"/>
    <hyperlink r:id="rId72" ref="D102"/>
    <hyperlink r:id="rId73" ref="D104"/>
    <hyperlink r:id="rId74" ref="B106"/>
    <hyperlink r:id="rId75" ref="D107"/>
    <hyperlink r:id="rId76" ref="D110"/>
    <hyperlink r:id="rId77" ref="D111"/>
    <hyperlink r:id="rId78" ref="B115"/>
    <hyperlink r:id="rId79" ref="B117"/>
    <hyperlink r:id="rId80" ref="D118"/>
    <hyperlink r:id="rId81" ref="D119"/>
    <hyperlink r:id="rId82" ref="B120"/>
    <hyperlink r:id="rId83" ref="D121"/>
    <hyperlink r:id="rId84" ref="B122"/>
    <hyperlink r:id="rId85" ref="D123"/>
    <hyperlink r:id="rId86" ref="D125"/>
    <hyperlink r:id="rId87" ref="D126"/>
    <hyperlink r:id="rId88" ref="D127"/>
    <hyperlink r:id="rId89" ref="B128"/>
    <hyperlink r:id="rId90" ref="D128"/>
    <hyperlink r:id="rId91" ref="D129"/>
    <hyperlink r:id="rId92" ref="B131"/>
    <hyperlink r:id="rId93" ref="D133"/>
    <hyperlink r:id="rId94" ref="D134"/>
    <hyperlink r:id="rId95" ref="D135"/>
    <hyperlink r:id="rId96" ref="D136"/>
    <hyperlink r:id="rId97" ref="D137"/>
    <hyperlink r:id="rId98" ref="D139"/>
    <hyperlink r:id="rId99" ref="D142"/>
    <hyperlink r:id="rId100" ref="D145"/>
    <hyperlink r:id="rId101" ref="D149"/>
    <hyperlink r:id="rId102" ref="D150"/>
    <hyperlink r:id="rId103" ref="D151"/>
    <hyperlink r:id="rId104" ref="D153"/>
    <hyperlink r:id="rId105" ref="D154"/>
    <hyperlink r:id="rId106" ref="D156"/>
    <hyperlink r:id="rId107" ref="D157"/>
    <hyperlink r:id="rId108" ref="D166"/>
    <hyperlink r:id="rId109" ref="D170"/>
    <hyperlink r:id="rId110" ref="D171"/>
    <hyperlink r:id="rId111" ref="D177"/>
    <hyperlink r:id="rId112" ref="D178"/>
    <hyperlink r:id="rId113" ref="D182"/>
    <hyperlink r:id="rId114" ref="D184"/>
    <hyperlink r:id="rId115" ref="F191"/>
    <hyperlink r:id="rId116" ref="D196"/>
    <hyperlink r:id="rId117" ref="B199"/>
    <hyperlink r:id="rId118" ref="A200"/>
    <hyperlink r:id="rId119" ref="C200"/>
    <hyperlink r:id="rId120" ref="A201"/>
    <hyperlink r:id="rId121" ref="C201"/>
    <hyperlink r:id="rId122" ref="D211"/>
    <hyperlink r:id="rId123" ref="B212"/>
    <hyperlink r:id="rId124" ref="D213"/>
    <hyperlink r:id="rId125" ref="D214"/>
    <hyperlink r:id="rId126" ref="D221"/>
    <hyperlink r:id="rId127" ref="B222"/>
    <hyperlink r:id="rId128" ref="B223"/>
    <hyperlink r:id="rId129" ref="D225"/>
    <hyperlink r:id="rId130" ref="B226"/>
    <hyperlink r:id="rId131" ref="B227"/>
    <hyperlink r:id="rId132" ref="B231"/>
    <hyperlink r:id="rId133" ref="B232"/>
    <hyperlink r:id="rId134" ref="B233"/>
    <hyperlink r:id="rId135" ref="B236"/>
    <hyperlink r:id="rId136" ref="B237"/>
    <hyperlink r:id="rId137" ref="B238"/>
    <hyperlink r:id="rId138" ref="B243"/>
    <hyperlink r:id="rId139" ref="B250"/>
    <hyperlink r:id="rId140" ref="B251"/>
    <hyperlink r:id="rId141" ref="B252"/>
    <hyperlink r:id="rId142" ref="B253"/>
    <hyperlink r:id="rId143" ref="D254"/>
    <hyperlink r:id="rId144" ref="D255"/>
    <hyperlink r:id="rId145" ref="B256"/>
    <hyperlink r:id="rId146" ref="B257"/>
    <hyperlink r:id="rId147" ref="B258"/>
    <hyperlink r:id="rId148" ref="D260"/>
    <hyperlink r:id="rId149" ref="B261"/>
    <hyperlink r:id="rId150" ref="B262"/>
    <hyperlink r:id="rId151" ref="B269"/>
    <hyperlink r:id="rId152" ref="B270"/>
    <hyperlink r:id="rId153" ref="B271"/>
    <hyperlink r:id="rId154" ref="B272"/>
    <hyperlink r:id="rId155" ref="B275"/>
    <hyperlink r:id="rId156" ref="B276"/>
    <hyperlink r:id="rId157" ref="B277"/>
    <hyperlink r:id="rId158" ref="D280"/>
    <hyperlink r:id="rId159" ref="D281"/>
    <hyperlink r:id="rId160" ref="B282"/>
    <hyperlink r:id="rId161" ref="B283"/>
    <hyperlink r:id="rId162" ref="B284"/>
  </hyperlinks>
  <drawing r:id="rId16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5.5"/>
    <col customWidth="1" min="3" max="3" width="18.0"/>
    <col customWidth="1" min="4" max="4" width="61.63"/>
    <col customWidth="1" min="5" max="5" width="16.25"/>
    <col customWidth="1" min="6" max="6" width="37.88"/>
  </cols>
  <sheetData>
    <row r="1">
      <c r="A1" s="8"/>
      <c r="B1" s="10"/>
      <c r="C1" s="11"/>
      <c r="D1" s="10"/>
      <c r="E1" s="10" t="s">
        <v>12</v>
      </c>
      <c r="F1" s="10"/>
      <c r="G1" s="10"/>
      <c r="H1" s="10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1" t="s">
        <v>0</v>
      </c>
      <c r="B2" s="21" t="s">
        <v>2</v>
      </c>
      <c r="C2" s="22" t="s">
        <v>4</v>
      </c>
      <c r="D2" s="21" t="s">
        <v>5</v>
      </c>
      <c r="E2" s="21" t="s">
        <v>6</v>
      </c>
      <c r="F2" s="21" t="s">
        <v>7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8" t="s">
        <v>26</v>
      </c>
      <c r="B3" s="30" t="s">
        <v>29</v>
      </c>
      <c r="C3" s="31" t="s">
        <v>30</v>
      </c>
      <c r="D3" s="34" t="s">
        <v>31</v>
      </c>
      <c r="E3" s="39">
        <f>919901466855</f>
        <v>919901466855</v>
      </c>
      <c r="F3" s="30" t="s">
        <v>43</v>
      </c>
      <c r="G3" s="40"/>
      <c r="H3" s="39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28" t="s">
        <v>26</v>
      </c>
      <c r="B4" s="28" t="s">
        <v>50</v>
      </c>
      <c r="C4" s="31" t="s">
        <v>51</v>
      </c>
      <c r="D4" s="34" t="s">
        <v>52</v>
      </c>
      <c r="E4" s="39"/>
      <c r="F4" s="30" t="s">
        <v>58</v>
      </c>
      <c r="G4" s="40"/>
      <c r="H4" s="39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39" t="s">
        <v>26</v>
      </c>
      <c r="B5" s="39" t="s">
        <v>64</v>
      </c>
      <c r="C5" s="48" t="s">
        <v>65</v>
      </c>
      <c r="D5" s="51" t="s">
        <v>66</v>
      </c>
      <c r="E5" s="39" t="s">
        <v>74</v>
      </c>
      <c r="F5" s="39" t="s">
        <v>76</v>
      </c>
      <c r="G5" s="40"/>
      <c r="H5" s="39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28"/>
      <c r="B6" s="52"/>
      <c r="C6" s="31"/>
      <c r="D6" s="28"/>
      <c r="E6" s="28"/>
      <c r="F6" s="28"/>
      <c r="G6" s="40"/>
      <c r="H6" s="39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28" t="s">
        <v>85</v>
      </c>
      <c r="B7" s="30" t="s">
        <v>86</v>
      </c>
      <c r="C7" s="31" t="s">
        <v>87</v>
      </c>
      <c r="D7" s="34" t="s">
        <v>88</v>
      </c>
      <c r="E7" s="39">
        <f>912228478782</f>
        <v>912228478782</v>
      </c>
      <c r="F7" s="30" t="s">
        <v>97</v>
      </c>
      <c r="G7" s="40"/>
      <c r="H7" s="39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28" t="s">
        <v>85</v>
      </c>
      <c r="B8" s="30" t="s">
        <v>107</v>
      </c>
      <c r="C8" s="31" t="s">
        <v>87</v>
      </c>
      <c r="D8" s="34" t="s">
        <v>108</v>
      </c>
      <c r="E8" s="28">
        <f>919820193748</f>
        <v>919820193748</v>
      </c>
      <c r="F8" s="30" t="s">
        <v>112</v>
      </c>
      <c r="G8" s="40"/>
      <c r="H8" s="39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28" t="s">
        <v>85</v>
      </c>
      <c r="B9" s="28" t="s">
        <v>116</v>
      </c>
      <c r="C9" s="31" t="s">
        <v>117</v>
      </c>
      <c r="D9" s="34" t="s">
        <v>118</v>
      </c>
      <c r="E9" s="39"/>
      <c r="F9" s="39" t="s">
        <v>124</v>
      </c>
      <c r="G9" s="40"/>
      <c r="H9" s="39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39" t="s">
        <v>85</v>
      </c>
      <c r="B10" s="39" t="s">
        <v>127</v>
      </c>
      <c r="C10" s="48" t="s">
        <v>51</v>
      </c>
      <c r="D10" s="51" t="s">
        <v>129</v>
      </c>
      <c r="E10" s="39"/>
      <c r="F10" s="39" t="s">
        <v>131</v>
      </c>
      <c r="G10" s="40"/>
      <c r="H10" s="39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28"/>
      <c r="B11" s="28"/>
      <c r="C11" s="31"/>
      <c r="D11" s="28"/>
      <c r="E11" s="39"/>
      <c r="F11" s="28"/>
      <c r="G11" s="40"/>
      <c r="H11" s="39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28" t="s">
        <v>144</v>
      </c>
      <c r="B12" s="30" t="s">
        <v>145</v>
      </c>
      <c r="C12" s="31" t="s">
        <v>147</v>
      </c>
      <c r="D12" s="34" t="s">
        <v>148</v>
      </c>
      <c r="E12" s="28" t="s">
        <v>154</v>
      </c>
      <c r="F12" s="30" t="s">
        <v>155</v>
      </c>
      <c r="G12" s="40"/>
      <c r="H12" s="39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28" t="s">
        <v>144</v>
      </c>
      <c r="B13" s="30" t="s">
        <v>161</v>
      </c>
      <c r="C13" s="31" t="s">
        <v>93</v>
      </c>
      <c r="D13" s="34" t="s">
        <v>162</v>
      </c>
      <c r="E13" s="39"/>
      <c r="F13" s="30" t="s">
        <v>166</v>
      </c>
      <c r="G13" s="40"/>
      <c r="H13" s="39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39" t="s">
        <v>144</v>
      </c>
      <c r="B14" s="30" t="s">
        <v>170</v>
      </c>
      <c r="C14" s="48" t="s">
        <v>172</v>
      </c>
      <c r="D14" s="51" t="s">
        <v>174</v>
      </c>
      <c r="E14" s="39">
        <f>919650628650</f>
        <v>919650628650</v>
      </c>
      <c r="F14" s="10" t="s">
        <v>181</v>
      </c>
      <c r="G14" s="40"/>
      <c r="H14" s="39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28" t="s">
        <v>144</v>
      </c>
      <c r="B15" s="30" t="s">
        <v>186</v>
      </c>
      <c r="C15" s="31" t="s">
        <v>172</v>
      </c>
      <c r="D15" s="34" t="s">
        <v>189</v>
      </c>
      <c r="E15" s="39">
        <f>918670004609</f>
        <v>918670004609</v>
      </c>
      <c r="F15" s="30" t="s">
        <v>199</v>
      </c>
      <c r="G15" s="40"/>
      <c r="H15" s="39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28" t="s">
        <v>144</v>
      </c>
      <c r="B16" s="28" t="s">
        <v>201</v>
      </c>
      <c r="C16" s="31" t="s">
        <v>204</v>
      </c>
      <c r="D16" s="34" t="s">
        <v>207</v>
      </c>
      <c r="E16" s="39"/>
      <c r="F16" s="28" t="s">
        <v>211</v>
      </c>
      <c r="G16" s="40"/>
      <c r="H16" s="39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28"/>
      <c r="B17" s="28"/>
      <c r="C17" s="31"/>
      <c r="D17" s="28"/>
      <c r="E17" s="39"/>
      <c r="F17" s="39"/>
      <c r="G17" s="40"/>
      <c r="H17" s="39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76" t="s">
        <v>220</v>
      </c>
      <c r="B18" s="10" t="s">
        <v>222</v>
      </c>
      <c r="C18" s="48" t="s">
        <v>224</v>
      </c>
      <c r="D18" s="51" t="s">
        <v>225</v>
      </c>
      <c r="E18" s="39">
        <f>919741145430</f>
        <v>919741145430</v>
      </c>
      <c r="F18" s="10" t="s">
        <v>231</v>
      </c>
      <c r="G18" s="40"/>
      <c r="H18" s="39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82" t="s">
        <v>220</v>
      </c>
      <c r="B19" s="30" t="s">
        <v>236</v>
      </c>
      <c r="C19" s="31" t="s">
        <v>237</v>
      </c>
      <c r="D19" s="34" t="s">
        <v>239</v>
      </c>
      <c r="E19" s="39">
        <f>919940170373</f>
        <v>919940170373</v>
      </c>
      <c r="F19" s="30" t="s">
        <v>243</v>
      </c>
      <c r="G19" s="40"/>
      <c r="H19" s="39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82" t="s">
        <v>220</v>
      </c>
      <c r="B20" s="28" t="s">
        <v>248</v>
      </c>
      <c r="C20" s="31" t="s">
        <v>117</v>
      </c>
      <c r="D20" s="34" t="s">
        <v>249</v>
      </c>
      <c r="E20" s="28"/>
      <c r="F20" s="28" t="s">
        <v>256</v>
      </c>
      <c r="G20" s="40"/>
      <c r="H20" s="39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39"/>
      <c r="B21" s="39"/>
      <c r="C21" s="48"/>
      <c r="D21" s="39"/>
      <c r="E21" s="39"/>
      <c r="F21" s="39"/>
      <c r="G21" s="40"/>
      <c r="H21" s="39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28" t="s">
        <v>268</v>
      </c>
      <c r="B22" s="30" t="s">
        <v>269</v>
      </c>
      <c r="C22" s="31" t="s">
        <v>87</v>
      </c>
      <c r="D22" s="34" t="s">
        <v>270</v>
      </c>
      <c r="E22" s="28">
        <f>919205474066</f>
        <v>919205474066</v>
      </c>
      <c r="F22" s="30" t="s">
        <v>277</v>
      </c>
      <c r="G22" s="40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28" t="s">
        <v>268</v>
      </c>
      <c r="B23" s="30" t="s">
        <v>282</v>
      </c>
      <c r="C23" s="31" t="s">
        <v>87</v>
      </c>
      <c r="D23" s="34" t="s">
        <v>283</v>
      </c>
      <c r="E23" s="39">
        <f>918527875599</f>
        <v>918527875599</v>
      </c>
      <c r="F23" s="30" t="s">
        <v>295</v>
      </c>
      <c r="G23" s="40"/>
      <c r="H23" s="39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28" t="s">
        <v>268</v>
      </c>
      <c r="B24" s="28" t="s">
        <v>300</v>
      </c>
      <c r="C24" s="31" t="s">
        <v>51</v>
      </c>
      <c r="D24" s="34" t="s">
        <v>301</v>
      </c>
      <c r="E24" s="39">
        <f>918527584737</f>
        <v>918527584737</v>
      </c>
      <c r="F24" s="28" t="s">
        <v>309</v>
      </c>
      <c r="G24" s="40"/>
      <c r="H24" s="39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39"/>
      <c r="B25" s="39"/>
      <c r="C25" s="48"/>
      <c r="D25" s="39"/>
      <c r="E25" s="39"/>
      <c r="F25" s="39"/>
      <c r="G25" s="40"/>
      <c r="H25" s="39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28" t="s">
        <v>316</v>
      </c>
      <c r="B26" s="30" t="s">
        <v>318</v>
      </c>
      <c r="C26" s="31" t="s">
        <v>147</v>
      </c>
      <c r="D26" s="34" t="s">
        <v>321</v>
      </c>
      <c r="E26" s="28">
        <f>919819421026</f>
        <v>919819421026</v>
      </c>
      <c r="F26" s="30" t="s">
        <v>328</v>
      </c>
      <c r="G26" s="40"/>
      <c r="H26" s="39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28" t="s">
        <v>316</v>
      </c>
      <c r="B27" s="30" t="s">
        <v>335</v>
      </c>
      <c r="C27" s="31" t="s">
        <v>237</v>
      </c>
      <c r="D27" s="34" t="s">
        <v>336</v>
      </c>
      <c r="E27" s="39"/>
      <c r="F27" s="30" t="s">
        <v>343</v>
      </c>
      <c r="G27" s="40"/>
      <c r="H27" s="39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28" t="s">
        <v>316</v>
      </c>
      <c r="B28" s="30" t="s">
        <v>348</v>
      </c>
      <c r="C28" s="31" t="s">
        <v>349</v>
      </c>
      <c r="D28" s="34" t="s">
        <v>350</v>
      </c>
      <c r="E28" s="39"/>
      <c r="F28" s="28" t="s">
        <v>356</v>
      </c>
      <c r="G28" s="40"/>
      <c r="H28" s="39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39"/>
      <c r="B29" s="39"/>
      <c r="C29" s="48"/>
      <c r="D29" s="39"/>
      <c r="E29" s="39"/>
      <c r="F29" s="39"/>
      <c r="G29" s="40"/>
      <c r="H29" s="39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28" t="s">
        <v>364</v>
      </c>
      <c r="B30" s="30" t="s">
        <v>366</v>
      </c>
      <c r="C30" s="31" t="s">
        <v>237</v>
      </c>
      <c r="D30" s="34" t="s">
        <v>368</v>
      </c>
      <c r="E30" s="39">
        <f>919845400180</f>
        <v>919845400180</v>
      </c>
      <c r="F30" s="30" t="s">
        <v>373</v>
      </c>
      <c r="G30" s="40"/>
      <c r="H30" s="39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28" t="s">
        <v>364</v>
      </c>
      <c r="B31" s="28" t="s">
        <v>379</v>
      </c>
      <c r="C31" s="31" t="s">
        <v>381</v>
      </c>
      <c r="D31" s="34" t="s">
        <v>383</v>
      </c>
      <c r="E31" s="39" t="s">
        <v>385</v>
      </c>
      <c r="F31" s="28" t="s">
        <v>387</v>
      </c>
      <c r="G31" s="40"/>
      <c r="H31" s="39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28" t="s">
        <v>364</v>
      </c>
      <c r="B32" s="28" t="s">
        <v>393</v>
      </c>
      <c r="C32" s="31" t="s">
        <v>394</v>
      </c>
      <c r="D32" s="34" t="s">
        <v>396</v>
      </c>
      <c r="E32" s="39" t="s">
        <v>401</v>
      </c>
      <c r="F32" s="28" t="s">
        <v>402</v>
      </c>
      <c r="G32" s="40"/>
      <c r="H32" s="39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28"/>
      <c r="B33" s="28"/>
      <c r="C33" s="31"/>
      <c r="D33" s="28"/>
      <c r="E33" s="39"/>
      <c r="F33" s="28"/>
      <c r="G33" s="40"/>
      <c r="H33" s="39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39" t="s">
        <v>413</v>
      </c>
      <c r="B34" s="10" t="s">
        <v>415</v>
      </c>
      <c r="C34" s="48" t="s">
        <v>417</v>
      </c>
      <c r="D34" s="51" t="s">
        <v>418</v>
      </c>
      <c r="E34" s="39" t="s">
        <v>425</v>
      </c>
      <c r="F34" s="10" t="s">
        <v>426</v>
      </c>
      <c r="G34" s="40"/>
      <c r="H34" s="39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28" t="s">
        <v>413</v>
      </c>
      <c r="B35" s="30" t="s">
        <v>430</v>
      </c>
      <c r="C35" s="31" t="s">
        <v>417</v>
      </c>
      <c r="D35" s="34" t="s">
        <v>431</v>
      </c>
      <c r="E35" s="39">
        <f>919910707283</f>
        <v>919910707283</v>
      </c>
      <c r="F35" s="30" t="s">
        <v>437</v>
      </c>
      <c r="G35" s="40"/>
      <c r="H35" s="39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28" t="s">
        <v>413</v>
      </c>
      <c r="B36" s="28" t="s">
        <v>439</v>
      </c>
      <c r="C36" s="31" t="s">
        <v>440</v>
      </c>
      <c r="D36" s="34" t="s">
        <v>441</v>
      </c>
      <c r="E36" s="39"/>
      <c r="F36" s="28" t="s">
        <v>443</v>
      </c>
      <c r="G36" s="40"/>
      <c r="H36" s="39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28"/>
      <c r="B37" s="28"/>
      <c r="C37" s="31"/>
      <c r="D37" s="28"/>
      <c r="E37" s="28"/>
      <c r="F37" s="28"/>
      <c r="G37" s="40"/>
      <c r="H37" s="39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39" t="s">
        <v>448</v>
      </c>
      <c r="B38" s="10" t="s">
        <v>449</v>
      </c>
      <c r="C38" s="48" t="s">
        <v>237</v>
      </c>
      <c r="D38" s="51" t="s">
        <v>450</v>
      </c>
      <c r="E38" s="39">
        <f>912228238110</f>
        <v>912228238110</v>
      </c>
      <c r="F38" s="10" t="s">
        <v>453</v>
      </c>
      <c r="G38" s="40"/>
      <c r="H38" s="39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28" t="s">
        <v>448</v>
      </c>
      <c r="B39" s="30" t="s">
        <v>456</v>
      </c>
      <c r="C39" s="31" t="s">
        <v>175</v>
      </c>
      <c r="D39" s="34" t="s">
        <v>457</v>
      </c>
      <c r="E39" s="39">
        <f>919167755531</f>
        <v>919167755531</v>
      </c>
      <c r="F39" s="30" t="s">
        <v>462</v>
      </c>
      <c r="G39" s="40"/>
      <c r="H39" s="39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28" t="s">
        <v>448</v>
      </c>
      <c r="B40" s="28" t="s">
        <v>464</v>
      </c>
      <c r="C40" s="31" t="s">
        <v>466</v>
      </c>
      <c r="D40" s="34" t="s">
        <v>467</v>
      </c>
      <c r="E40" s="39">
        <f>919966602905</f>
        <v>919966602905</v>
      </c>
      <c r="F40" s="28" t="s">
        <v>473</v>
      </c>
      <c r="G40" s="40"/>
      <c r="H40" s="39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28"/>
      <c r="B41" s="28"/>
      <c r="C41" s="31"/>
      <c r="D41" s="28"/>
      <c r="E41" s="39"/>
      <c r="F41" s="28"/>
      <c r="G41" s="40"/>
      <c r="H41" s="39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39" t="s">
        <v>482</v>
      </c>
      <c r="B42" s="10" t="s">
        <v>483</v>
      </c>
      <c r="C42" s="48" t="s">
        <v>237</v>
      </c>
      <c r="D42" s="51" t="s">
        <v>484</v>
      </c>
      <c r="E42" s="39" t="s">
        <v>491</v>
      </c>
      <c r="F42" s="10" t="s">
        <v>492</v>
      </c>
      <c r="G42" s="40"/>
      <c r="H42" s="39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28" t="s">
        <v>482</v>
      </c>
      <c r="B43" s="30" t="s">
        <v>495</v>
      </c>
      <c r="C43" s="31" t="s">
        <v>237</v>
      </c>
      <c r="D43" s="34" t="s">
        <v>496</v>
      </c>
      <c r="E43" s="39">
        <f>913339472132</f>
        <v>913339472132</v>
      </c>
      <c r="F43" s="30" t="s">
        <v>500</v>
      </c>
      <c r="G43" s="40"/>
      <c r="H43" s="39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28" t="s">
        <v>482</v>
      </c>
      <c r="B44" s="30" t="s">
        <v>504</v>
      </c>
      <c r="C44" s="31" t="s">
        <v>172</v>
      </c>
      <c r="D44" s="34" t="s">
        <v>505</v>
      </c>
      <c r="E44" s="28" t="s">
        <v>509</v>
      </c>
      <c r="F44" s="30" t="s">
        <v>510</v>
      </c>
      <c r="G44" s="40"/>
      <c r="H44" s="39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28" t="s">
        <v>482</v>
      </c>
      <c r="B45" s="39" t="s">
        <v>518</v>
      </c>
      <c r="C45" s="48" t="s">
        <v>519</v>
      </c>
      <c r="D45" s="51" t="s">
        <v>520</v>
      </c>
      <c r="E45" s="39"/>
      <c r="F45" s="39"/>
      <c r="G45" s="40"/>
      <c r="H45" s="39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28"/>
      <c r="B46" s="28"/>
      <c r="C46" s="31"/>
      <c r="D46" s="28"/>
      <c r="E46" s="39"/>
      <c r="F46" s="28"/>
      <c r="G46" s="40"/>
      <c r="H46" s="39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28" t="s">
        <v>533</v>
      </c>
      <c r="B47" s="30" t="s">
        <v>534</v>
      </c>
      <c r="C47" s="31" t="s">
        <v>237</v>
      </c>
      <c r="D47" s="34" t="s">
        <v>535</v>
      </c>
      <c r="E47" s="39">
        <f>919980559944</f>
        <v>919980559944</v>
      </c>
      <c r="F47" s="30" t="s">
        <v>536</v>
      </c>
      <c r="G47" s="40"/>
      <c r="H47" s="39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28" t="s">
        <v>533</v>
      </c>
      <c r="B48" s="30" t="s">
        <v>539</v>
      </c>
      <c r="C48" s="31" t="s">
        <v>237</v>
      </c>
      <c r="D48" s="34" t="s">
        <v>540</v>
      </c>
      <c r="E48" s="39" t="s">
        <v>542</v>
      </c>
      <c r="F48" s="30" t="s">
        <v>543</v>
      </c>
      <c r="G48" s="40"/>
      <c r="H48" s="39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39" t="s">
        <v>533</v>
      </c>
      <c r="B49" s="39" t="s">
        <v>544</v>
      </c>
      <c r="C49" s="48" t="s">
        <v>546</v>
      </c>
      <c r="D49" s="51" t="s">
        <v>547</v>
      </c>
      <c r="E49" s="39"/>
      <c r="F49" s="39" t="s">
        <v>550</v>
      </c>
      <c r="G49" s="40"/>
      <c r="H49" s="39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28"/>
      <c r="B50" s="28"/>
      <c r="C50" s="31"/>
      <c r="D50" s="28"/>
      <c r="E50" s="39"/>
      <c r="F50" s="28"/>
      <c r="G50" s="40"/>
      <c r="H50" s="39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28" t="s">
        <v>554</v>
      </c>
      <c r="B51" s="30" t="s">
        <v>555</v>
      </c>
      <c r="C51" s="31" t="s">
        <v>237</v>
      </c>
      <c r="D51" s="34" t="s">
        <v>556</v>
      </c>
      <c r="E51" s="39">
        <f>1919967553215</f>
        <v>1919967553215</v>
      </c>
      <c r="F51" s="30" t="s">
        <v>558</v>
      </c>
      <c r="G51" s="40"/>
      <c r="H51" s="39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28" t="s">
        <v>554</v>
      </c>
      <c r="B52" s="30" t="s">
        <v>564</v>
      </c>
      <c r="C52" s="31" t="s">
        <v>87</v>
      </c>
      <c r="D52" s="34" t="s">
        <v>565</v>
      </c>
      <c r="E52" s="39">
        <f>918053419545</f>
        <v>918053419545</v>
      </c>
      <c r="F52" s="30" t="s">
        <v>566</v>
      </c>
      <c r="G52" s="40"/>
      <c r="H52" s="39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39" t="s">
        <v>554</v>
      </c>
      <c r="B53" s="39" t="s">
        <v>575</v>
      </c>
      <c r="C53" s="48" t="s">
        <v>51</v>
      </c>
      <c r="D53" s="51" t="s">
        <v>576</v>
      </c>
      <c r="E53" s="39"/>
      <c r="F53" s="39"/>
      <c r="G53" s="40"/>
      <c r="H53" s="39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28"/>
      <c r="B54" s="28"/>
      <c r="C54" s="31"/>
      <c r="D54" s="28"/>
      <c r="E54" s="39"/>
      <c r="F54" s="28"/>
      <c r="G54" s="40"/>
      <c r="H54" s="39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28" t="s">
        <v>588</v>
      </c>
      <c r="B55" s="30" t="s">
        <v>590</v>
      </c>
      <c r="C55" s="31" t="s">
        <v>147</v>
      </c>
      <c r="D55" s="34" t="s">
        <v>592</v>
      </c>
      <c r="E55" s="39">
        <f>13132046319</f>
        <v>13132046319</v>
      </c>
      <c r="F55" s="30" t="s">
        <v>598</v>
      </c>
      <c r="G55" s="40"/>
      <c r="H55" s="39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28" t="s">
        <v>588</v>
      </c>
      <c r="B56" s="28" t="s">
        <v>600</v>
      </c>
      <c r="C56" s="31" t="s">
        <v>51</v>
      </c>
      <c r="D56" s="34" t="s">
        <v>601</v>
      </c>
      <c r="E56" s="39" t="s">
        <v>603</v>
      </c>
      <c r="F56" s="28" t="s">
        <v>605</v>
      </c>
      <c r="G56" s="40"/>
      <c r="H56" s="39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28"/>
      <c r="B57" s="39"/>
      <c r="C57" s="48"/>
      <c r="D57" s="39"/>
      <c r="E57" s="39"/>
      <c r="F57" s="39"/>
      <c r="G57" s="40"/>
      <c r="H57" s="3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28" t="s">
        <v>613</v>
      </c>
      <c r="B58" s="30" t="s">
        <v>614</v>
      </c>
      <c r="C58" s="31" t="s">
        <v>615</v>
      </c>
      <c r="D58" s="34" t="s">
        <v>616</v>
      </c>
      <c r="E58" s="39" t="s">
        <v>619</v>
      </c>
      <c r="F58" s="30" t="s">
        <v>620</v>
      </c>
      <c r="G58" s="40"/>
      <c r="H58" s="3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28" t="s">
        <v>613</v>
      </c>
      <c r="B59" s="30" t="s">
        <v>622</v>
      </c>
      <c r="C59" s="31" t="s">
        <v>615</v>
      </c>
      <c r="D59" s="34" t="s">
        <v>623</v>
      </c>
      <c r="E59" s="39">
        <f>919781979555</f>
        <v>919781979555</v>
      </c>
      <c r="F59" s="30" t="s">
        <v>629</v>
      </c>
      <c r="G59" s="40"/>
      <c r="H59" s="3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28" t="s">
        <v>613</v>
      </c>
      <c r="B60" s="28" t="s">
        <v>633</v>
      </c>
      <c r="C60" s="31" t="s">
        <v>51</v>
      </c>
      <c r="D60" s="34" t="s">
        <v>634</v>
      </c>
      <c r="E60" s="39"/>
      <c r="F60" s="28" t="s">
        <v>636</v>
      </c>
      <c r="G60" s="40"/>
      <c r="H60" s="3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39"/>
      <c r="B61" s="39"/>
      <c r="C61" s="48"/>
      <c r="D61" s="39"/>
      <c r="E61" s="39"/>
      <c r="F61" s="39"/>
      <c r="G61" s="40"/>
      <c r="H61" s="39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28" t="s">
        <v>638</v>
      </c>
      <c r="B62" s="30" t="s">
        <v>639</v>
      </c>
      <c r="C62" s="31" t="s">
        <v>615</v>
      </c>
      <c r="D62" s="34" t="s">
        <v>640</v>
      </c>
      <c r="E62" s="28" t="s">
        <v>643</v>
      </c>
      <c r="F62" s="30" t="s">
        <v>645</v>
      </c>
      <c r="G62" s="40"/>
      <c r="H62" s="39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28" t="s">
        <v>638</v>
      </c>
      <c r="B63" s="28" t="s">
        <v>646</v>
      </c>
      <c r="C63" s="31" t="s">
        <v>117</v>
      </c>
      <c r="D63" s="34" t="s">
        <v>647</v>
      </c>
      <c r="E63" s="28"/>
      <c r="F63" s="28" t="s">
        <v>652</v>
      </c>
      <c r="G63" s="40"/>
      <c r="H63" s="39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28" t="s">
        <v>638</v>
      </c>
      <c r="B64" s="28" t="s">
        <v>653</v>
      </c>
      <c r="C64" s="31" t="s">
        <v>65</v>
      </c>
      <c r="D64" s="34" t="s">
        <v>655</v>
      </c>
      <c r="E64" s="28">
        <f>918879026461</f>
        <v>918879026461</v>
      </c>
      <c r="F64" s="28" t="s">
        <v>658</v>
      </c>
      <c r="G64" s="40"/>
      <c r="H64" s="39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39"/>
      <c r="B65" s="39"/>
      <c r="C65" s="48"/>
      <c r="D65" s="39"/>
      <c r="E65" s="39"/>
      <c r="F65" s="39"/>
      <c r="G65" s="40"/>
      <c r="H65" s="39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39" t="s">
        <v>662</v>
      </c>
      <c r="B66" s="10" t="s">
        <v>663</v>
      </c>
      <c r="C66" s="48" t="s">
        <v>172</v>
      </c>
      <c r="D66" s="51" t="s">
        <v>664</v>
      </c>
      <c r="E66" s="39">
        <f>919987026671</f>
        <v>919987026671</v>
      </c>
      <c r="F66" s="10" t="s">
        <v>666</v>
      </c>
      <c r="G66" s="40"/>
      <c r="H66" s="39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39" t="s">
        <v>662</v>
      </c>
      <c r="B67" s="10" t="s">
        <v>667</v>
      </c>
      <c r="C67" s="48" t="s">
        <v>172</v>
      </c>
      <c r="D67" s="51" t="s">
        <v>668</v>
      </c>
      <c r="E67" s="39"/>
      <c r="F67" s="10" t="s">
        <v>672</v>
      </c>
      <c r="G67" s="40"/>
      <c r="H67" s="39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39" t="s">
        <v>662</v>
      </c>
      <c r="B68" s="10" t="s">
        <v>674</v>
      </c>
      <c r="C68" s="48" t="s">
        <v>172</v>
      </c>
      <c r="D68" s="51" t="s">
        <v>676</v>
      </c>
      <c r="E68" s="39">
        <f>919324204995</f>
        <v>919324204995</v>
      </c>
      <c r="F68" s="10" t="s">
        <v>678</v>
      </c>
      <c r="G68" s="40"/>
      <c r="H68" s="39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39" t="s">
        <v>662</v>
      </c>
      <c r="B69" s="39" t="s">
        <v>679</v>
      </c>
      <c r="C69" s="48" t="s">
        <v>680</v>
      </c>
      <c r="D69" s="51" t="s">
        <v>681</v>
      </c>
      <c r="E69" s="39">
        <f>919663310792</f>
        <v>919663310792</v>
      </c>
      <c r="F69" s="39" t="s">
        <v>684</v>
      </c>
      <c r="G69" s="40"/>
      <c r="H69" s="39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39"/>
      <c r="B70" s="39"/>
      <c r="C70" s="48"/>
      <c r="D70" s="39"/>
      <c r="E70" s="39"/>
      <c r="F70" s="39"/>
      <c r="G70" s="40"/>
      <c r="H70" s="39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39" t="s">
        <v>687</v>
      </c>
      <c r="B71" s="10" t="s">
        <v>688</v>
      </c>
      <c r="C71" s="48" t="s">
        <v>147</v>
      </c>
      <c r="D71" s="51" t="s">
        <v>689</v>
      </c>
      <c r="E71" s="39">
        <f>911246409136</f>
        <v>911246409136</v>
      </c>
      <c r="F71" s="10" t="s">
        <v>691</v>
      </c>
      <c r="G71" s="40"/>
      <c r="H71" s="39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39" t="s">
        <v>687</v>
      </c>
      <c r="B72" s="10" t="s">
        <v>693</v>
      </c>
      <c r="C72" s="48" t="s">
        <v>87</v>
      </c>
      <c r="D72" s="51" t="s">
        <v>694</v>
      </c>
      <c r="E72" s="39"/>
      <c r="F72" s="10" t="s">
        <v>696</v>
      </c>
      <c r="G72" s="40"/>
      <c r="H72" s="39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39" t="s">
        <v>687</v>
      </c>
      <c r="B73" s="39" t="s">
        <v>698</v>
      </c>
      <c r="C73" s="48" t="s">
        <v>51</v>
      </c>
      <c r="D73" s="51" t="s">
        <v>699</v>
      </c>
      <c r="E73" s="39" t="s">
        <v>701</v>
      </c>
      <c r="F73" s="39" t="s">
        <v>702</v>
      </c>
      <c r="G73" s="40"/>
      <c r="H73" s="39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39"/>
      <c r="B74" s="39"/>
      <c r="C74" s="48"/>
      <c r="D74" s="39"/>
      <c r="E74" s="39"/>
      <c r="F74" s="39"/>
      <c r="G74" s="40"/>
      <c r="H74" s="39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39" t="s">
        <v>707</v>
      </c>
      <c r="B75" s="10" t="s">
        <v>708</v>
      </c>
      <c r="C75" s="48" t="s">
        <v>417</v>
      </c>
      <c r="D75" s="51" t="s">
        <v>709</v>
      </c>
      <c r="E75" s="39">
        <f>919820952319</f>
        <v>919820952319</v>
      </c>
      <c r="F75" s="10" t="s">
        <v>711</v>
      </c>
      <c r="G75" s="40"/>
      <c r="H75" s="39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39" t="s">
        <v>707</v>
      </c>
      <c r="B76" s="39" t="s">
        <v>713</v>
      </c>
      <c r="C76" s="48" t="s">
        <v>715</v>
      </c>
      <c r="D76" s="51" t="s">
        <v>716</v>
      </c>
      <c r="E76" s="39"/>
      <c r="F76" s="39" t="s">
        <v>718</v>
      </c>
      <c r="G76" s="40"/>
      <c r="H76" s="39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39" t="s">
        <v>707</v>
      </c>
      <c r="B77" s="52" t="s">
        <v>720</v>
      </c>
      <c r="C77" s="146" t="s">
        <v>721</v>
      </c>
      <c r="D77" s="149" t="s">
        <v>722</v>
      </c>
      <c r="E77" s="39"/>
      <c r="F77" s="39"/>
      <c r="G77" s="40"/>
      <c r="H77" s="39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39"/>
      <c r="B78" s="39"/>
      <c r="C78" s="48"/>
      <c r="D78" s="39"/>
      <c r="E78" s="39"/>
      <c r="F78" s="39"/>
      <c r="G78" s="40"/>
      <c r="H78" s="39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39" t="s">
        <v>725</v>
      </c>
      <c r="B79" s="10" t="s">
        <v>726</v>
      </c>
      <c r="C79" s="48" t="s">
        <v>237</v>
      </c>
      <c r="D79" s="51" t="s">
        <v>728</v>
      </c>
      <c r="E79" s="39">
        <f>917757886800</f>
        <v>917757886800</v>
      </c>
      <c r="F79" s="10" t="s">
        <v>729</v>
      </c>
      <c r="G79" s="40"/>
      <c r="H79" s="39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39" t="s">
        <v>725</v>
      </c>
      <c r="B80" s="39" t="s">
        <v>731</v>
      </c>
      <c r="C80" s="48" t="s">
        <v>732</v>
      </c>
      <c r="D80" s="51" t="s">
        <v>733</v>
      </c>
      <c r="E80" s="39" t="s">
        <v>735</v>
      </c>
      <c r="F80" s="39" t="s">
        <v>736</v>
      </c>
      <c r="G80" s="40"/>
      <c r="H80" s="39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39"/>
      <c r="B81" s="39"/>
      <c r="C81" s="48"/>
      <c r="D81" s="39"/>
      <c r="E81" s="39"/>
      <c r="F81" s="39"/>
      <c r="G81" s="40"/>
      <c r="H81" s="39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39" t="s">
        <v>739</v>
      </c>
      <c r="B82" s="10" t="s">
        <v>740</v>
      </c>
      <c r="C82" s="48" t="s">
        <v>147</v>
      </c>
      <c r="D82" s="51" t="s">
        <v>741</v>
      </c>
      <c r="E82" s="39"/>
      <c r="F82" s="10" t="s">
        <v>743</v>
      </c>
      <c r="G82" s="40"/>
      <c r="H82" s="39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39" t="s">
        <v>739</v>
      </c>
      <c r="B83" s="10" t="s">
        <v>745</v>
      </c>
      <c r="C83" s="48" t="s">
        <v>147</v>
      </c>
      <c r="D83" s="51" t="s">
        <v>746</v>
      </c>
      <c r="E83" s="39"/>
      <c r="F83" s="10" t="s">
        <v>748</v>
      </c>
      <c r="G83" s="40"/>
      <c r="H83" s="39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39" t="s">
        <v>739</v>
      </c>
      <c r="B84" s="39" t="s">
        <v>749</v>
      </c>
      <c r="C84" s="48" t="s">
        <v>750</v>
      </c>
      <c r="D84" s="51" t="s">
        <v>751</v>
      </c>
      <c r="E84" s="39"/>
      <c r="F84" s="39" t="s">
        <v>753</v>
      </c>
      <c r="G84" s="40"/>
      <c r="H84" s="39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39"/>
      <c r="B85" s="39"/>
      <c r="C85" s="48"/>
      <c r="D85" s="39"/>
      <c r="E85" s="39"/>
      <c r="F85" s="39"/>
      <c r="G85" s="40"/>
      <c r="H85" s="39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39" t="s">
        <v>756</v>
      </c>
      <c r="B86" s="10" t="s">
        <v>757</v>
      </c>
      <c r="C86" s="48" t="s">
        <v>237</v>
      </c>
      <c r="D86" s="51" t="s">
        <v>758</v>
      </c>
      <c r="E86" s="39"/>
      <c r="F86" s="10" t="s">
        <v>760</v>
      </c>
      <c r="G86" s="40"/>
      <c r="H86" s="39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39" t="s">
        <v>756</v>
      </c>
      <c r="B87" s="39" t="s">
        <v>763</v>
      </c>
      <c r="C87" s="48" t="s">
        <v>51</v>
      </c>
      <c r="D87" s="51" t="s">
        <v>764</v>
      </c>
      <c r="E87" s="39"/>
      <c r="F87" s="39" t="s">
        <v>766</v>
      </c>
      <c r="G87" s="40"/>
      <c r="H87" s="39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39" t="s">
        <v>756</v>
      </c>
      <c r="B88" s="10" t="s">
        <v>768</v>
      </c>
      <c r="C88" s="48" t="s">
        <v>237</v>
      </c>
      <c r="D88" s="51" t="s">
        <v>769</v>
      </c>
      <c r="E88" s="39">
        <f>919167999801</f>
        <v>919167999801</v>
      </c>
      <c r="F88" s="10" t="s">
        <v>771</v>
      </c>
      <c r="G88" s="40"/>
      <c r="H88" s="39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39"/>
      <c r="B89" s="39"/>
      <c r="C89" s="48"/>
      <c r="D89" s="39"/>
      <c r="E89" s="39"/>
      <c r="F89" s="39"/>
      <c r="G89" s="40"/>
      <c r="H89" s="39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39" t="s">
        <v>774</v>
      </c>
      <c r="B90" s="10" t="s">
        <v>775</v>
      </c>
      <c r="C90" s="48" t="s">
        <v>237</v>
      </c>
      <c r="D90" s="51" t="s">
        <v>776</v>
      </c>
      <c r="E90" s="39">
        <f>447477457313</f>
        <v>447477457313</v>
      </c>
      <c r="F90" s="10" t="s">
        <v>778</v>
      </c>
      <c r="G90" s="40"/>
      <c r="H90" s="39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39" t="s">
        <v>774</v>
      </c>
      <c r="B91" s="10" t="s">
        <v>781</v>
      </c>
      <c r="C91" s="48" t="s">
        <v>782</v>
      </c>
      <c r="D91" s="51" t="s">
        <v>783</v>
      </c>
      <c r="E91" s="39">
        <f>919643667399</f>
        <v>919643667399</v>
      </c>
      <c r="F91" s="10" t="s">
        <v>787</v>
      </c>
      <c r="G91" s="40"/>
      <c r="H91" s="39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39" t="s">
        <v>774</v>
      </c>
      <c r="B92" s="10" t="s">
        <v>789</v>
      </c>
      <c r="C92" s="48" t="s">
        <v>782</v>
      </c>
      <c r="D92" s="51" t="s">
        <v>790</v>
      </c>
      <c r="E92" s="39"/>
      <c r="F92" s="10" t="s">
        <v>793</v>
      </c>
      <c r="G92" s="40"/>
      <c r="H92" s="39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39"/>
      <c r="B93" s="39"/>
      <c r="C93" s="48"/>
      <c r="D93" s="39"/>
      <c r="E93" s="39"/>
      <c r="F93" s="39"/>
      <c r="G93" s="40"/>
      <c r="H93" s="39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39" t="s">
        <v>798</v>
      </c>
      <c r="B94" s="10" t="s">
        <v>799</v>
      </c>
      <c r="C94" s="48" t="s">
        <v>93</v>
      </c>
      <c r="D94" s="51" t="s">
        <v>800</v>
      </c>
      <c r="E94" s="39">
        <f>919892588371</f>
        <v>919892588371</v>
      </c>
      <c r="F94" s="10" t="s">
        <v>804</v>
      </c>
      <c r="G94" s="40"/>
      <c r="H94" s="39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39" t="s">
        <v>798</v>
      </c>
      <c r="B95" s="10" t="s">
        <v>808</v>
      </c>
      <c r="C95" s="48" t="s">
        <v>147</v>
      </c>
      <c r="D95" s="51" t="s">
        <v>809</v>
      </c>
      <c r="E95" s="39">
        <f>919967046882</f>
        <v>919967046882</v>
      </c>
      <c r="F95" s="10" t="s">
        <v>812</v>
      </c>
      <c r="G95" s="40"/>
      <c r="H95" s="39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39" t="s">
        <v>798</v>
      </c>
      <c r="B96" s="39" t="s">
        <v>816</v>
      </c>
      <c r="C96" s="48" t="s">
        <v>349</v>
      </c>
      <c r="D96" s="51" t="s">
        <v>817</v>
      </c>
      <c r="E96" s="39"/>
      <c r="F96" s="39" t="s">
        <v>820</v>
      </c>
      <c r="G96" s="40"/>
      <c r="H96" s="39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39"/>
      <c r="B97" s="39"/>
      <c r="C97" s="48"/>
      <c r="D97" s="39"/>
      <c r="E97" s="39"/>
      <c r="F97" s="39"/>
      <c r="G97" s="40"/>
      <c r="H97" s="39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39" t="s">
        <v>825</v>
      </c>
      <c r="B98" s="10" t="s">
        <v>826</v>
      </c>
      <c r="C98" s="48" t="s">
        <v>172</v>
      </c>
      <c r="D98" s="51" t="s">
        <v>827</v>
      </c>
      <c r="E98" s="39" t="s">
        <v>830</v>
      </c>
      <c r="F98" s="10" t="s">
        <v>831</v>
      </c>
      <c r="G98" s="40"/>
      <c r="H98" s="39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39" t="s">
        <v>825</v>
      </c>
      <c r="B99" s="10" t="s">
        <v>835</v>
      </c>
      <c r="C99" s="48" t="s">
        <v>172</v>
      </c>
      <c r="D99" s="51" t="s">
        <v>836</v>
      </c>
      <c r="E99" s="39" t="s">
        <v>838</v>
      </c>
      <c r="F99" s="10" t="s">
        <v>839</v>
      </c>
      <c r="G99" s="40"/>
      <c r="H99" s="39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39" t="s">
        <v>825</v>
      </c>
      <c r="B100" s="39" t="s">
        <v>841</v>
      </c>
      <c r="C100" s="48" t="s">
        <v>842</v>
      </c>
      <c r="D100" s="51" t="s">
        <v>844</v>
      </c>
      <c r="E100" s="39" t="s">
        <v>846</v>
      </c>
      <c r="F100" s="39" t="s">
        <v>847</v>
      </c>
      <c r="G100" s="40"/>
      <c r="H100" s="39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157"/>
      <c r="B101" s="157"/>
      <c r="C101" s="158"/>
      <c r="D101" s="157"/>
      <c r="E101" s="157"/>
      <c r="F101" s="157"/>
      <c r="G101" s="40"/>
      <c r="H101" s="157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159" t="s">
        <v>851</v>
      </c>
      <c r="B102" s="161" t="s">
        <v>852</v>
      </c>
      <c r="C102" s="48" t="s">
        <v>172</v>
      </c>
      <c r="D102" s="162" t="s">
        <v>853</v>
      </c>
      <c r="E102" s="163">
        <v>8.008815676E9</v>
      </c>
      <c r="F102" s="107" t="s">
        <v>854</v>
      </c>
      <c r="G102" s="40"/>
      <c r="H102" s="157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159" t="s">
        <v>851</v>
      </c>
      <c r="B103" s="161" t="s">
        <v>855</v>
      </c>
      <c r="C103" s="48" t="s">
        <v>172</v>
      </c>
      <c r="D103" s="162" t="s">
        <v>856</v>
      </c>
      <c r="E103" s="91"/>
      <c r="F103" s="91" t="s">
        <v>860</v>
      </c>
      <c r="G103" s="40"/>
      <c r="H103" s="157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159" t="s">
        <v>851</v>
      </c>
      <c r="B104" s="159" t="s">
        <v>861</v>
      </c>
      <c r="C104" s="165" t="s">
        <v>862</v>
      </c>
      <c r="D104" s="162" t="s">
        <v>865</v>
      </c>
      <c r="E104" s="91"/>
      <c r="F104" s="91" t="s">
        <v>869</v>
      </c>
      <c r="G104" s="40"/>
      <c r="H104" s="157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157"/>
      <c r="B105" s="157"/>
      <c r="C105" s="158"/>
      <c r="D105" s="157"/>
      <c r="E105" s="91"/>
      <c r="F105" s="91"/>
      <c r="G105" s="40"/>
      <c r="H105" s="157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159" t="s">
        <v>873</v>
      </c>
      <c r="B106" s="103" t="s">
        <v>874</v>
      </c>
      <c r="C106" s="165" t="s">
        <v>172</v>
      </c>
      <c r="D106" s="162" t="s">
        <v>875</v>
      </c>
      <c r="E106" s="163">
        <v>9.058695025E9</v>
      </c>
      <c r="F106" s="91" t="s">
        <v>877</v>
      </c>
      <c r="G106" s="40"/>
      <c r="H106" s="157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159" t="s">
        <v>873</v>
      </c>
      <c r="B107" s="161" t="s">
        <v>878</v>
      </c>
      <c r="C107" s="165" t="s">
        <v>237</v>
      </c>
      <c r="D107" s="162" t="s">
        <v>879</v>
      </c>
      <c r="E107" s="163">
        <v>9.16355E9</v>
      </c>
      <c r="F107" s="91" t="s">
        <v>881</v>
      </c>
      <c r="G107" s="40"/>
      <c r="H107" s="157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159" t="s">
        <v>873</v>
      </c>
      <c r="B108" s="159" t="s">
        <v>886</v>
      </c>
      <c r="C108" s="165" t="s">
        <v>51</v>
      </c>
      <c r="D108" s="162" t="s">
        <v>888</v>
      </c>
      <c r="E108" s="91"/>
      <c r="F108" s="91" t="s">
        <v>889</v>
      </c>
      <c r="G108" s="40"/>
      <c r="H108" s="157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157"/>
      <c r="B109" s="157"/>
      <c r="C109" s="158"/>
      <c r="D109" s="157"/>
      <c r="E109" s="91"/>
      <c r="F109" s="91"/>
      <c r="G109" s="40"/>
      <c r="H109" s="157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159" t="s">
        <v>892</v>
      </c>
      <c r="B110" s="161" t="s">
        <v>893</v>
      </c>
      <c r="C110" s="165" t="s">
        <v>237</v>
      </c>
      <c r="D110" s="162" t="s">
        <v>894</v>
      </c>
      <c r="E110" s="163">
        <v>8.884321345E9</v>
      </c>
      <c r="F110" s="91" t="s">
        <v>898</v>
      </c>
      <c r="G110" s="40"/>
      <c r="H110" s="157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159" t="s">
        <v>892</v>
      </c>
      <c r="B111" s="161" t="s">
        <v>899</v>
      </c>
      <c r="C111" s="165" t="s">
        <v>172</v>
      </c>
      <c r="D111" s="162" t="s">
        <v>900</v>
      </c>
      <c r="E111" s="172">
        <v>9.62074455E9</v>
      </c>
      <c r="F111" s="91" t="s">
        <v>903</v>
      </c>
      <c r="G111" s="40"/>
      <c r="H111" s="157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159" t="s">
        <v>892</v>
      </c>
      <c r="B112" s="159" t="s">
        <v>907</v>
      </c>
      <c r="C112" s="165" t="s">
        <v>908</v>
      </c>
      <c r="D112" s="162" t="s">
        <v>909</v>
      </c>
      <c r="E112" s="102"/>
      <c r="F112" s="91" t="s">
        <v>913</v>
      </c>
      <c r="G112" s="40"/>
      <c r="H112" s="157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157"/>
      <c r="B113" s="157"/>
      <c r="C113" s="158"/>
      <c r="D113" s="157"/>
      <c r="E113" s="102"/>
      <c r="F113" s="91"/>
      <c r="G113" s="40"/>
      <c r="H113" s="157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159" t="s">
        <v>914</v>
      </c>
      <c r="B114" s="161" t="s">
        <v>915</v>
      </c>
      <c r="C114" s="165" t="s">
        <v>237</v>
      </c>
      <c r="D114" s="162" t="s">
        <v>916</v>
      </c>
      <c r="E114" s="102"/>
      <c r="F114" s="91" t="s">
        <v>921</v>
      </c>
      <c r="G114" s="40"/>
      <c r="H114" s="157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159" t="s">
        <v>914</v>
      </c>
      <c r="B115" s="161" t="s">
        <v>923</v>
      </c>
      <c r="C115" s="165" t="s">
        <v>237</v>
      </c>
      <c r="D115" s="162" t="s">
        <v>925</v>
      </c>
      <c r="E115" s="102"/>
      <c r="F115" s="91"/>
      <c r="G115" s="157"/>
      <c r="H115" s="157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157"/>
      <c r="B116" s="157"/>
      <c r="C116" s="158"/>
      <c r="D116" s="157"/>
      <c r="E116" s="102"/>
      <c r="F116" s="91"/>
      <c r="G116" s="157"/>
      <c r="H116" s="157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159" t="s">
        <v>929</v>
      </c>
      <c r="B117" s="161" t="s">
        <v>930</v>
      </c>
      <c r="C117" s="165" t="s">
        <v>237</v>
      </c>
      <c r="D117" s="162" t="s">
        <v>931</v>
      </c>
      <c r="E117" s="172">
        <v>9.581616444E9</v>
      </c>
      <c r="F117" s="91" t="s">
        <v>935</v>
      </c>
      <c r="G117" s="157"/>
      <c r="H117" s="157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159" t="s">
        <v>929</v>
      </c>
      <c r="B118" s="159" t="s">
        <v>937</v>
      </c>
      <c r="C118" s="165" t="s">
        <v>938</v>
      </c>
      <c r="D118" s="162" t="s">
        <v>939</v>
      </c>
      <c r="E118" s="172">
        <v>7.411073094E9</v>
      </c>
      <c r="F118" s="91" t="s">
        <v>941</v>
      </c>
      <c r="G118" s="157"/>
      <c r="H118" s="157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159"/>
      <c r="B119" s="157"/>
      <c r="C119" s="158"/>
      <c r="D119" s="157"/>
      <c r="E119" s="91"/>
      <c r="F119" s="91"/>
      <c r="G119" s="157"/>
      <c r="H119" s="157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159" t="s">
        <v>943</v>
      </c>
      <c r="B120" s="161" t="s">
        <v>944</v>
      </c>
      <c r="C120" s="165" t="s">
        <v>615</v>
      </c>
      <c r="D120" s="162" t="s">
        <v>945</v>
      </c>
      <c r="E120" s="91"/>
      <c r="F120" s="91" t="s">
        <v>949</v>
      </c>
      <c r="G120" s="157"/>
      <c r="H120" s="157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159"/>
      <c r="B121" s="40"/>
      <c r="C121" s="179"/>
      <c r="D121" s="40"/>
      <c r="E121" s="102"/>
      <c r="F121" s="91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159" t="s">
        <v>954</v>
      </c>
      <c r="B122" s="103" t="s">
        <v>955</v>
      </c>
      <c r="C122" s="181" t="s">
        <v>172</v>
      </c>
      <c r="D122" s="183" t="s">
        <v>956</v>
      </c>
      <c r="E122" s="102"/>
      <c r="F122" s="102" t="s">
        <v>959</v>
      </c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159" t="s">
        <v>954</v>
      </c>
      <c r="B123" s="184" t="s">
        <v>961</v>
      </c>
      <c r="C123" s="181" t="s">
        <v>147</v>
      </c>
      <c r="D123" s="183" t="s">
        <v>962</v>
      </c>
      <c r="E123" s="172">
        <v>9.823372337E9</v>
      </c>
      <c r="F123" s="107" t="s">
        <v>964</v>
      </c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159" t="s">
        <v>954</v>
      </c>
      <c r="B124" s="186" t="s">
        <v>966</v>
      </c>
      <c r="C124" s="181" t="s">
        <v>970</v>
      </c>
      <c r="D124" s="183" t="s">
        <v>971</v>
      </c>
      <c r="E124" s="172">
        <v>6.36482899E9</v>
      </c>
      <c r="F124" s="102" t="s">
        <v>973</v>
      </c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159"/>
      <c r="B125" s="40"/>
      <c r="C125" s="179"/>
      <c r="D125" s="40"/>
      <c r="E125" s="10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189" t="s">
        <v>976</v>
      </c>
      <c r="B126" s="184" t="s">
        <v>977</v>
      </c>
      <c r="C126" s="181" t="s">
        <v>172</v>
      </c>
      <c r="D126" s="183" t="s">
        <v>980</v>
      </c>
      <c r="E126" s="191" t="s">
        <v>983</v>
      </c>
      <c r="F126" s="192" t="s">
        <v>984</v>
      </c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189" t="s">
        <v>976</v>
      </c>
      <c r="B127" s="186" t="s">
        <v>986</v>
      </c>
      <c r="C127" s="181" t="s">
        <v>988</v>
      </c>
      <c r="D127" s="183" t="s">
        <v>989</v>
      </c>
      <c r="E127" s="40"/>
      <c r="F127" s="191" t="s">
        <v>991</v>
      </c>
      <c r="G127" s="102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189"/>
      <c r="B128" s="40"/>
      <c r="C128" s="179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186" t="s">
        <v>995</v>
      </c>
      <c r="B129" s="184" t="s">
        <v>996</v>
      </c>
      <c r="C129" s="181" t="s">
        <v>997</v>
      </c>
      <c r="D129" s="183" t="s">
        <v>998</v>
      </c>
      <c r="E129" s="40"/>
      <c r="F129" s="194" t="s">
        <v>1002</v>
      </c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186" t="s">
        <v>995</v>
      </c>
      <c r="B130" s="184" t="s">
        <v>1005</v>
      </c>
      <c r="C130" s="181" t="s">
        <v>997</v>
      </c>
      <c r="D130" s="183" t="s">
        <v>1006</v>
      </c>
      <c r="E130" s="40"/>
      <c r="F130" s="197" t="s">
        <v>1008</v>
      </c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186" t="s">
        <v>995</v>
      </c>
      <c r="B131" s="186" t="s">
        <v>1010</v>
      </c>
      <c r="C131" s="181" t="s">
        <v>1011</v>
      </c>
      <c r="D131" s="183" t="s">
        <v>1013</v>
      </c>
      <c r="E131" s="40"/>
      <c r="F131" s="200" t="s">
        <v>1017</v>
      </c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17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186" t="s">
        <v>1021</v>
      </c>
      <c r="B133" s="103" t="s">
        <v>1022</v>
      </c>
      <c r="C133" s="87" t="s">
        <v>147</v>
      </c>
      <c r="D133" s="136" t="s">
        <v>1024</v>
      </c>
      <c r="E133" s="40"/>
      <c r="F133" s="194" t="s">
        <v>1027</v>
      </c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186" t="s">
        <v>1021</v>
      </c>
      <c r="B134" s="186" t="s">
        <v>1031</v>
      </c>
      <c r="C134" s="181" t="s">
        <v>1032</v>
      </c>
      <c r="D134" s="183" t="s">
        <v>1033</v>
      </c>
      <c r="E134" s="40"/>
      <c r="F134" s="200" t="s">
        <v>1035</v>
      </c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186" t="s">
        <v>1021</v>
      </c>
      <c r="B135" s="186" t="s">
        <v>1037</v>
      </c>
      <c r="C135" s="181" t="s">
        <v>1038</v>
      </c>
      <c r="D135" s="183" t="s">
        <v>1039</v>
      </c>
      <c r="E135" s="40"/>
      <c r="F135" s="191" t="s">
        <v>1040</v>
      </c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17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84" t="s">
        <v>1044</v>
      </c>
      <c r="B137" s="184" t="s">
        <v>1045</v>
      </c>
      <c r="C137" s="181" t="s">
        <v>172</v>
      </c>
      <c r="D137" s="183" t="s">
        <v>1046</v>
      </c>
      <c r="E137" s="40"/>
      <c r="F137" s="194" t="s">
        <v>1048</v>
      </c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84" t="s">
        <v>1044</v>
      </c>
      <c r="B138" s="184" t="s">
        <v>1050</v>
      </c>
      <c r="C138" s="181" t="s">
        <v>237</v>
      </c>
      <c r="D138" s="183" t="s">
        <v>1052</v>
      </c>
      <c r="E138" s="40"/>
      <c r="F138" s="194" t="s">
        <v>1053</v>
      </c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84" t="s">
        <v>1044</v>
      </c>
      <c r="B139" s="186" t="s">
        <v>1057</v>
      </c>
      <c r="C139" s="181" t="s">
        <v>1058</v>
      </c>
      <c r="D139" s="183" t="s">
        <v>1059</v>
      </c>
      <c r="E139" s="40"/>
      <c r="F139" s="200" t="s">
        <v>1061</v>
      </c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17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186" t="s">
        <v>1065</v>
      </c>
      <c r="B141" s="184" t="s">
        <v>1066</v>
      </c>
      <c r="C141" s="181" t="s">
        <v>93</v>
      </c>
      <c r="D141" s="183" t="s">
        <v>1068</v>
      </c>
      <c r="E141" s="40"/>
      <c r="F141" s="197" t="s">
        <v>1069</v>
      </c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186" t="s">
        <v>1065</v>
      </c>
      <c r="B142" s="186" t="s">
        <v>1070</v>
      </c>
      <c r="C142" s="181" t="s">
        <v>908</v>
      </c>
      <c r="D142" s="183" t="s">
        <v>1071</v>
      </c>
      <c r="E142" s="40"/>
      <c r="F142" s="200" t="s">
        <v>1075</v>
      </c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186" t="s">
        <v>1065</v>
      </c>
      <c r="B143" s="107" t="s">
        <v>1077</v>
      </c>
      <c r="C143" s="200" t="s">
        <v>93</v>
      </c>
      <c r="D143" s="205" t="s">
        <v>1078</v>
      </c>
      <c r="E143" s="102"/>
      <c r="F143" s="194" t="s">
        <v>1079</v>
      </c>
      <c r="G143" s="102"/>
      <c r="H143" s="102"/>
      <c r="I143" s="20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186" t="s">
        <v>1065</v>
      </c>
      <c r="B144" s="102" t="s">
        <v>1083</v>
      </c>
      <c r="C144" s="102" t="s">
        <v>1084</v>
      </c>
      <c r="D144" s="206" t="s">
        <v>1085</v>
      </c>
      <c r="E144" s="102"/>
      <c r="F144" s="194" t="s">
        <v>1089</v>
      </c>
      <c r="G144" s="102"/>
      <c r="H144" s="102"/>
      <c r="I144" s="20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87"/>
      <c r="B145" s="186"/>
      <c r="C145" s="181"/>
      <c r="D145" s="186"/>
      <c r="E145" s="40"/>
      <c r="F145" s="207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87" t="s">
        <v>1094</v>
      </c>
      <c r="B146" s="184" t="s">
        <v>1095</v>
      </c>
      <c r="C146" s="181" t="s">
        <v>237</v>
      </c>
      <c r="D146" s="183" t="s">
        <v>1096</v>
      </c>
      <c r="E146" s="40"/>
      <c r="F146" s="208" t="s">
        <v>1099</v>
      </c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87" t="s">
        <v>1094</v>
      </c>
      <c r="B147" s="184" t="s">
        <v>1102</v>
      </c>
      <c r="C147" s="181" t="s">
        <v>93</v>
      </c>
      <c r="D147" s="183" t="s">
        <v>1103</v>
      </c>
      <c r="E147" s="40"/>
      <c r="F147" s="208" t="s">
        <v>1104</v>
      </c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87" t="s">
        <v>1094</v>
      </c>
      <c r="B148" s="186" t="s">
        <v>1105</v>
      </c>
      <c r="C148" s="181" t="s">
        <v>204</v>
      </c>
      <c r="D148" s="183" t="s">
        <v>1106</v>
      </c>
      <c r="E148" s="40"/>
      <c r="F148" s="210" t="s">
        <v>1110</v>
      </c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179"/>
      <c r="D149" s="40"/>
      <c r="E149" s="40"/>
      <c r="F149" s="102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87" t="s">
        <v>1114</v>
      </c>
      <c r="B150" s="184" t="s">
        <v>1116</v>
      </c>
      <c r="C150" s="181" t="s">
        <v>147</v>
      </c>
      <c r="D150" s="183" t="s">
        <v>1117</v>
      </c>
      <c r="E150" s="40"/>
      <c r="F150" s="211" t="s">
        <v>1119</v>
      </c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87" t="s">
        <v>1114</v>
      </c>
      <c r="B151" s="186" t="s">
        <v>1122</v>
      </c>
      <c r="C151" s="181" t="s">
        <v>1123</v>
      </c>
      <c r="D151" s="183" t="s">
        <v>1124</v>
      </c>
      <c r="E151" s="40"/>
      <c r="F151" s="212" t="s">
        <v>1127</v>
      </c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87" t="s">
        <v>1114</v>
      </c>
      <c r="B152" s="186" t="s">
        <v>1129</v>
      </c>
      <c r="C152" s="181" t="s">
        <v>1130</v>
      </c>
      <c r="D152" s="183" t="s">
        <v>1131</v>
      </c>
      <c r="E152" s="40"/>
      <c r="F152" s="212" t="s">
        <v>1135</v>
      </c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179"/>
      <c r="D153" s="40"/>
      <c r="E153" s="40"/>
      <c r="F153" s="102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87" t="s">
        <v>1137</v>
      </c>
      <c r="B154" s="184" t="s">
        <v>1138</v>
      </c>
      <c r="C154" s="181" t="s">
        <v>1140</v>
      </c>
      <c r="D154" s="183" t="s">
        <v>1142</v>
      </c>
      <c r="E154" s="40"/>
      <c r="F154" s="107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87" t="s">
        <v>1137</v>
      </c>
      <c r="B155" s="186" t="s">
        <v>1144</v>
      </c>
      <c r="C155" s="181" t="s">
        <v>1145</v>
      </c>
      <c r="D155" s="183" t="s">
        <v>1146</v>
      </c>
      <c r="E155" s="40"/>
      <c r="F155" s="200" t="s">
        <v>1147</v>
      </c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87" t="s">
        <v>1137</v>
      </c>
      <c r="B156" s="186" t="s">
        <v>1151</v>
      </c>
      <c r="C156" s="181" t="s">
        <v>1038</v>
      </c>
      <c r="D156" s="183" t="s">
        <v>1153</v>
      </c>
      <c r="E156" s="40"/>
      <c r="F156" s="191" t="s">
        <v>1154</v>
      </c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179"/>
      <c r="D157" s="40"/>
      <c r="E157" s="40"/>
      <c r="F157" s="102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186" t="s">
        <v>1158</v>
      </c>
      <c r="B158" s="184" t="s">
        <v>1159</v>
      </c>
      <c r="C158" s="181" t="s">
        <v>93</v>
      </c>
      <c r="D158" s="183" t="s">
        <v>1160</v>
      </c>
      <c r="E158" s="40"/>
      <c r="F158" s="192" t="s">
        <v>1162</v>
      </c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186" t="s">
        <v>1158</v>
      </c>
      <c r="B159" s="184" t="s">
        <v>1163</v>
      </c>
      <c r="C159" s="181" t="s">
        <v>93</v>
      </c>
      <c r="D159" s="183" t="s">
        <v>1164</v>
      </c>
      <c r="E159" s="40"/>
      <c r="F159" s="192" t="s">
        <v>1165</v>
      </c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186" t="s">
        <v>1158</v>
      </c>
      <c r="B160" s="184" t="s">
        <v>1169</v>
      </c>
      <c r="C160" s="181" t="s">
        <v>93</v>
      </c>
      <c r="D160" s="183" t="s">
        <v>1170</v>
      </c>
      <c r="E160" s="40"/>
      <c r="F160" s="215" t="s">
        <v>1171</v>
      </c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186" t="s">
        <v>1158</v>
      </c>
      <c r="B161" s="186" t="s">
        <v>1174</v>
      </c>
      <c r="C161" s="181" t="s">
        <v>40</v>
      </c>
      <c r="D161" s="183" t="s">
        <v>1175</v>
      </c>
      <c r="E161" s="40"/>
      <c r="F161" s="216" t="s">
        <v>1177</v>
      </c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179"/>
      <c r="D162" s="40"/>
      <c r="E162" s="40"/>
      <c r="F162" s="102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186" t="s">
        <v>1179</v>
      </c>
      <c r="B163" s="184" t="s">
        <v>1180</v>
      </c>
      <c r="C163" s="181" t="s">
        <v>172</v>
      </c>
      <c r="D163" s="183" t="s">
        <v>1181</v>
      </c>
      <c r="E163" s="40"/>
      <c r="F163" s="192" t="s">
        <v>1185</v>
      </c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186" t="s">
        <v>1179</v>
      </c>
      <c r="B164" s="184" t="s">
        <v>1187</v>
      </c>
      <c r="C164" s="181" t="s">
        <v>172</v>
      </c>
      <c r="D164" s="183" t="s">
        <v>1188</v>
      </c>
      <c r="E164" s="40"/>
      <c r="F164" s="197" t="s">
        <v>1192</v>
      </c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186" t="s">
        <v>1179</v>
      </c>
      <c r="B165" s="184" t="s">
        <v>1201</v>
      </c>
      <c r="C165" s="181" t="s">
        <v>172</v>
      </c>
      <c r="D165" s="183" t="s">
        <v>1202</v>
      </c>
      <c r="E165" s="40"/>
      <c r="F165" s="215" t="s">
        <v>1208</v>
      </c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17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186" t="s">
        <v>1212</v>
      </c>
      <c r="B167" s="184" t="s">
        <v>1214</v>
      </c>
      <c r="C167" s="181" t="s">
        <v>147</v>
      </c>
      <c r="D167" s="183" t="s">
        <v>1216</v>
      </c>
      <c r="E167" s="40">
        <f>918860010888</f>
        <v>918860010888</v>
      </c>
      <c r="F167" s="184" t="s">
        <v>1221</v>
      </c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186" t="s">
        <v>1212</v>
      </c>
      <c r="B168" s="184" t="s">
        <v>1228</v>
      </c>
      <c r="C168" s="181" t="s">
        <v>172</v>
      </c>
      <c r="D168" s="183" t="s">
        <v>1230</v>
      </c>
      <c r="F168" s="184" t="s">
        <v>1233</v>
      </c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186" t="s">
        <v>1212</v>
      </c>
      <c r="B169" s="186" t="s">
        <v>1236</v>
      </c>
      <c r="C169" s="181" t="s">
        <v>970</v>
      </c>
      <c r="D169" s="183" t="s">
        <v>1237</v>
      </c>
      <c r="E169" s="186">
        <v>9.71506403437E11</v>
      </c>
      <c r="F169" s="186" t="s">
        <v>1242</v>
      </c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179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186" t="s">
        <v>1253</v>
      </c>
      <c r="B171" s="184" t="s">
        <v>1254</v>
      </c>
      <c r="C171" s="181" t="s">
        <v>997</v>
      </c>
      <c r="D171" s="183" t="s">
        <v>1255</v>
      </c>
      <c r="E171" s="40"/>
      <c r="F171" s="192" t="s">
        <v>1257</v>
      </c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186" t="s">
        <v>1253</v>
      </c>
      <c r="B172" s="184" t="s">
        <v>1262</v>
      </c>
      <c r="C172" s="181" t="s">
        <v>147</v>
      </c>
      <c r="D172" s="183" t="s">
        <v>1264</v>
      </c>
      <c r="E172" s="186">
        <v>9.580551792E9</v>
      </c>
      <c r="F172" s="215" t="s">
        <v>1268</v>
      </c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186" t="s">
        <v>1253</v>
      </c>
      <c r="B173" s="184" t="s">
        <v>1273</v>
      </c>
      <c r="C173" s="181" t="s">
        <v>172</v>
      </c>
      <c r="D173" s="183" t="s">
        <v>1274</v>
      </c>
      <c r="E173" s="40"/>
      <c r="F173" s="215" t="s">
        <v>1278</v>
      </c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179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230" t="s">
        <v>1288</v>
      </c>
      <c r="B175" s="231" t="s">
        <v>1289</v>
      </c>
      <c r="C175" s="97" t="s">
        <v>172</v>
      </c>
      <c r="D175" s="136" t="s">
        <v>1290</v>
      </c>
      <c r="E175" s="40"/>
      <c r="F175" s="104" t="s">
        <v>1300</v>
      </c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230" t="s">
        <v>1288</v>
      </c>
      <c r="B176" s="231" t="s">
        <v>1305</v>
      </c>
      <c r="C176" s="97" t="s">
        <v>237</v>
      </c>
      <c r="D176" s="136" t="s">
        <v>1307</v>
      </c>
      <c r="E176" s="40"/>
      <c r="F176" s="104" t="s">
        <v>1311</v>
      </c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179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230" t="s">
        <v>1325</v>
      </c>
      <c r="B178" s="231" t="s">
        <v>1326</v>
      </c>
      <c r="C178" s="97" t="s">
        <v>224</v>
      </c>
      <c r="D178" s="183" t="s">
        <v>1327</v>
      </c>
      <c r="E178" s="40"/>
      <c r="F178" s="104" t="s">
        <v>1329</v>
      </c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179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230" t="s">
        <v>1339</v>
      </c>
      <c r="B180" s="231" t="s">
        <v>1340</v>
      </c>
      <c r="C180" s="97" t="s">
        <v>172</v>
      </c>
      <c r="D180" s="136" t="s">
        <v>1341</v>
      </c>
      <c r="E180" s="40"/>
      <c r="F180" s="104" t="s">
        <v>1347</v>
      </c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179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184" t="s">
        <v>1353</v>
      </c>
      <c r="B182" s="184" t="s">
        <v>1355</v>
      </c>
      <c r="C182" s="129" t="s">
        <v>253</v>
      </c>
      <c r="D182" s="236" t="s">
        <v>1357</v>
      </c>
      <c r="E182" s="14">
        <f>919967441787</f>
        <v>919967441787</v>
      </c>
      <c r="F182" s="184" t="s">
        <v>1365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86"/>
      <c r="B183" s="186"/>
      <c r="C183" s="181"/>
      <c r="D183" s="186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184" t="s">
        <v>1374</v>
      </c>
      <c r="B184" s="184" t="s">
        <v>1375</v>
      </c>
      <c r="C184" s="129" t="s">
        <v>253</v>
      </c>
      <c r="D184" s="236" t="s">
        <v>1377</v>
      </c>
      <c r="E184" s="14">
        <f>919900870247</f>
        <v>919900870247</v>
      </c>
      <c r="F184" s="184" t="s">
        <v>1382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84" t="s">
        <v>1374</v>
      </c>
      <c r="B185" s="184" t="s">
        <v>1389</v>
      </c>
      <c r="C185" s="129" t="s">
        <v>237</v>
      </c>
      <c r="D185" s="236" t="s">
        <v>1392</v>
      </c>
      <c r="E185" s="14">
        <f>919833618995</f>
        <v>919833618995</v>
      </c>
      <c r="F185" s="184" t="s">
        <v>1397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86" t="s">
        <v>1374</v>
      </c>
      <c r="B186" s="186" t="s">
        <v>1402</v>
      </c>
      <c r="C186" s="181" t="s">
        <v>1403</v>
      </c>
      <c r="D186" s="183" t="s">
        <v>1404</v>
      </c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186"/>
      <c r="B187" s="186"/>
      <c r="C187" s="181"/>
      <c r="D187" s="186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184" t="s">
        <v>1415</v>
      </c>
      <c r="B188" s="184" t="s">
        <v>1416</v>
      </c>
      <c r="C188" s="129" t="s">
        <v>1417</v>
      </c>
      <c r="D188" s="236" t="s">
        <v>1419</v>
      </c>
      <c r="E188" s="14"/>
      <c r="F188" s="184" t="s">
        <v>1424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86" t="s">
        <v>1415</v>
      </c>
      <c r="B189" s="186" t="s">
        <v>1430</v>
      </c>
      <c r="C189" s="181" t="s">
        <v>237</v>
      </c>
      <c r="D189" s="183" t="s">
        <v>1431</v>
      </c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186"/>
      <c r="B190" s="186"/>
      <c r="C190" s="181"/>
      <c r="D190" s="186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184" t="s">
        <v>1443</v>
      </c>
      <c r="B191" s="184" t="s">
        <v>1444</v>
      </c>
      <c r="C191" s="129" t="s">
        <v>1445</v>
      </c>
      <c r="D191" s="236" t="s">
        <v>1446</v>
      </c>
      <c r="E191" s="184" t="s">
        <v>1450</v>
      </c>
      <c r="F191" s="184" t="s">
        <v>1451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86" t="s">
        <v>1443</v>
      </c>
      <c r="B192" s="186" t="s">
        <v>1459</v>
      </c>
      <c r="C192" s="181" t="s">
        <v>1460</v>
      </c>
      <c r="D192" s="183" t="s">
        <v>1461</v>
      </c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186"/>
      <c r="B193" s="186"/>
      <c r="C193" s="181"/>
      <c r="D193" s="186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184" t="s">
        <v>1479</v>
      </c>
      <c r="B194" s="184" t="s">
        <v>1480</v>
      </c>
      <c r="C194" s="129" t="s">
        <v>1482</v>
      </c>
      <c r="D194" s="236" t="s">
        <v>1483</v>
      </c>
      <c r="E194" s="14">
        <f>919650111731</f>
        <v>919650111731</v>
      </c>
      <c r="F194" s="184" t="s">
        <v>1487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86" t="s">
        <v>1479</v>
      </c>
      <c r="B195" s="186" t="s">
        <v>1493</v>
      </c>
      <c r="C195" s="181" t="s">
        <v>172</v>
      </c>
      <c r="D195" s="183" t="s">
        <v>1494</v>
      </c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186"/>
      <c r="B196" s="186"/>
      <c r="C196" s="181"/>
      <c r="D196" s="186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184" t="s">
        <v>1505</v>
      </c>
      <c r="B197" s="184" t="s">
        <v>1506</v>
      </c>
      <c r="C197" s="129" t="s">
        <v>253</v>
      </c>
      <c r="D197" s="236" t="s">
        <v>1509</v>
      </c>
      <c r="E197" s="184" t="s">
        <v>1514</v>
      </c>
      <c r="F197" s="184" t="s">
        <v>1515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86"/>
      <c r="B198" s="186"/>
      <c r="C198" s="181"/>
      <c r="D198" s="186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186" t="s">
        <v>1521</v>
      </c>
      <c r="B199" s="186" t="s">
        <v>1522</v>
      </c>
      <c r="C199" s="181" t="s">
        <v>1523</v>
      </c>
      <c r="D199" s="183" t="s">
        <v>1524</v>
      </c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186"/>
      <c r="B200" s="186"/>
      <c r="C200" s="181"/>
      <c r="D200" s="186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184" t="s">
        <v>1541</v>
      </c>
      <c r="B201" s="184" t="s">
        <v>1542</v>
      </c>
      <c r="C201" s="129" t="s">
        <v>451</v>
      </c>
      <c r="D201" s="236" t="s">
        <v>1543</v>
      </c>
      <c r="E201" s="184" t="s">
        <v>1545</v>
      </c>
      <c r="F201" s="184" t="s">
        <v>1546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86" t="s">
        <v>1541</v>
      </c>
      <c r="B202" s="186" t="s">
        <v>1553</v>
      </c>
      <c r="C202" s="181" t="s">
        <v>172</v>
      </c>
      <c r="D202" s="183" t="s">
        <v>1554</v>
      </c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186"/>
      <c r="B203" s="186"/>
      <c r="C203" s="181"/>
      <c r="D203" s="186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184" t="s">
        <v>362</v>
      </c>
      <c r="B204" s="184" t="s">
        <v>1559</v>
      </c>
      <c r="C204" s="129" t="s">
        <v>451</v>
      </c>
      <c r="D204" s="236" t="s">
        <v>1561</v>
      </c>
      <c r="E204" s="184" t="s">
        <v>1565</v>
      </c>
      <c r="F204" s="184" t="s">
        <v>1566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86" t="s">
        <v>362</v>
      </c>
      <c r="B205" s="186" t="s">
        <v>1572</v>
      </c>
      <c r="C205" s="181" t="s">
        <v>1523</v>
      </c>
      <c r="D205" s="183" t="s">
        <v>1573</v>
      </c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186"/>
      <c r="B206" s="186"/>
      <c r="C206" s="181"/>
      <c r="D206" s="186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184" t="s">
        <v>1582</v>
      </c>
      <c r="B207" s="184" t="s">
        <v>1583</v>
      </c>
      <c r="C207" s="129" t="s">
        <v>253</v>
      </c>
      <c r="D207" s="236" t="s">
        <v>1584</v>
      </c>
      <c r="E207" s="14">
        <f>919810119300</f>
        <v>919810119300</v>
      </c>
      <c r="F207" s="184" t="s">
        <v>1590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86" t="s">
        <v>1582</v>
      </c>
      <c r="B208" s="186" t="s">
        <v>1595</v>
      </c>
      <c r="C208" s="181" t="s">
        <v>172</v>
      </c>
      <c r="D208" s="183" t="s">
        <v>1597</v>
      </c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186"/>
      <c r="B209" s="186"/>
      <c r="C209" s="181"/>
      <c r="D209" s="186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184" t="s">
        <v>1606</v>
      </c>
      <c r="B210" s="184" t="s">
        <v>1608</v>
      </c>
      <c r="C210" s="129" t="s">
        <v>451</v>
      </c>
      <c r="D210" s="236" t="s">
        <v>1610</v>
      </c>
      <c r="E210" s="14">
        <f>919986843412</f>
        <v>919986843412</v>
      </c>
      <c r="F210" s="184" t="s">
        <v>1613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86" t="s">
        <v>1606</v>
      </c>
      <c r="B211" s="186" t="s">
        <v>1619</v>
      </c>
      <c r="C211" s="181" t="s">
        <v>1620</v>
      </c>
      <c r="D211" s="183" t="s">
        <v>1621</v>
      </c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186"/>
      <c r="B212" s="186"/>
      <c r="C212" s="181"/>
      <c r="D212" s="186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184" t="s">
        <v>1630</v>
      </c>
      <c r="B213" s="184" t="s">
        <v>1631</v>
      </c>
      <c r="C213" s="129" t="s">
        <v>451</v>
      </c>
      <c r="D213" s="236" t="s">
        <v>1634</v>
      </c>
      <c r="E213" s="14">
        <f>919823443861</f>
        <v>919823443861</v>
      </c>
      <c r="F213" s="184" t="s">
        <v>1638</v>
      </c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86" t="s">
        <v>1630</v>
      </c>
      <c r="B214" s="186" t="s">
        <v>1643</v>
      </c>
      <c r="C214" s="181" t="s">
        <v>1644</v>
      </c>
      <c r="D214" s="183" t="s">
        <v>1645</v>
      </c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186"/>
      <c r="B215" s="186"/>
      <c r="C215" s="181"/>
      <c r="D215" s="186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184" t="s">
        <v>1659</v>
      </c>
      <c r="B216" s="184" t="s">
        <v>1660</v>
      </c>
      <c r="C216" s="129" t="s">
        <v>451</v>
      </c>
      <c r="D216" s="236" t="s">
        <v>1661</v>
      </c>
      <c r="E216" s="184" t="s">
        <v>1664</v>
      </c>
      <c r="F216" s="184" t="s">
        <v>1665</v>
      </c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86" t="s">
        <v>1659</v>
      </c>
      <c r="B217" s="186" t="s">
        <v>1669</v>
      </c>
      <c r="C217" s="181" t="s">
        <v>1460</v>
      </c>
      <c r="D217" s="183" t="s">
        <v>1671</v>
      </c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186"/>
      <c r="B218" s="186"/>
      <c r="C218" s="181"/>
      <c r="D218" s="186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184" t="s">
        <v>1681</v>
      </c>
      <c r="B219" s="184" t="s">
        <v>1682</v>
      </c>
      <c r="C219" s="129" t="s">
        <v>451</v>
      </c>
      <c r="D219" s="236" t="s">
        <v>1683</v>
      </c>
      <c r="E219" s="184" t="s">
        <v>1686</v>
      </c>
      <c r="F219" s="184" t="s">
        <v>1687</v>
      </c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86" t="s">
        <v>1681</v>
      </c>
      <c r="B220" s="186" t="s">
        <v>1693</v>
      </c>
      <c r="C220" s="181" t="s">
        <v>1620</v>
      </c>
      <c r="D220" s="183" t="s">
        <v>1695</v>
      </c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186" t="s">
        <v>1681</v>
      </c>
      <c r="B221" s="186" t="s">
        <v>1702</v>
      </c>
      <c r="C221" s="181" t="s">
        <v>1460</v>
      </c>
      <c r="D221" s="183" t="s">
        <v>1703</v>
      </c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186"/>
      <c r="B222" s="186"/>
      <c r="C222" s="181"/>
      <c r="D222" s="186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184" t="s">
        <v>1709</v>
      </c>
      <c r="B223" s="184" t="s">
        <v>1710</v>
      </c>
      <c r="C223" s="129" t="s">
        <v>253</v>
      </c>
      <c r="D223" s="236" t="s">
        <v>1711</v>
      </c>
      <c r="E223" s="14"/>
      <c r="F223" s="184" t="s">
        <v>1714</v>
      </c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86"/>
      <c r="B224" s="186"/>
      <c r="C224" s="181"/>
      <c r="D224" s="186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184" t="s">
        <v>1722</v>
      </c>
      <c r="B225" s="184" t="s">
        <v>1723</v>
      </c>
      <c r="C225" s="129" t="s">
        <v>172</v>
      </c>
      <c r="D225" s="236" t="s">
        <v>1724</v>
      </c>
      <c r="E225" s="184" t="s">
        <v>1727</v>
      </c>
      <c r="F225" s="184" t="s">
        <v>1728</v>
      </c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86" t="s">
        <v>1722</v>
      </c>
      <c r="B226" s="186" t="s">
        <v>1732</v>
      </c>
      <c r="C226" s="181" t="s">
        <v>172</v>
      </c>
      <c r="D226" s="183" t="s">
        <v>1733</v>
      </c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186"/>
      <c r="B227" s="186"/>
      <c r="C227" s="181"/>
      <c r="D227" s="186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184" t="s">
        <v>1742</v>
      </c>
      <c r="B228" s="184" t="s">
        <v>1744</v>
      </c>
      <c r="C228" s="129" t="s">
        <v>253</v>
      </c>
      <c r="D228" s="236" t="s">
        <v>1745</v>
      </c>
      <c r="E228" s="14"/>
      <c r="F228" s="184" t="s">
        <v>1746</v>
      </c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86" t="s">
        <v>1742</v>
      </c>
      <c r="B229" s="186" t="s">
        <v>1749</v>
      </c>
      <c r="C229" s="181" t="s">
        <v>1460</v>
      </c>
      <c r="D229" s="183" t="s">
        <v>1750</v>
      </c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186"/>
      <c r="B230" s="186"/>
      <c r="C230" s="181"/>
      <c r="D230" s="186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184" t="s">
        <v>1759</v>
      </c>
      <c r="B231" s="184" t="s">
        <v>1761</v>
      </c>
      <c r="C231" s="129" t="s">
        <v>451</v>
      </c>
      <c r="D231" s="236" t="s">
        <v>1762</v>
      </c>
      <c r="E231" s="14">
        <f>918696915050</f>
        <v>918696915050</v>
      </c>
      <c r="F231" s="184" t="s">
        <v>1767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86" t="s">
        <v>1759</v>
      </c>
      <c r="B232" s="186" t="s">
        <v>1769</v>
      </c>
      <c r="C232" s="181" t="s">
        <v>172</v>
      </c>
      <c r="D232" s="183" t="s">
        <v>1770</v>
      </c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186"/>
      <c r="B233" s="186"/>
      <c r="C233" s="181"/>
      <c r="D233" s="186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184" t="s">
        <v>1777</v>
      </c>
      <c r="B234" s="184" t="s">
        <v>1779</v>
      </c>
      <c r="C234" s="129" t="s">
        <v>253</v>
      </c>
      <c r="D234" s="236" t="s">
        <v>1781</v>
      </c>
      <c r="E234" s="14">
        <f>912093954911</f>
        <v>912093954911</v>
      </c>
      <c r="F234" s="184" t="s">
        <v>1783</v>
      </c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86"/>
      <c r="B235" s="186"/>
      <c r="C235" s="181"/>
      <c r="D235" s="186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184" t="s">
        <v>1788</v>
      </c>
      <c r="B236" s="184" t="s">
        <v>1789</v>
      </c>
      <c r="C236" s="129" t="s">
        <v>253</v>
      </c>
      <c r="D236" s="236" t="s">
        <v>1790</v>
      </c>
      <c r="E236" s="184" t="s">
        <v>1791</v>
      </c>
      <c r="F236" s="184" t="s">
        <v>1792</v>
      </c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86"/>
      <c r="B237" s="186"/>
      <c r="C237" s="181"/>
      <c r="D237" s="186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184" t="s">
        <v>165</v>
      </c>
      <c r="B238" s="184" t="s">
        <v>1796</v>
      </c>
      <c r="C238" s="129" t="s">
        <v>451</v>
      </c>
      <c r="D238" s="236" t="s">
        <v>1797</v>
      </c>
      <c r="E238" s="184" t="s">
        <v>1800</v>
      </c>
      <c r="F238" s="184" t="s">
        <v>1801</v>
      </c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86" t="s">
        <v>165</v>
      </c>
      <c r="B239" s="186" t="s">
        <v>1806</v>
      </c>
      <c r="C239" s="181" t="s">
        <v>1523</v>
      </c>
      <c r="D239" s="183" t="s">
        <v>1807</v>
      </c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186"/>
      <c r="B240" s="186"/>
      <c r="C240" s="181"/>
      <c r="D240" s="186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184" t="s">
        <v>1816</v>
      </c>
      <c r="B241" s="184" t="s">
        <v>1817</v>
      </c>
      <c r="C241" s="129" t="s">
        <v>451</v>
      </c>
      <c r="D241" s="236" t="s">
        <v>1818</v>
      </c>
      <c r="E241" s="14">
        <f>919902926311</f>
        <v>919902926311</v>
      </c>
      <c r="F241" s="184" t="s">
        <v>1822</v>
      </c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86" t="s">
        <v>1816</v>
      </c>
      <c r="B242" s="186" t="s">
        <v>1826</v>
      </c>
      <c r="C242" s="181" t="s">
        <v>1523</v>
      </c>
      <c r="D242" s="183" t="s">
        <v>1828</v>
      </c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186"/>
      <c r="B243" s="186"/>
      <c r="C243" s="181"/>
      <c r="D243" s="186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184" t="s">
        <v>1836</v>
      </c>
      <c r="B244" s="184" t="s">
        <v>1837</v>
      </c>
      <c r="C244" s="129" t="s">
        <v>451</v>
      </c>
      <c r="D244" s="236" t="s">
        <v>1838</v>
      </c>
      <c r="E244" s="14">
        <f>919952093025</f>
        <v>919952093025</v>
      </c>
      <c r="F244" s="184" t="s">
        <v>1841</v>
      </c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86" t="s">
        <v>1836</v>
      </c>
      <c r="B245" s="186" t="s">
        <v>1845</v>
      </c>
      <c r="C245" s="181" t="s">
        <v>1523</v>
      </c>
      <c r="D245" s="183" t="s">
        <v>1846</v>
      </c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186"/>
      <c r="B246" s="186"/>
      <c r="C246" s="181"/>
      <c r="D246" s="186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184" t="s">
        <v>1854</v>
      </c>
      <c r="B247" s="184" t="s">
        <v>1855</v>
      </c>
      <c r="C247" s="129" t="s">
        <v>253</v>
      </c>
      <c r="D247" s="236" t="s">
        <v>1856</v>
      </c>
      <c r="E247" s="14">
        <f>919999654249</f>
        <v>919999654249</v>
      </c>
      <c r="F247" s="184" t="s">
        <v>1860</v>
      </c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86" t="s">
        <v>1854</v>
      </c>
      <c r="B248" s="186" t="s">
        <v>1863</v>
      </c>
      <c r="C248" s="181" t="s">
        <v>237</v>
      </c>
      <c r="D248" s="183" t="s">
        <v>1864</v>
      </c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186"/>
      <c r="B249" s="186"/>
      <c r="C249" s="181"/>
      <c r="D249" s="186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184" t="s">
        <v>1876</v>
      </c>
      <c r="B250" s="184" t="s">
        <v>1877</v>
      </c>
      <c r="C250" s="129" t="s">
        <v>451</v>
      </c>
      <c r="D250" s="236" t="s">
        <v>1879</v>
      </c>
      <c r="E250" s="14">
        <f>919871800943</f>
        <v>919871800943</v>
      </c>
      <c r="F250" s="184" t="s">
        <v>1885</v>
      </c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86" t="s">
        <v>1876</v>
      </c>
      <c r="B251" s="186" t="s">
        <v>1890</v>
      </c>
      <c r="C251" s="181" t="s">
        <v>172</v>
      </c>
      <c r="D251" s="183" t="s">
        <v>1891</v>
      </c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186"/>
      <c r="B252" s="186"/>
      <c r="C252" s="181"/>
      <c r="D252" s="186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236" t="s">
        <v>1898</v>
      </c>
      <c r="B253" s="184" t="s">
        <v>1903</v>
      </c>
      <c r="C253" s="129" t="s">
        <v>451</v>
      </c>
      <c r="D253" s="236" t="s">
        <v>1904</v>
      </c>
      <c r="E253" s="14">
        <f>15409581173</f>
        <v>15409581173</v>
      </c>
      <c r="F253" s="184" t="s">
        <v>1907</v>
      </c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83" t="s">
        <v>1898</v>
      </c>
      <c r="B254" s="186" t="s">
        <v>1913</v>
      </c>
      <c r="C254" s="181" t="s">
        <v>1914</v>
      </c>
      <c r="D254" s="183" t="s">
        <v>1915</v>
      </c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186"/>
      <c r="B255" s="186"/>
      <c r="C255" s="181"/>
      <c r="D255" s="186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184" t="s">
        <v>1929</v>
      </c>
      <c r="B256" s="184" t="s">
        <v>1930</v>
      </c>
      <c r="C256" s="129" t="s">
        <v>253</v>
      </c>
      <c r="D256" s="236" t="s">
        <v>1931</v>
      </c>
      <c r="E256" s="14"/>
      <c r="F256" s="184" t="s">
        <v>1933</v>
      </c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86"/>
      <c r="B257" s="186"/>
      <c r="C257" s="181"/>
      <c r="D257" s="186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186" t="s">
        <v>1942</v>
      </c>
      <c r="B258" s="186" t="s">
        <v>1944</v>
      </c>
      <c r="C258" s="181" t="s">
        <v>451</v>
      </c>
      <c r="D258" s="183" t="s">
        <v>1945</v>
      </c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184" t="s">
        <v>1942</v>
      </c>
      <c r="B259" s="184" t="s">
        <v>1952</v>
      </c>
      <c r="C259" s="129" t="s">
        <v>172</v>
      </c>
      <c r="D259" s="236" t="s">
        <v>1953</v>
      </c>
      <c r="E259" s="184" t="s">
        <v>1955</v>
      </c>
      <c r="F259" s="184" t="s">
        <v>1957</v>
      </c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86"/>
      <c r="B260" s="186"/>
      <c r="C260" s="181"/>
      <c r="D260" s="186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184" t="s">
        <v>1962</v>
      </c>
      <c r="B261" s="184" t="s">
        <v>1963</v>
      </c>
      <c r="C261" s="129" t="s">
        <v>253</v>
      </c>
      <c r="D261" s="236" t="s">
        <v>1964</v>
      </c>
      <c r="E261" s="14">
        <f>19196633841</f>
        <v>19196633841</v>
      </c>
      <c r="F261" s="184" t="s">
        <v>1972</v>
      </c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86" t="s">
        <v>1962</v>
      </c>
      <c r="B262" s="186" t="s">
        <v>1975</v>
      </c>
      <c r="C262" s="181" t="s">
        <v>1523</v>
      </c>
      <c r="D262" s="183" t="s">
        <v>1978</v>
      </c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186"/>
      <c r="B263" s="186"/>
      <c r="C263" s="181"/>
      <c r="D263" s="186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184" t="s">
        <v>329</v>
      </c>
      <c r="B264" s="184" t="s">
        <v>1988</v>
      </c>
      <c r="C264" s="129" t="s">
        <v>451</v>
      </c>
      <c r="D264" s="236" t="s">
        <v>1991</v>
      </c>
      <c r="E264" s="14">
        <f>918800092561</f>
        <v>918800092561</v>
      </c>
      <c r="F264" s="184" t="s">
        <v>1995</v>
      </c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86" t="s">
        <v>329</v>
      </c>
      <c r="B265" s="186" t="s">
        <v>330</v>
      </c>
      <c r="C265" s="181" t="s">
        <v>1999</v>
      </c>
      <c r="D265" s="183" t="s">
        <v>2000</v>
      </c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186" t="s">
        <v>329</v>
      </c>
      <c r="B266" s="186" t="s">
        <v>2009</v>
      </c>
      <c r="C266" s="181" t="s">
        <v>1460</v>
      </c>
      <c r="D266" s="183" t="s">
        <v>2010</v>
      </c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186"/>
      <c r="B267" s="186"/>
      <c r="C267" s="181"/>
      <c r="D267" s="186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184" t="s">
        <v>2022</v>
      </c>
      <c r="B268" s="184" t="s">
        <v>2023</v>
      </c>
      <c r="C268" s="129" t="s">
        <v>451</v>
      </c>
      <c r="D268" s="236" t="s">
        <v>2025</v>
      </c>
      <c r="E268" s="184">
        <v>9.1999091054E11</v>
      </c>
      <c r="F268" s="184" t="s">
        <v>2027</v>
      </c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86" t="s">
        <v>2022</v>
      </c>
      <c r="B269" s="186" t="s">
        <v>2032</v>
      </c>
      <c r="C269" s="181" t="s">
        <v>1523</v>
      </c>
      <c r="D269" s="183" t="s">
        <v>2033</v>
      </c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186"/>
      <c r="B270" s="186"/>
      <c r="C270" s="181"/>
      <c r="D270" s="186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184" t="s">
        <v>2041</v>
      </c>
      <c r="B271" s="184" t="s">
        <v>2042</v>
      </c>
      <c r="C271" s="129" t="s">
        <v>253</v>
      </c>
      <c r="D271" s="236" t="s">
        <v>2044</v>
      </c>
      <c r="E271" s="14"/>
      <c r="F271" s="184" t="s">
        <v>2047</v>
      </c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86"/>
      <c r="B272" s="186"/>
      <c r="C272" s="181"/>
      <c r="D272" s="186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184" t="s">
        <v>2053</v>
      </c>
      <c r="B273" s="184" t="s">
        <v>2055</v>
      </c>
      <c r="C273" s="129" t="s">
        <v>451</v>
      </c>
      <c r="D273" s="236" t="s">
        <v>2056</v>
      </c>
      <c r="E273" s="14">
        <f>919886752549</f>
        <v>919886752549</v>
      </c>
      <c r="F273" s="184" t="s">
        <v>2062</v>
      </c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86" t="s">
        <v>2053</v>
      </c>
      <c r="B274" s="186" t="s">
        <v>2063</v>
      </c>
      <c r="C274" s="181" t="s">
        <v>1460</v>
      </c>
      <c r="D274" s="183" t="s">
        <v>2064</v>
      </c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186"/>
      <c r="B275" s="186"/>
      <c r="C275" s="181"/>
      <c r="D275" s="186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184" t="s">
        <v>2074</v>
      </c>
      <c r="B276" s="184" t="s">
        <v>2075</v>
      </c>
      <c r="C276" s="129" t="s">
        <v>451</v>
      </c>
      <c r="D276" s="236" t="s">
        <v>2076</v>
      </c>
      <c r="E276" s="14">
        <f>919611105212</f>
        <v>919611105212</v>
      </c>
      <c r="F276" s="184" t="s">
        <v>2080</v>
      </c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86" t="s">
        <v>2074</v>
      </c>
      <c r="B277" s="186" t="s">
        <v>2085</v>
      </c>
      <c r="C277" s="181" t="s">
        <v>1523</v>
      </c>
      <c r="D277" s="183" t="s">
        <v>2086</v>
      </c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186"/>
      <c r="B278" s="186"/>
      <c r="C278" s="181"/>
      <c r="D278" s="186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184" t="s">
        <v>2093</v>
      </c>
      <c r="B279" s="184" t="s">
        <v>2095</v>
      </c>
      <c r="C279" s="129" t="s">
        <v>451</v>
      </c>
      <c r="D279" s="236" t="s">
        <v>2096</v>
      </c>
      <c r="E279" s="14">
        <f>12024199270</f>
        <v>12024199270</v>
      </c>
      <c r="F279" s="184" t="s">
        <v>2099</v>
      </c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86" t="s">
        <v>2093</v>
      </c>
      <c r="B280" s="186" t="s">
        <v>2101</v>
      </c>
      <c r="C280" s="181" t="s">
        <v>172</v>
      </c>
      <c r="D280" s="183" t="s">
        <v>2103</v>
      </c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186"/>
      <c r="B281" s="186"/>
      <c r="C281" s="181"/>
      <c r="D281" s="186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184" t="s">
        <v>2109</v>
      </c>
      <c r="B282" s="184" t="s">
        <v>2110</v>
      </c>
      <c r="C282" s="129" t="s">
        <v>451</v>
      </c>
      <c r="D282" s="236" t="s">
        <v>2111</v>
      </c>
      <c r="E282" s="14"/>
      <c r="F282" s="184" t="s">
        <v>2116</v>
      </c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86" t="s">
        <v>2109</v>
      </c>
      <c r="B283" s="186" t="s">
        <v>2118</v>
      </c>
      <c r="C283" s="181" t="s">
        <v>1460</v>
      </c>
      <c r="D283" s="183" t="s">
        <v>2120</v>
      </c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186"/>
      <c r="B284" s="186"/>
      <c r="C284" s="181"/>
      <c r="D284" s="186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184" t="s">
        <v>485</v>
      </c>
      <c r="B285" s="184" t="s">
        <v>487</v>
      </c>
      <c r="C285" s="129" t="s">
        <v>451</v>
      </c>
      <c r="D285" s="236" t="s">
        <v>2127</v>
      </c>
      <c r="E285" s="14">
        <f>919377958010</f>
        <v>919377958010</v>
      </c>
      <c r="F285" s="184" t="s">
        <v>490</v>
      </c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86" t="s">
        <v>485</v>
      </c>
      <c r="B286" s="186" t="s">
        <v>2132</v>
      </c>
      <c r="C286" s="181" t="s">
        <v>1460</v>
      </c>
      <c r="D286" s="183" t="s">
        <v>2134</v>
      </c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186"/>
      <c r="B287" s="186"/>
      <c r="C287" s="181"/>
      <c r="D287" s="186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184" t="s">
        <v>2140</v>
      </c>
      <c r="B288" s="184" t="s">
        <v>2141</v>
      </c>
      <c r="C288" s="129" t="s">
        <v>253</v>
      </c>
      <c r="D288" s="236" t="s">
        <v>2142</v>
      </c>
      <c r="E288" s="14"/>
      <c r="F288" s="184" t="s">
        <v>2145</v>
      </c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86"/>
      <c r="B289" s="186"/>
      <c r="C289" s="181"/>
      <c r="D289" s="186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184" t="s">
        <v>2150</v>
      </c>
      <c r="B290" s="184" t="s">
        <v>2151</v>
      </c>
      <c r="C290" s="129" t="s">
        <v>253</v>
      </c>
      <c r="D290" s="236" t="s">
        <v>2152</v>
      </c>
      <c r="E290" s="14">
        <f>919740060333</f>
        <v>919740060333</v>
      </c>
      <c r="F290" s="184" t="s">
        <v>2156</v>
      </c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86"/>
      <c r="B291" s="186"/>
      <c r="C291" s="181"/>
      <c r="D291" s="186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184" t="s">
        <v>2161</v>
      </c>
      <c r="B292" s="184" t="s">
        <v>2163</v>
      </c>
      <c r="C292" s="129" t="s">
        <v>237</v>
      </c>
      <c r="D292" s="236" t="s">
        <v>2164</v>
      </c>
      <c r="E292" s="14"/>
      <c r="F292" s="184" t="s">
        <v>2167</v>
      </c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86" t="s">
        <v>2161</v>
      </c>
      <c r="B293" s="186" t="s">
        <v>2168</v>
      </c>
      <c r="C293" s="181" t="s">
        <v>172</v>
      </c>
      <c r="D293" s="183" t="s">
        <v>2170</v>
      </c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186"/>
      <c r="B294" s="186"/>
      <c r="C294" s="181"/>
      <c r="D294" s="186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184" t="s">
        <v>2178</v>
      </c>
      <c r="B295" s="184" t="s">
        <v>2179</v>
      </c>
      <c r="C295" s="129" t="s">
        <v>451</v>
      </c>
      <c r="D295" s="236" t="s">
        <v>2180</v>
      </c>
      <c r="E295" s="14">
        <f>919958340991</f>
        <v>919958340991</v>
      </c>
      <c r="F295" s="184" t="s">
        <v>2182</v>
      </c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86" t="s">
        <v>2178</v>
      </c>
      <c r="B296" s="186" t="s">
        <v>2186</v>
      </c>
      <c r="C296" s="181" t="s">
        <v>1460</v>
      </c>
      <c r="D296" s="183" t="s">
        <v>2187</v>
      </c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186"/>
      <c r="B297" s="186"/>
      <c r="C297" s="181"/>
      <c r="D297" s="186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184" t="s">
        <v>2191</v>
      </c>
      <c r="B298" s="184" t="s">
        <v>2192</v>
      </c>
      <c r="C298" s="129" t="s">
        <v>451</v>
      </c>
      <c r="D298" s="236" t="s">
        <v>2193</v>
      </c>
      <c r="E298" s="14">
        <f>442034110504</f>
        <v>442034110504</v>
      </c>
      <c r="F298" s="184" t="s">
        <v>2197</v>
      </c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86" t="s">
        <v>2191</v>
      </c>
      <c r="B299" s="186" t="s">
        <v>2198</v>
      </c>
      <c r="C299" s="181" t="s">
        <v>172</v>
      </c>
      <c r="D299" s="183" t="s">
        <v>2200</v>
      </c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186"/>
      <c r="B300" s="186"/>
      <c r="C300" s="181"/>
      <c r="D300" s="186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184" t="s">
        <v>345</v>
      </c>
      <c r="B301" s="184" t="s">
        <v>2208</v>
      </c>
      <c r="C301" s="129" t="s">
        <v>451</v>
      </c>
      <c r="D301" s="236" t="s">
        <v>2210</v>
      </c>
      <c r="E301" s="14">
        <f>912064865701</f>
        <v>912064865701</v>
      </c>
      <c r="F301" s="184" t="s">
        <v>2211</v>
      </c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86" t="s">
        <v>345</v>
      </c>
      <c r="B302" s="186" t="s">
        <v>2216</v>
      </c>
      <c r="C302" s="181" t="s">
        <v>1460</v>
      </c>
      <c r="D302" s="183" t="s">
        <v>2217</v>
      </c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186"/>
      <c r="B303" s="186"/>
      <c r="C303" s="181"/>
      <c r="D303" s="186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184" t="s">
        <v>2223</v>
      </c>
      <c r="B304" s="184" t="s">
        <v>2224</v>
      </c>
      <c r="C304" s="129" t="s">
        <v>451</v>
      </c>
      <c r="D304" s="236" t="s">
        <v>2225</v>
      </c>
      <c r="E304" s="14"/>
      <c r="F304" s="184" t="s">
        <v>2229</v>
      </c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86" t="s">
        <v>2223</v>
      </c>
      <c r="B305" s="186" t="s">
        <v>2231</v>
      </c>
      <c r="C305" s="181" t="s">
        <v>172</v>
      </c>
      <c r="D305" s="183" t="s">
        <v>2233</v>
      </c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186"/>
      <c r="B306" s="186"/>
      <c r="C306" s="181"/>
      <c r="D306" s="186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184" t="s">
        <v>2241</v>
      </c>
      <c r="B307" s="184" t="s">
        <v>2242</v>
      </c>
      <c r="C307" s="129" t="s">
        <v>253</v>
      </c>
      <c r="D307" s="236" t="s">
        <v>2243</v>
      </c>
      <c r="E307" s="14"/>
      <c r="F307" s="184" t="s">
        <v>2245</v>
      </c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86"/>
      <c r="B308" s="186"/>
      <c r="C308" s="181"/>
      <c r="D308" s="186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184" t="s">
        <v>2253</v>
      </c>
      <c r="B309" s="184" t="s">
        <v>2254</v>
      </c>
      <c r="C309" s="129" t="s">
        <v>451</v>
      </c>
      <c r="D309" s="236" t="s">
        <v>2257</v>
      </c>
      <c r="E309" s="14"/>
      <c r="F309" s="184" t="s">
        <v>2259</v>
      </c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86" t="s">
        <v>2253</v>
      </c>
      <c r="B310" s="186" t="s">
        <v>2262</v>
      </c>
      <c r="C310" s="181" t="s">
        <v>172</v>
      </c>
      <c r="D310" s="183" t="s">
        <v>2263</v>
      </c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186"/>
      <c r="B311" s="186"/>
      <c r="C311" s="181"/>
      <c r="D311" s="186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184" t="s">
        <v>2270</v>
      </c>
      <c r="B312" s="184" t="s">
        <v>2271</v>
      </c>
      <c r="C312" s="129" t="s">
        <v>253</v>
      </c>
      <c r="D312" s="236" t="s">
        <v>2272</v>
      </c>
      <c r="E312" s="14">
        <f>919987615086</f>
        <v>919987615086</v>
      </c>
      <c r="F312" s="184" t="s">
        <v>2276</v>
      </c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86"/>
      <c r="B313" s="186"/>
      <c r="C313" s="181"/>
      <c r="D313" s="186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184" t="s">
        <v>2282</v>
      </c>
      <c r="B314" s="184" t="s">
        <v>2283</v>
      </c>
      <c r="C314" s="129" t="s">
        <v>172</v>
      </c>
      <c r="D314" s="236" t="s">
        <v>2284</v>
      </c>
      <c r="E314" s="14"/>
      <c r="F314" s="184" t="s">
        <v>2287</v>
      </c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86" t="s">
        <v>2282</v>
      </c>
      <c r="B315" s="186" t="s">
        <v>2290</v>
      </c>
      <c r="C315" s="181" t="s">
        <v>172</v>
      </c>
      <c r="D315" s="183" t="s">
        <v>2292</v>
      </c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186"/>
      <c r="B316" s="186"/>
      <c r="C316" s="181"/>
      <c r="D316" s="186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184" t="s">
        <v>2299</v>
      </c>
      <c r="B317" s="184" t="s">
        <v>2300</v>
      </c>
      <c r="C317" s="129" t="s">
        <v>237</v>
      </c>
      <c r="D317" s="236" t="s">
        <v>2302</v>
      </c>
      <c r="E317" s="14">
        <f>918041317297</f>
        <v>918041317297</v>
      </c>
      <c r="F317" s="184" t="s">
        <v>2306</v>
      </c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86" t="s">
        <v>2299</v>
      </c>
      <c r="B318" s="186" t="s">
        <v>2310</v>
      </c>
      <c r="C318" s="181" t="s">
        <v>147</v>
      </c>
      <c r="D318" s="183" t="s">
        <v>2311</v>
      </c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186"/>
      <c r="B319" s="186"/>
      <c r="C319" s="181"/>
      <c r="D319" s="186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184" t="s">
        <v>2317</v>
      </c>
      <c r="B320" s="184" t="s">
        <v>2318</v>
      </c>
      <c r="C320" s="129" t="s">
        <v>172</v>
      </c>
      <c r="D320" s="236" t="s">
        <v>2319</v>
      </c>
      <c r="E320" s="14"/>
      <c r="F320" s="184" t="s">
        <v>2322</v>
      </c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86" t="s">
        <v>2317</v>
      </c>
      <c r="B321" s="186" t="s">
        <v>2323</v>
      </c>
      <c r="C321" s="181" t="s">
        <v>172</v>
      </c>
      <c r="D321" s="183" t="s">
        <v>2325</v>
      </c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17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87" t="s">
        <v>2329</v>
      </c>
      <c r="B323" s="186" t="s">
        <v>2330</v>
      </c>
      <c r="C323" s="181" t="s">
        <v>451</v>
      </c>
      <c r="D323" s="183" t="s">
        <v>2331</v>
      </c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103" t="s">
        <v>2329</v>
      </c>
      <c r="B324" s="184" t="s">
        <v>2340</v>
      </c>
      <c r="C324" s="129" t="s">
        <v>1460</v>
      </c>
      <c r="D324" s="236" t="s">
        <v>2341</v>
      </c>
      <c r="E324" s="14">
        <f>919461184414</f>
        <v>919461184414</v>
      </c>
      <c r="F324" s="184" t="s">
        <v>2344</v>
      </c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87" t="s">
        <v>2329</v>
      </c>
      <c r="B325" s="186" t="s">
        <v>2346</v>
      </c>
      <c r="C325" s="181" t="s">
        <v>1523</v>
      </c>
      <c r="D325" s="183" t="s">
        <v>2347</v>
      </c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87"/>
      <c r="B326" s="186"/>
      <c r="C326" s="181"/>
      <c r="D326" s="186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103" t="s">
        <v>2353</v>
      </c>
      <c r="B327" s="184" t="s">
        <v>2354</v>
      </c>
      <c r="C327" s="129" t="s">
        <v>451</v>
      </c>
      <c r="D327" s="236" t="s">
        <v>2356</v>
      </c>
      <c r="E327" s="14">
        <f>919650328210</f>
        <v>919650328210</v>
      </c>
      <c r="F327" s="184" t="s">
        <v>2358</v>
      </c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87" t="s">
        <v>2353</v>
      </c>
      <c r="B328" s="186" t="s">
        <v>2361</v>
      </c>
      <c r="C328" s="181" t="s">
        <v>2362</v>
      </c>
      <c r="D328" s="183" t="s">
        <v>2363</v>
      </c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87"/>
      <c r="B329" s="186"/>
      <c r="C329" s="181"/>
      <c r="D329" s="186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103" t="s">
        <v>2371</v>
      </c>
      <c r="B330" s="184" t="s">
        <v>2372</v>
      </c>
      <c r="C330" s="129" t="s">
        <v>253</v>
      </c>
      <c r="D330" s="236" t="s">
        <v>2373</v>
      </c>
      <c r="E330" s="14"/>
      <c r="F330" s="184" t="s">
        <v>2377</v>
      </c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87" t="s">
        <v>2371</v>
      </c>
      <c r="B331" s="186" t="s">
        <v>2380</v>
      </c>
      <c r="C331" s="181" t="s">
        <v>1523</v>
      </c>
      <c r="D331" s="183" t="s">
        <v>2381</v>
      </c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87"/>
      <c r="B332" s="186"/>
      <c r="C332" s="181"/>
      <c r="D332" s="186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103" t="s">
        <v>2391</v>
      </c>
      <c r="B333" s="184" t="s">
        <v>2392</v>
      </c>
      <c r="C333" s="129" t="s">
        <v>451</v>
      </c>
      <c r="D333" s="236" t="s">
        <v>2393</v>
      </c>
      <c r="E333" s="14">
        <f>919448163303</f>
        <v>919448163303</v>
      </c>
      <c r="F333" s="184" t="s">
        <v>2396</v>
      </c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87" t="s">
        <v>2391</v>
      </c>
      <c r="B334" s="186" t="s">
        <v>2399</v>
      </c>
      <c r="C334" s="181" t="s">
        <v>172</v>
      </c>
      <c r="D334" s="183" t="s">
        <v>2400</v>
      </c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87"/>
      <c r="B335" s="186"/>
      <c r="C335" s="181"/>
      <c r="D335" s="186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103" t="s">
        <v>2407</v>
      </c>
      <c r="B336" s="184" t="s">
        <v>2409</v>
      </c>
      <c r="C336" s="129" t="s">
        <v>451</v>
      </c>
      <c r="D336" s="236" t="s">
        <v>2410</v>
      </c>
      <c r="E336" s="14">
        <f>971507883200</f>
        <v>971507883200</v>
      </c>
      <c r="F336" s="184" t="s">
        <v>788</v>
      </c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87" t="s">
        <v>2407</v>
      </c>
      <c r="B337" s="186" t="s">
        <v>2413</v>
      </c>
      <c r="C337" s="181" t="s">
        <v>1523</v>
      </c>
      <c r="D337" s="183" t="s">
        <v>2414</v>
      </c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87"/>
      <c r="B338" s="186"/>
      <c r="C338" s="181"/>
      <c r="D338" s="186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103" t="s">
        <v>2420</v>
      </c>
      <c r="B339" s="184" t="s">
        <v>2421</v>
      </c>
      <c r="C339" s="129" t="s">
        <v>451</v>
      </c>
      <c r="D339" s="236" t="s">
        <v>2422</v>
      </c>
      <c r="E339" s="14">
        <f>919971120039</f>
        <v>919971120039</v>
      </c>
      <c r="F339" s="184" t="s">
        <v>2426</v>
      </c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87" t="s">
        <v>2420</v>
      </c>
      <c r="B340" s="186" t="s">
        <v>2427</v>
      </c>
      <c r="C340" s="181" t="s">
        <v>172</v>
      </c>
      <c r="D340" s="183" t="s">
        <v>2429</v>
      </c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87"/>
      <c r="B341" s="186"/>
      <c r="C341" s="181"/>
      <c r="D341" s="186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103" t="s">
        <v>2438</v>
      </c>
      <c r="B342" s="184" t="s">
        <v>2439</v>
      </c>
      <c r="C342" s="129" t="s">
        <v>253</v>
      </c>
      <c r="D342" s="236" t="s">
        <v>2441</v>
      </c>
      <c r="E342" s="184" t="s">
        <v>2443</v>
      </c>
      <c r="F342" s="184" t="s">
        <v>2444</v>
      </c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87" t="s">
        <v>2438</v>
      </c>
      <c r="B343" s="186" t="s">
        <v>2446</v>
      </c>
      <c r="C343" s="181" t="s">
        <v>37</v>
      </c>
      <c r="D343" s="183" t="s">
        <v>2447</v>
      </c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87"/>
      <c r="B344" s="186"/>
      <c r="C344" s="181"/>
      <c r="D344" s="186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103" t="s">
        <v>2452</v>
      </c>
      <c r="B345" s="184" t="s">
        <v>2453</v>
      </c>
      <c r="C345" s="129" t="s">
        <v>253</v>
      </c>
      <c r="D345" s="236" t="s">
        <v>2454</v>
      </c>
      <c r="E345" s="14">
        <f>912225405650</f>
        <v>912225405650</v>
      </c>
      <c r="F345" s="184" t="s">
        <v>2458</v>
      </c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87"/>
      <c r="B346" s="186"/>
      <c r="C346" s="181"/>
      <c r="D346" s="186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103" t="s">
        <v>2466</v>
      </c>
      <c r="B347" s="184" t="s">
        <v>2467</v>
      </c>
      <c r="C347" s="129" t="s">
        <v>451</v>
      </c>
      <c r="D347" s="236" t="s">
        <v>2468</v>
      </c>
      <c r="E347" s="14">
        <f>919930212006</f>
        <v>919930212006</v>
      </c>
      <c r="F347" s="184" t="s">
        <v>2472</v>
      </c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87"/>
      <c r="B348" s="186"/>
      <c r="C348" s="181"/>
      <c r="D348" s="186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103" t="s">
        <v>2477</v>
      </c>
      <c r="B349" s="184" t="s">
        <v>2478</v>
      </c>
      <c r="C349" s="129" t="s">
        <v>2479</v>
      </c>
      <c r="D349" s="236" t="s">
        <v>2480</v>
      </c>
      <c r="E349" s="14">
        <f>919820099911</f>
        <v>919820099911</v>
      </c>
      <c r="F349" s="184" t="s">
        <v>2483</v>
      </c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87"/>
      <c r="B350" s="186"/>
      <c r="C350" s="181"/>
      <c r="D350" s="186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103" t="s">
        <v>2489</v>
      </c>
      <c r="B351" s="184" t="s">
        <v>1760</v>
      </c>
      <c r="C351" s="129" t="s">
        <v>253</v>
      </c>
      <c r="D351" s="236" t="s">
        <v>2490</v>
      </c>
      <c r="E351" s="14">
        <f>919900101088</f>
        <v>919900101088</v>
      </c>
      <c r="F351" s="184" t="s">
        <v>2492</v>
      </c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87" t="s">
        <v>2489</v>
      </c>
      <c r="B352" s="186" t="s">
        <v>1753</v>
      </c>
      <c r="C352" s="181" t="s">
        <v>172</v>
      </c>
      <c r="D352" s="183" t="s">
        <v>2496</v>
      </c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87"/>
      <c r="B353" s="186"/>
      <c r="C353" s="181"/>
      <c r="D353" s="186"/>
      <c r="E353" s="186"/>
      <c r="F353" s="186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103" t="s">
        <v>976</v>
      </c>
      <c r="B354" s="184" t="s">
        <v>2501</v>
      </c>
      <c r="C354" s="129" t="s">
        <v>451</v>
      </c>
      <c r="D354" s="236" t="s">
        <v>2502</v>
      </c>
      <c r="E354" s="184">
        <v>9.1993084727E11</v>
      </c>
      <c r="F354" s="184" t="s">
        <v>2505</v>
      </c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87"/>
      <c r="B355" s="186"/>
      <c r="C355" s="181"/>
      <c r="D355" s="186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103" t="s">
        <v>2509</v>
      </c>
      <c r="B356" s="184" t="s">
        <v>2510</v>
      </c>
      <c r="C356" s="129" t="s">
        <v>253</v>
      </c>
      <c r="D356" s="236" t="s">
        <v>2511</v>
      </c>
      <c r="E356" s="14"/>
      <c r="F356" s="184" t="s">
        <v>2513</v>
      </c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87"/>
      <c r="B357" s="186"/>
      <c r="C357" s="181"/>
      <c r="D357" s="186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87" t="s">
        <v>2523</v>
      </c>
      <c r="B358" s="186" t="s">
        <v>2524</v>
      </c>
      <c r="C358" s="181" t="s">
        <v>451</v>
      </c>
      <c r="D358" s="183" t="s">
        <v>2525</v>
      </c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103" t="s">
        <v>2523</v>
      </c>
      <c r="B359" s="184" t="s">
        <v>2529</v>
      </c>
      <c r="C359" s="129" t="s">
        <v>172</v>
      </c>
      <c r="D359" s="236" t="s">
        <v>2531</v>
      </c>
      <c r="E359" s="14">
        <f>919916271092</f>
        <v>919916271092</v>
      </c>
      <c r="F359" s="184" t="s">
        <v>2534</v>
      </c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87"/>
      <c r="B360" s="186"/>
      <c r="C360" s="181"/>
      <c r="D360" s="186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103" t="s">
        <v>2540</v>
      </c>
      <c r="B361" s="184" t="s">
        <v>2541</v>
      </c>
      <c r="C361" s="129" t="s">
        <v>253</v>
      </c>
      <c r="D361" s="236" t="s">
        <v>2542</v>
      </c>
      <c r="E361" s="14"/>
      <c r="F361" s="184" t="s">
        <v>2546</v>
      </c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87"/>
      <c r="B362" s="186"/>
      <c r="C362" s="181"/>
      <c r="D362" s="186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103" t="s">
        <v>2553</v>
      </c>
      <c r="B363" s="184" t="s">
        <v>2554</v>
      </c>
      <c r="C363" s="129" t="s">
        <v>172</v>
      </c>
      <c r="D363" s="236" t="s">
        <v>2555</v>
      </c>
      <c r="E363" s="14">
        <f>919884358242</f>
        <v>919884358242</v>
      </c>
      <c r="F363" s="184" t="s">
        <v>2560</v>
      </c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87"/>
      <c r="B364" s="186"/>
      <c r="C364" s="181"/>
      <c r="D364" s="186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103" t="s">
        <v>2569</v>
      </c>
      <c r="B365" s="184" t="s">
        <v>2570</v>
      </c>
      <c r="C365" s="129" t="s">
        <v>93</v>
      </c>
      <c r="D365" s="236" t="s">
        <v>2571</v>
      </c>
      <c r="E365" s="184" t="s">
        <v>2573</v>
      </c>
      <c r="F365" s="184" t="s">
        <v>2575</v>
      </c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87"/>
      <c r="B366" s="186"/>
      <c r="C366" s="181"/>
      <c r="D366" s="186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103" t="s">
        <v>2581</v>
      </c>
      <c r="B367" s="184" t="s">
        <v>2582</v>
      </c>
      <c r="C367" s="129" t="s">
        <v>237</v>
      </c>
      <c r="D367" s="236" t="s">
        <v>2584</v>
      </c>
      <c r="E367" s="14">
        <f>912223716773</f>
        <v>912223716773</v>
      </c>
      <c r="F367" s="184" t="s">
        <v>2586</v>
      </c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87" t="s">
        <v>2581</v>
      </c>
      <c r="B368" s="186" t="s">
        <v>2591</v>
      </c>
      <c r="C368" s="181" t="s">
        <v>451</v>
      </c>
      <c r="D368" s="183" t="s">
        <v>2593</v>
      </c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87"/>
      <c r="B369" s="186"/>
      <c r="C369" s="181"/>
      <c r="D369" s="186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103" t="s">
        <v>2603</v>
      </c>
      <c r="B370" s="184" t="s">
        <v>2604</v>
      </c>
      <c r="C370" s="129" t="s">
        <v>451</v>
      </c>
      <c r="D370" s="236" t="s">
        <v>2606</v>
      </c>
      <c r="E370" s="14">
        <f>919910031990</f>
        <v>919910031990</v>
      </c>
      <c r="F370" s="184" t="s">
        <v>2608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87" t="s">
        <v>2603</v>
      </c>
      <c r="B371" s="186" t="s">
        <v>2609</v>
      </c>
      <c r="C371" s="181" t="s">
        <v>2362</v>
      </c>
      <c r="D371" s="183" t="s">
        <v>2611</v>
      </c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87"/>
      <c r="B372" s="186"/>
      <c r="C372" s="181"/>
      <c r="D372" s="186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103" t="s">
        <v>2618</v>
      </c>
      <c r="B373" s="184" t="s">
        <v>2619</v>
      </c>
      <c r="C373" s="129" t="s">
        <v>2432</v>
      </c>
      <c r="D373" s="236" t="s">
        <v>2621</v>
      </c>
      <c r="E373" s="14"/>
      <c r="F373" s="184" t="s">
        <v>2626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87"/>
      <c r="B374" s="186"/>
      <c r="C374" s="181"/>
      <c r="D374" s="186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103" t="s">
        <v>2635</v>
      </c>
      <c r="B375" s="184" t="s">
        <v>2636</v>
      </c>
      <c r="C375" s="129" t="s">
        <v>2432</v>
      </c>
      <c r="D375" s="236" t="s">
        <v>2638</v>
      </c>
      <c r="E375" s="14">
        <f>911247117002</f>
        <v>911247117002</v>
      </c>
      <c r="F375" s="184" t="s">
        <v>2643</v>
      </c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87"/>
      <c r="B376" s="186"/>
      <c r="C376" s="181"/>
      <c r="D376" s="186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103" t="s">
        <v>2648</v>
      </c>
      <c r="B377" s="184" t="s">
        <v>2649</v>
      </c>
      <c r="C377" s="129" t="s">
        <v>237</v>
      </c>
      <c r="D377" s="236" t="s">
        <v>2650</v>
      </c>
      <c r="E377" s="14">
        <f>919910335033</f>
        <v>919910335033</v>
      </c>
      <c r="F377" s="184" t="s">
        <v>2656</v>
      </c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87"/>
      <c r="B378" s="186"/>
      <c r="C378" s="181"/>
      <c r="D378" s="186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103" t="s">
        <v>2661</v>
      </c>
      <c r="B379" s="184" t="s">
        <v>1748</v>
      </c>
      <c r="C379" s="129" t="s">
        <v>2662</v>
      </c>
      <c r="D379" s="236" t="s">
        <v>2663</v>
      </c>
      <c r="E379" s="14">
        <f>919910581562</f>
        <v>919910581562</v>
      </c>
      <c r="F379" s="184" t="s">
        <v>2669</v>
      </c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87"/>
      <c r="B380" s="186"/>
      <c r="C380" s="181"/>
      <c r="D380" s="186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103" t="s">
        <v>444</v>
      </c>
      <c r="B381" s="184" t="s">
        <v>445</v>
      </c>
      <c r="C381" s="129" t="s">
        <v>451</v>
      </c>
      <c r="D381" s="236" t="s">
        <v>446</v>
      </c>
      <c r="E381" s="14">
        <f>919891055993</f>
        <v>919891055993</v>
      </c>
      <c r="F381" s="184" t="s">
        <v>447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87" t="s">
        <v>444</v>
      </c>
      <c r="B382" s="186" t="s">
        <v>460</v>
      </c>
      <c r="C382" s="181" t="s">
        <v>172</v>
      </c>
      <c r="D382" s="183" t="s">
        <v>461</v>
      </c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87"/>
      <c r="B383" s="186"/>
      <c r="C383" s="181"/>
      <c r="D383" s="186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103" t="s">
        <v>2658</v>
      </c>
      <c r="B384" s="184" t="s">
        <v>2690</v>
      </c>
      <c r="C384" s="129" t="s">
        <v>172</v>
      </c>
      <c r="D384" s="236" t="s">
        <v>2691</v>
      </c>
      <c r="E384" s="184" t="s">
        <v>2692</v>
      </c>
      <c r="F384" s="184" t="s">
        <v>2693</v>
      </c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87" t="s">
        <v>2658</v>
      </c>
      <c r="B385" s="186" t="s">
        <v>2697</v>
      </c>
      <c r="C385" s="181" t="s">
        <v>172</v>
      </c>
      <c r="D385" s="183" t="s">
        <v>2699</v>
      </c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87"/>
      <c r="B386" s="186"/>
      <c r="C386" s="181"/>
      <c r="D386" s="186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103" t="s">
        <v>2704</v>
      </c>
      <c r="B387" s="184" t="s">
        <v>2705</v>
      </c>
      <c r="C387" s="129" t="s">
        <v>253</v>
      </c>
      <c r="D387" s="236" t="s">
        <v>2706</v>
      </c>
      <c r="E387" s="14">
        <f>918105422255</f>
        <v>918105422255</v>
      </c>
      <c r="F387" s="184" t="s">
        <v>2709</v>
      </c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87"/>
      <c r="B388" s="186"/>
      <c r="C388" s="181"/>
      <c r="D388" s="186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103" t="s">
        <v>2714</v>
      </c>
      <c r="B389" s="184" t="s">
        <v>2715</v>
      </c>
      <c r="C389" s="129" t="s">
        <v>451</v>
      </c>
      <c r="D389" s="236" t="s">
        <v>2716</v>
      </c>
      <c r="E389" s="14">
        <f>919884001769</f>
        <v>919884001769</v>
      </c>
      <c r="F389" s="184" t="s">
        <v>2718</v>
      </c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87" t="s">
        <v>2714</v>
      </c>
      <c r="B390" s="186" t="s">
        <v>2723</v>
      </c>
      <c r="C390" s="181" t="s">
        <v>172</v>
      </c>
      <c r="D390" s="183" t="s">
        <v>2724</v>
      </c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87"/>
      <c r="B391" s="186"/>
      <c r="C391" s="181"/>
      <c r="D391" s="186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103" t="s">
        <v>2733</v>
      </c>
      <c r="B392" s="184" t="s">
        <v>2734</v>
      </c>
      <c r="C392" s="129" t="s">
        <v>2432</v>
      </c>
      <c r="D392" s="236" t="s">
        <v>2735</v>
      </c>
      <c r="E392" s="184" t="s">
        <v>2736</v>
      </c>
      <c r="F392" s="184" t="s">
        <v>2738</v>
      </c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87"/>
      <c r="B393" s="186"/>
      <c r="C393" s="181"/>
      <c r="D393" s="186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87"/>
      <c r="B394" s="186"/>
      <c r="C394" s="181"/>
      <c r="D394" s="186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103" t="s">
        <v>2750</v>
      </c>
      <c r="B395" s="184" t="s">
        <v>2751</v>
      </c>
      <c r="C395" s="129" t="s">
        <v>451</v>
      </c>
      <c r="D395" s="236" t="s">
        <v>2752</v>
      </c>
      <c r="E395" s="184" t="s">
        <v>2754</v>
      </c>
      <c r="F395" s="184" t="s">
        <v>2756</v>
      </c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87"/>
      <c r="B396" s="186"/>
      <c r="C396" s="181"/>
      <c r="D396" s="186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103" t="s">
        <v>2765</v>
      </c>
      <c r="B397" s="184" t="s">
        <v>2766</v>
      </c>
      <c r="C397" s="129" t="s">
        <v>253</v>
      </c>
      <c r="D397" s="236" t="s">
        <v>2767</v>
      </c>
      <c r="E397" s="184" t="s">
        <v>2771</v>
      </c>
      <c r="F397" s="184" t="s">
        <v>2772</v>
      </c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87"/>
      <c r="B398" s="186"/>
      <c r="C398" s="181"/>
      <c r="D398" s="186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103" t="s">
        <v>2779</v>
      </c>
      <c r="B399" s="184" t="s">
        <v>2780</v>
      </c>
      <c r="C399" s="129" t="s">
        <v>451</v>
      </c>
      <c r="D399" s="236" t="s">
        <v>2782</v>
      </c>
      <c r="E399" s="14">
        <f>919711829001</f>
        <v>919711829001</v>
      </c>
      <c r="F399" s="184" t="s">
        <v>2784</v>
      </c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87" t="s">
        <v>2779</v>
      </c>
      <c r="B400" s="186" t="s">
        <v>2789</v>
      </c>
      <c r="C400" s="181" t="s">
        <v>172</v>
      </c>
      <c r="D400" s="183" t="s">
        <v>2790</v>
      </c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87"/>
      <c r="B401" s="186"/>
      <c r="C401" s="181"/>
      <c r="D401" s="186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103" t="s">
        <v>2804</v>
      </c>
      <c r="B402" s="184" t="s">
        <v>2805</v>
      </c>
      <c r="C402" s="129" t="s">
        <v>253</v>
      </c>
      <c r="D402" s="236" t="s">
        <v>2808</v>
      </c>
      <c r="E402" s="14">
        <f>919962552575</f>
        <v>919962552575</v>
      </c>
      <c r="F402" s="184" t="s">
        <v>2815</v>
      </c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87"/>
      <c r="B403" s="186"/>
      <c r="C403" s="181"/>
      <c r="D403" s="186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103" t="s">
        <v>2824</v>
      </c>
      <c r="B404" s="184" t="s">
        <v>2826</v>
      </c>
      <c r="C404" s="129" t="s">
        <v>172</v>
      </c>
      <c r="D404" s="236" t="s">
        <v>2827</v>
      </c>
      <c r="E404" s="14"/>
      <c r="F404" s="184" t="s">
        <v>2830</v>
      </c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87" t="s">
        <v>2824</v>
      </c>
      <c r="B405" s="186" t="s">
        <v>2835</v>
      </c>
      <c r="C405" s="181" t="s">
        <v>172</v>
      </c>
      <c r="D405" s="183" t="s">
        <v>2836</v>
      </c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87" t="s">
        <v>2824</v>
      </c>
      <c r="B406" s="186" t="s">
        <v>2841</v>
      </c>
      <c r="C406" s="181" t="s">
        <v>172</v>
      </c>
      <c r="D406" s="183" t="s">
        <v>2843</v>
      </c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87"/>
      <c r="B407" s="186"/>
      <c r="C407" s="181"/>
      <c r="D407" s="186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103" t="s">
        <v>2850</v>
      </c>
      <c r="B408" s="184" t="s">
        <v>2852</v>
      </c>
      <c r="C408" s="129" t="s">
        <v>451</v>
      </c>
      <c r="D408" s="236" t="s">
        <v>2854</v>
      </c>
      <c r="E408" s="14">
        <f>911244045281</f>
        <v>911244045281</v>
      </c>
      <c r="F408" s="184" t="s">
        <v>2856</v>
      </c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87" t="s">
        <v>2850</v>
      </c>
      <c r="B409" s="186" t="s">
        <v>2858</v>
      </c>
      <c r="C409" s="181" t="s">
        <v>1523</v>
      </c>
      <c r="D409" s="183" t="s">
        <v>2859</v>
      </c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87"/>
      <c r="B410" s="186"/>
      <c r="C410" s="181"/>
      <c r="D410" s="186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103" t="s">
        <v>2860</v>
      </c>
      <c r="B411" s="184" t="s">
        <v>2861</v>
      </c>
      <c r="C411" s="129" t="s">
        <v>451</v>
      </c>
      <c r="D411" s="236" t="s">
        <v>2862</v>
      </c>
      <c r="E411" s="14">
        <f>919871746577</f>
        <v>919871746577</v>
      </c>
      <c r="F411" s="184" t="s">
        <v>2865</v>
      </c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87" t="s">
        <v>2860</v>
      </c>
      <c r="B412" s="186" t="s">
        <v>2866</v>
      </c>
      <c r="C412" s="181" t="s">
        <v>172</v>
      </c>
      <c r="D412" s="183" t="s">
        <v>2867</v>
      </c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87"/>
      <c r="B413" s="186"/>
      <c r="C413" s="181"/>
      <c r="D413" s="186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103" t="s">
        <v>2874</v>
      </c>
      <c r="B414" s="184" t="s">
        <v>2875</v>
      </c>
      <c r="C414" s="129" t="s">
        <v>451</v>
      </c>
      <c r="D414" s="236" t="s">
        <v>2877</v>
      </c>
      <c r="E414" s="14">
        <f>918040965631</f>
        <v>918040965631</v>
      </c>
      <c r="F414" s="184" t="s">
        <v>2882</v>
      </c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87"/>
      <c r="B415" s="186"/>
      <c r="C415" s="181"/>
      <c r="D415" s="186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103" t="s">
        <v>2887</v>
      </c>
      <c r="B416" s="184" t="s">
        <v>2888</v>
      </c>
      <c r="C416" s="129" t="s">
        <v>37</v>
      </c>
      <c r="D416" s="236" t="s">
        <v>2889</v>
      </c>
      <c r="E416" s="184" t="s">
        <v>2893</v>
      </c>
      <c r="F416" s="184" t="s">
        <v>2894</v>
      </c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B417" s="40"/>
      <c r="C417" s="179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103" t="s">
        <v>2900</v>
      </c>
      <c r="B418" s="184" t="s">
        <v>858</v>
      </c>
      <c r="C418" s="129" t="s">
        <v>87</v>
      </c>
      <c r="D418" s="236" t="s">
        <v>2903</v>
      </c>
      <c r="E418" s="14">
        <f>919619161818</f>
        <v>919619161818</v>
      </c>
      <c r="F418" s="184" t="s">
        <v>2907</v>
      </c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B419" s="40"/>
      <c r="C419" s="179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87" t="s">
        <v>2908</v>
      </c>
      <c r="B420" s="186" t="s">
        <v>2909</v>
      </c>
      <c r="C420" s="181" t="s">
        <v>2616</v>
      </c>
      <c r="D420" s="183" t="s">
        <v>2910</v>
      </c>
      <c r="E420" s="40"/>
      <c r="F420" s="186" t="s">
        <v>2913</v>
      </c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87"/>
      <c r="B421" s="186"/>
      <c r="C421" s="181"/>
      <c r="D421" s="186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87" t="s">
        <v>2915</v>
      </c>
      <c r="B422" s="87" t="s">
        <v>2916</v>
      </c>
      <c r="C422" s="181" t="s">
        <v>192</v>
      </c>
      <c r="D422" s="183" t="s">
        <v>2917</v>
      </c>
      <c r="E422" s="40"/>
      <c r="F422" s="186" t="s">
        <v>2918</v>
      </c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87"/>
      <c r="B423" s="186"/>
      <c r="C423" s="181"/>
      <c r="D423" s="186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87" t="s">
        <v>2919</v>
      </c>
      <c r="B424" s="186" t="s">
        <v>2920</v>
      </c>
      <c r="C424" s="181" t="s">
        <v>2432</v>
      </c>
      <c r="D424" s="183" t="s">
        <v>2921</v>
      </c>
      <c r="E424" s="40">
        <f>912025630651</f>
        <v>912025630651</v>
      </c>
      <c r="F424" s="186" t="s">
        <v>2922</v>
      </c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87"/>
      <c r="B425" s="186"/>
      <c r="C425" s="181"/>
      <c r="D425" s="186"/>
      <c r="E425" s="40"/>
      <c r="F425" s="186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87" t="s">
        <v>2926</v>
      </c>
      <c r="B426" s="186" t="s">
        <v>2928</v>
      </c>
      <c r="C426" s="181" t="s">
        <v>192</v>
      </c>
      <c r="D426" s="183" t="s">
        <v>2930</v>
      </c>
      <c r="E426" s="40">
        <f>919168884886</f>
        <v>919168884886</v>
      </c>
      <c r="F426" s="186" t="s">
        <v>2933</v>
      </c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87"/>
      <c r="B427" s="186"/>
      <c r="C427" s="181"/>
      <c r="D427" s="186"/>
      <c r="E427" s="40"/>
      <c r="F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87" t="s">
        <v>2938</v>
      </c>
      <c r="B428" s="186" t="s">
        <v>2939</v>
      </c>
      <c r="C428" s="181" t="s">
        <v>253</v>
      </c>
      <c r="D428" s="183" t="s">
        <v>2940</v>
      </c>
      <c r="E428" s="186" t="s">
        <v>2941</v>
      </c>
      <c r="F428" s="186" t="s">
        <v>2942</v>
      </c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87"/>
      <c r="B429" s="186"/>
      <c r="C429" s="181"/>
      <c r="D429" s="186"/>
      <c r="E429" s="40"/>
      <c r="F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87" t="s">
        <v>2947</v>
      </c>
      <c r="B430" s="186" t="s">
        <v>2948</v>
      </c>
      <c r="C430" s="181" t="s">
        <v>253</v>
      </c>
      <c r="D430" s="183" t="s">
        <v>2949</v>
      </c>
      <c r="E430" s="186" t="s">
        <v>2953</v>
      </c>
      <c r="F430" s="186" t="s">
        <v>2955</v>
      </c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87"/>
      <c r="B431" s="186"/>
      <c r="C431" s="181"/>
      <c r="D431" s="186"/>
      <c r="E431" s="40"/>
      <c r="F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87" t="s">
        <v>2960</v>
      </c>
      <c r="B432" s="186" t="s">
        <v>2961</v>
      </c>
      <c r="C432" s="181" t="s">
        <v>93</v>
      </c>
      <c r="D432" s="183" t="s">
        <v>2962</v>
      </c>
      <c r="E432" s="40">
        <f>919590013999</f>
        <v>919590013999</v>
      </c>
      <c r="F432" s="186" t="s">
        <v>2967</v>
      </c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87"/>
      <c r="B433" s="186"/>
      <c r="C433" s="181"/>
      <c r="D433" s="186"/>
      <c r="E433" s="40"/>
      <c r="F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87" t="s">
        <v>315</v>
      </c>
      <c r="B434" s="186" t="s">
        <v>2970</v>
      </c>
      <c r="C434" s="181" t="s">
        <v>192</v>
      </c>
      <c r="D434" s="183" t="s">
        <v>2971</v>
      </c>
      <c r="E434" s="40">
        <f>919650677767</f>
        <v>919650677767</v>
      </c>
      <c r="F434" s="186" t="s">
        <v>2975</v>
      </c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87"/>
      <c r="B435" s="186"/>
      <c r="C435" s="181"/>
      <c r="D435" s="186"/>
      <c r="E435" s="40"/>
      <c r="F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87" t="s">
        <v>2980</v>
      </c>
      <c r="B436" s="186" t="s">
        <v>2981</v>
      </c>
      <c r="C436" s="181" t="s">
        <v>147</v>
      </c>
      <c r="D436" s="183" t="s">
        <v>2982</v>
      </c>
      <c r="E436" s="186" t="s">
        <v>2983</v>
      </c>
      <c r="F436" s="186" t="s">
        <v>2984</v>
      </c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87"/>
      <c r="B437" s="186"/>
      <c r="C437" s="181"/>
      <c r="D437" s="186"/>
      <c r="E437" s="40"/>
      <c r="F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87" t="s">
        <v>2989</v>
      </c>
      <c r="B438" s="186" t="s">
        <v>2990</v>
      </c>
      <c r="C438" s="181" t="s">
        <v>1001</v>
      </c>
      <c r="D438" s="183" t="s">
        <v>2991</v>
      </c>
      <c r="E438" s="40">
        <f>919711821394</f>
        <v>919711821394</v>
      </c>
      <c r="F438" s="186" t="s">
        <v>2996</v>
      </c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87"/>
      <c r="B439" s="186"/>
      <c r="C439" s="181"/>
      <c r="D439" s="186"/>
      <c r="E439" s="40"/>
      <c r="F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87" t="s">
        <v>3001</v>
      </c>
      <c r="B440" s="186" t="s">
        <v>3002</v>
      </c>
      <c r="C440" s="181" t="s">
        <v>3003</v>
      </c>
      <c r="D440" s="183" t="s">
        <v>3004</v>
      </c>
      <c r="E440" s="40">
        <f>911412620451</f>
        <v>911412620451</v>
      </c>
      <c r="F440" s="186" t="s">
        <v>3006</v>
      </c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186"/>
      <c r="B441" s="186"/>
      <c r="C441" s="181"/>
      <c r="D441" s="186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186" t="s">
        <v>3012</v>
      </c>
      <c r="B442" s="186" t="s">
        <v>3013</v>
      </c>
      <c r="C442" s="181" t="s">
        <v>192</v>
      </c>
      <c r="D442" s="183" t="s">
        <v>3015</v>
      </c>
      <c r="E442" s="40">
        <f>919986244195</f>
        <v>919986244195</v>
      </c>
      <c r="F442" s="186" t="s">
        <v>3017</v>
      </c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186"/>
      <c r="B443" s="186"/>
      <c r="C443" s="181"/>
      <c r="D443" s="186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186" t="s">
        <v>3021</v>
      </c>
      <c r="B444" s="186" t="s">
        <v>3022</v>
      </c>
      <c r="C444" s="181" t="s">
        <v>3024</v>
      </c>
      <c r="D444" s="183" t="s">
        <v>3025</v>
      </c>
      <c r="E444" s="40"/>
      <c r="F444" s="186" t="s">
        <v>3028</v>
      </c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186"/>
      <c r="B445" s="186"/>
      <c r="C445" s="181"/>
      <c r="D445" s="186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186" t="s">
        <v>3033</v>
      </c>
      <c r="B446" s="186" t="s">
        <v>3034</v>
      </c>
      <c r="C446" s="181" t="s">
        <v>253</v>
      </c>
      <c r="D446" s="183" t="s">
        <v>3035</v>
      </c>
      <c r="E446" s="186" t="s">
        <v>3036</v>
      </c>
      <c r="F446" s="186" t="s">
        <v>3037</v>
      </c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186"/>
      <c r="B447" s="186"/>
      <c r="C447" s="181"/>
      <c r="D447" s="186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186" t="s">
        <v>3040</v>
      </c>
      <c r="B448" s="186" t="s">
        <v>3041</v>
      </c>
      <c r="C448" s="181" t="s">
        <v>147</v>
      </c>
      <c r="D448" s="183" t="s">
        <v>3042</v>
      </c>
      <c r="E448" s="186" t="s">
        <v>3043</v>
      </c>
      <c r="F448" s="186" t="s">
        <v>3044</v>
      </c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186"/>
      <c r="B449" s="186"/>
      <c r="C449" s="181"/>
      <c r="D449" s="186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186" t="s">
        <v>3049</v>
      </c>
      <c r="B450" s="186" t="s">
        <v>3051</v>
      </c>
      <c r="C450" s="181" t="s">
        <v>192</v>
      </c>
      <c r="D450" s="183" t="s">
        <v>3053</v>
      </c>
      <c r="E450" s="40">
        <f>919954385701</f>
        <v>919954385701</v>
      </c>
      <c r="F450" s="186" t="s">
        <v>3054</v>
      </c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179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186" t="s">
        <v>3058</v>
      </c>
      <c r="B452" s="186" t="s">
        <v>3059</v>
      </c>
      <c r="C452" s="181" t="s">
        <v>2252</v>
      </c>
      <c r="D452" s="183" t="s">
        <v>3060</v>
      </c>
      <c r="E452" s="40">
        <f>918939970003</f>
        <v>918939970003</v>
      </c>
      <c r="F452" s="186" t="s">
        <v>3065</v>
      </c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186"/>
      <c r="B453" s="186"/>
      <c r="C453" s="181"/>
      <c r="D453" s="186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186" t="s">
        <v>2993</v>
      </c>
      <c r="B454" s="186" t="s">
        <v>3068</v>
      </c>
      <c r="C454" s="181" t="s">
        <v>192</v>
      </c>
      <c r="D454" s="183" t="s">
        <v>3069</v>
      </c>
      <c r="E454" s="40">
        <f>18455625376</f>
        <v>18455625376</v>
      </c>
      <c r="F454" s="186" t="s">
        <v>3070</v>
      </c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186" t="s">
        <v>2993</v>
      </c>
      <c r="B455" s="186" t="s">
        <v>3071</v>
      </c>
      <c r="C455" s="181" t="s">
        <v>93</v>
      </c>
      <c r="D455" s="183" t="s">
        <v>3074</v>
      </c>
      <c r="E455" s="40"/>
      <c r="F455" s="186" t="s">
        <v>3079</v>
      </c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186"/>
      <c r="B456" s="186"/>
      <c r="C456" s="181"/>
      <c r="D456" s="186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186" t="s">
        <v>625</v>
      </c>
      <c r="B457" s="186" t="s">
        <v>3085</v>
      </c>
      <c r="C457" s="181" t="s">
        <v>253</v>
      </c>
      <c r="D457" s="183" t="s">
        <v>3086</v>
      </c>
      <c r="E457" s="40"/>
      <c r="F457" s="186" t="s">
        <v>3088</v>
      </c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186"/>
      <c r="B458" s="186"/>
      <c r="C458" s="181"/>
      <c r="D458" s="186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186" t="s">
        <v>3093</v>
      </c>
      <c r="B459" s="186" t="s">
        <v>3094</v>
      </c>
      <c r="C459" s="181" t="s">
        <v>253</v>
      </c>
      <c r="D459" s="183" t="s">
        <v>3095</v>
      </c>
      <c r="E459" s="40">
        <f>919886302739</f>
        <v>919886302739</v>
      </c>
      <c r="F459" s="186" t="s">
        <v>3100</v>
      </c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186"/>
      <c r="B460" s="186"/>
      <c r="C460" s="181"/>
      <c r="D460" s="186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186" t="s">
        <v>3108</v>
      </c>
      <c r="B461" s="186" t="s">
        <v>3109</v>
      </c>
      <c r="C461" s="181" t="s">
        <v>237</v>
      </c>
      <c r="D461" s="183" t="s">
        <v>3110</v>
      </c>
      <c r="E461" s="40">
        <f>17022219986</f>
        <v>17022219986</v>
      </c>
      <c r="F461" s="186" t="s">
        <v>3115</v>
      </c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186"/>
      <c r="B462" s="186"/>
      <c r="C462" s="181"/>
      <c r="D462" s="186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186" t="s">
        <v>3120</v>
      </c>
      <c r="B463" s="186" t="s">
        <v>3121</v>
      </c>
      <c r="C463" s="181" t="s">
        <v>30</v>
      </c>
      <c r="D463" s="183" t="s">
        <v>3122</v>
      </c>
      <c r="E463" s="40"/>
      <c r="F463" s="186" t="s">
        <v>3127</v>
      </c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186"/>
      <c r="B464" s="186"/>
      <c r="C464" s="181"/>
      <c r="D464" s="186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186" t="s">
        <v>3135</v>
      </c>
      <c r="B465" s="186" t="s">
        <v>3136</v>
      </c>
      <c r="C465" s="181" t="s">
        <v>192</v>
      </c>
      <c r="D465" s="183" t="s">
        <v>3137</v>
      </c>
      <c r="E465" s="40">
        <f>919819852790</f>
        <v>919819852790</v>
      </c>
      <c r="F465" s="186" t="s">
        <v>3140</v>
      </c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186"/>
      <c r="B466" s="186"/>
      <c r="C466" s="181"/>
      <c r="D466" s="186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186" t="s">
        <v>569</v>
      </c>
      <c r="B467" s="186" t="s">
        <v>3148</v>
      </c>
      <c r="C467" s="181" t="s">
        <v>192</v>
      </c>
      <c r="D467" s="183" t="s">
        <v>3149</v>
      </c>
      <c r="E467" s="40">
        <f>918509679865</f>
        <v>918509679865</v>
      </c>
      <c r="F467" s="186" t="s">
        <v>3160</v>
      </c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186"/>
      <c r="B468" s="186"/>
      <c r="C468" s="181"/>
      <c r="D468" s="186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186" t="s">
        <v>3173</v>
      </c>
      <c r="B469" s="186" t="s">
        <v>3174</v>
      </c>
      <c r="C469" s="181" t="s">
        <v>192</v>
      </c>
      <c r="D469" s="183" t="s">
        <v>3177</v>
      </c>
      <c r="E469" s="40">
        <f>919873550237</f>
        <v>919873550237</v>
      </c>
      <c r="F469" s="186" t="s">
        <v>3183</v>
      </c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186"/>
      <c r="B470" s="186"/>
      <c r="C470" s="181"/>
      <c r="D470" s="186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186" t="s">
        <v>3195</v>
      </c>
      <c r="B471" s="186" t="s">
        <v>3196</v>
      </c>
      <c r="C471" s="181" t="s">
        <v>192</v>
      </c>
      <c r="D471" s="183" t="s">
        <v>3197</v>
      </c>
      <c r="E471" s="40"/>
      <c r="F471" s="186" t="s">
        <v>3202</v>
      </c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186"/>
      <c r="B472" s="186"/>
      <c r="C472" s="181"/>
      <c r="D472" s="186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186" t="s">
        <v>3211</v>
      </c>
      <c r="B473" s="186" t="s">
        <v>3212</v>
      </c>
      <c r="C473" s="181" t="s">
        <v>93</v>
      </c>
      <c r="D473" s="183" t="s">
        <v>3213</v>
      </c>
      <c r="E473" s="40"/>
      <c r="F473" s="186" t="s">
        <v>3215</v>
      </c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186"/>
      <c r="B474" s="186"/>
      <c r="C474" s="181"/>
      <c r="D474" s="186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186" t="s">
        <v>3224</v>
      </c>
      <c r="B475" s="186" t="s">
        <v>3226</v>
      </c>
      <c r="C475" s="181" t="s">
        <v>192</v>
      </c>
      <c r="D475" s="183" t="s">
        <v>3228</v>
      </c>
      <c r="E475" s="40">
        <f>918692074159</f>
        <v>918692074159</v>
      </c>
      <c r="F475" s="186" t="s">
        <v>3231</v>
      </c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186"/>
      <c r="B476" s="186"/>
      <c r="C476" s="181"/>
      <c r="D476" s="186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186" t="s">
        <v>3239</v>
      </c>
      <c r="B477" s="186" t="s">
        <v>3240</v>
      </c>
      <c r="C477" s="181" t="s">
        <v>253</v>
      </c>
      <c r="D477" s="183" t="s">
        <v>3241</v>
      </c>
      <c r="E477" s="40">
        <f>919664175952</f>
        <v>919664175952</v>
      </c>
      <c r="F477" s="186" t="s">
        <v>3242</v>
      </c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186"/>
      <c r="B478" s="186"/>
      <c r="C478" s="181"/>
      <c r="D478" s="186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186" t="s">
        <v>3243</v>
      </c>
      <c r="B479" s="186" t="s">
        <v>3244</v>
      </c>
      <c r="C479" s="181" t="s">
        <v>253</v>
      </c>
      <c r="D479" s="183" t="s">
        <v>3245</v>
      </c>
      <c r="E479" s="40"/>
      <c r="F479" s="186" t="s">
        <v>3246</v>
      </c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186"/>
      <c r="B480" s="186"/>
      <c r="C480" s="181"/>
      <c r="D480" s="186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186" t="s">
        <v>3247</v>
      </c>
      <c r="B481" s="186" t="s">
        <v>3248</v>
      </c>
      <c r="C481" s="181" t="s">
        <v>237</v>
      </c>
      <c r="D481" s="183" t="s">
        <v>3249</v>
      </c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186"/>
      <c r="B482" s="186"/>
      <c r="C482" s="181"/>
      <c r="D482" s="186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186" t="s">
        <v>3250</v>
      </c>
      <c r="B483" s="186" t="s">
        <v>1799</v>
      </c>
      <c r="C483" s="181" t="s">
        <v>30</v>
      </c>
      <c r="D483" s="183" t="s">
        <v>3251</v>
      </c>
      <c r="E483" s="40">
        <v>9.11412620451E11</v>
      </c>
      <c r="F483" s="186" t="s">
        <v>3006</v>
      </c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186"/>
      <c r="B484" s="186"/>
      <c r="C484" s="181"/>
      <c r="D484" s="186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186" t="s">
        <v>2986</v>
      </c>
      <c r="B485" s="186" t="s">
        <v>3252</v>
      </c>
      <c r="C485" s="181" t="s">
        <v>253</v>
      </c>
      <c r="D485" s="183" t="s">
        <v>3253</v>
      </c>
      <c r="E485" s="40"/>
      <c r="F485" s="186" t="s">
        <v>3254</v>
      </c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186"/>
      <c r="B486" s="186"/>
      <c r="C486" s="181"/>
      <c r="D486" s="186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186" t="s">
        <v>3255</v>
      </c>
      <c r="B487" s="186" t="s">
        <v>3256</v>
      </c>
      <c r="C487" s="181" t="s">
        <v>192</v>
      </c>
      <c r="D487" s="183" t="s">
        <v>3257</v>
      </c>
      <c r="E487" s="186">
        <v>9.19870227704E11</v>
      </c>
      <c r="F487" s="186" t="s">
        <v>3258</v>
      </c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186"/>
      <c r="B488" s="186"/>
      <c r="C488" s="181"/>
      <c r="D488" s="186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186" t="s">
        <v>2884</v>
      </c>
      <c r="B489" s="186" t="s">
        <v>3259</v>
      </c>
      <c r="C489" s="181" t="s">
        <v>192</v>
      </c>
      <c r="D489" s="183" t="s">
        <v>3260</v>
      </c>
      <c r="E489" s="186">
        <v>8.971746048E9</v>
      </c>
      <c r="F489" s="186" t="s">
        <v>3261</v>
      </c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186"/>
      <c r="B490" s="186"/>
      <c r="C490" s="181"/>
      <c r="D490" s="186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186" t="s">
        <v>3262</v>
      </c>
      <c r="B491" s="186" t="s">
        <v>3263</v>
      </c>
      <c r="C491" s="181" t="s">
        <v>237</v>
      </c>
      <c r="D491" s="183" t="s">
        <v>3264</v>
      </c>
      <c r="E491" s="40">
        <f>919910098826</f>
        <v>919910098826</v>
      </c>
      <c r="F491" s="186" t="s">
        <v>3265</v>
      </c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186"/>
      <c r="B492" s="186"/>
      <c r="C492" s="181"/>
      <c r="D492" s="186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186" t="s">
        <v>2896</v>
      </c>
      <c r="B493" s="186" t="s">
        <v>3266</v>
      </c>
      <c r="C493" s="181" t="s">
        <v>192</v>
      </c>
      <c r="D493" s="183" t="s">
        <v>3267</v>
      </c>
      <c r="E493" s="40">
        <f>919980527224</f>
        <v>919980527224</v>
      </c>
      <c r="F493" s="186" t="s">
        <v>3268</v>
      </c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186"/>
      <c r="B494" s="186"/>
      <c r="C494" s="181"/>
      <c r="D494" s="186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183" t="s">
        <v>3269</v>
      </c>
      <c r="B495" s="186" t="s">
        <v>3270</v>
      </c>
      <c r="C495" s="181" t="s">
        <v>192</v>
      </c>
      <c r="D495" s="183" t="s">
        <v>3271</v>
      </c>
      <c r="E495" s="40">
        <f>917022833357</f>
        <v>917022833357</v>
      </c>
      <c r="F495" s="186" t="s">
        <v>3272</v>
      </c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186"/>
      <c r="B496" s="186"/>
      <c r="C496" s="181"/>
      <c r="D496" s="186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186" t="s">
        <v>3273</v>
      </c>
      <c r="B497" s="186" t="s">
        <v>3274</v>
      </c>
      <c r="C497" s="181" t="s">
        <v>3275</v>
      </c>
      <c r="D497" s="183" t="s">
        <v>3276</v>
      </c>
      <c r="E497" s="40">
        <f>919890623785</f>
        <v>919890623785</v>
      </c>
      <c r="F497" s="186" t="s">
        <v>3277</v>
      </c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186"/>
      <c r="B498" s="186"/>
      <c r="C498" s="181"/>
      <c r="D498" s="186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186" t="s">
        <v>3278</v>
      </c>
      <c r="B499" s="186" t="s">
        <v>3279</v>
      </c>
      <c r="C499" s="181" t="s">
        <v>93</v>
      </c>
      <c r="D499" s="183" t="s">
        <v>3280</v>
      </c>
      <c r="E499" s="40">
        <f>919870405893</f>
        <v>919870405893</v>
      </c>
      <c r="F499" s="186" t="s">
        <v>3281</v>
      </c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186"/>
      <c r="B500" s="186"/>
      <c r="C500" s="181"/>
      <c r="D500" s="186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186" t="s">
        <v>3282</v>
      </c>
      <c r="B501" s="186" t="s">
        <v>3283</v>
      </c>
      <c r="C501" s="181" t="s">
        <v>147</v>
      </c>
      <c r="D501" s="186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186" t="s">
        <v>3282</v>
      </c>
      <c r="B502" s="186" t="s">
        <v>3284</v>
      </c>
      <c r="C502" s="181" t="s">
        <v>93</v>
      </c>
      <c r="D502" s="183" t="s">
        <v>3285</v>
      </c>
      <c r="E502" s="40">
        <f>19087634921</f>
        <v>19087634921</v>
      </c>
      <c r="F502" s="186" t="s">
        <v>3286</v>
      </c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186"/>
      <c r="B503" s="186"/>
      <c r="C503" s="181"/>
      <c r="D503" s="186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186" t="s">
        <v>3287</v>
      </c>
      <c r="B504" s="186" t="s">
        <v>3288</v>
      </c>
      <c r="C504" s="181" t="s">
        <v>253</v>
      </c>
      <c r="D504" s="183" t="s">
        <v>3289</v>
      </c>
      <c r="E504" s="40"/>
      <c r="F504" s="186" t="s">
        <v>3290</v>
      </c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186"/>
      <c r="B505" s="186"/>
      <c r="C505" s="181"/>
      <c r="D505" s="186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186" t="s">
        <v>3291</v>
      </c>
      <c r="B506" s="186" t="s">
        <v>3292</v>
      </c>
      <c r="C506" s="181" t="s">
        <v>192</v>
      </c>
      <c r="D506" s="183" t="s">
        <v>3293</v>
      </c>
      <c r="E506" s="40">
        <f>918655363939</f>
        <v>918655363939</v>
      </c>
      <c r="F506" s="186" t="s">
        <v>3294</v>
      </c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186"/>
      <c r="B507" s="186"/>
      <c r="C507" s="181"/>
      <c r="D507" s="186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186" t="s">
        <v>3295</v>
      </c>
      <c r="B508" s="186" t="s">
        <v>3296</v>
      </c>
      <c r="C508" s="181" t="s">
        <v>3297</v>
      </c>
      <c r="D508" s="183" t="s">
        <v>3298</v>
      </c>
      <c r="E508" s="40">
        <f>19175170674</f>
        <v>19175170674</v>
      </c>
      <c r="F508" s="186" t="s">
        <v>3299</v>
      </c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186"/>
      <c r="B509" s="186"/>
      <c r="C509" s="181"/>
      <c r="D509" s="186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186" t="s">
        <v>2957</v>
      </c>
      <c r="B510" s="186" t="s">
        <v>3300</v>
      </c>
      <c r="C510" s="181" t="s">
        <v>253</v>
      </c>
      <c r="D510" s="183" t="s">
        <v>3301</v>
      </c>
      <c r="E510" s="40">
        <f>919909906384</f>
        <v>919909906384</v>
      </c>
      <c r="F510" s="186" t="s">
        <v>3302</v>
      </c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186"/>
      <c r="B511" s="186"/>
      <c r="C511" s="181"/>
      <c r="D511" s="186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186" t="s">
        <v>3303</v>
      </c>
      <c r="B512" s="186" t="s">
        <v>3304</v>
      </c>
      <c r="C512" s="181" t="s">
        <v>3305</v>
      </c>
      <c r="D512" s="183" t="s">
        <v>3306</v>
      </c>
      <c r="E512" s="40"/>
      <c r="F512" s="186" t="s">
        <v>3307</v>
      </c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186"/>
      <c r="B513" s="186"/>
      <c r="C513" s="181"/>
      <c r="D513" s="186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186" t="s">
        <v>3308</v>
      </c>
      <c r="B514" s="186" t="s">
        <v>3309</v>
      </c>
      <c r="C514" s="181" t="s">
        <v>192</v>
      </c>
      <c r="D514" s="183" t="s">
        <v>3310</v>
      </c>
      <c r="E514" s="40">
        <f>919811873822</f>
        <v>919811873822</v>
      </c>
      <c r="F514" s="186" t="s">
        <v>3311</v>
      </c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186"/>
      <c r="B515" s="186"/>
      <c r="C515" s="181"/>
      <c r="D515" s="186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186" t="s">
        <v>3312</v>
      </c>
      <c r="B516" s="186" t="s">
        <v>3313</v>
      </c>
      <c r="C516" s="181" t="s">
        <v>2432</v>
      </c>
      <c r="D516" s="183" t="s">
        <v>3314</v>
      </c>
      <c r="E516" s="40"/>
      <c r="F516" s="186" t="s">
        <v>3315</v>
      </c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186"/>
      <c r="B517" s="186"/>
      <c r="C517" s="181"/>
      <c r="D517" s="186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186" t="s">
        <v>3316</v>
      </c>
      <c r="B518" s="186" t="s">
        <v>3317</v>
      </c>
      <c r="C518" s="181" t="s">
        <v>1286</v>
      </c>
      <c r="D518" s="183" t="s">
        <v>3318</v>
      </c>
      <c r="E518" s="40">
        <f>919632288775</f>
        <v>919632288775</v>
      </c>
      <c r="F518" s="186" t="s">
        <v>3319</v>
      </c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186"/>
      <c r="B519" s="186"/>
      <c r="C519" s="181"/>
      <c r="D519" s="186"/>
      <c r="E519" s="40"/>
      <c r="F519" s="186" t="s">
        <v>3320</v>
      </c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186" t="s">
        <v>3321</v>
      </c>
      <c r="B520" s="186" t="s">
        <v>3322</v>
      </c>
      <c r="C520" s="181" t="s">
        <v>2432</v>
      </c>
      <c r="D520" s="183" t="s">
        <v>3323</v>
      </c>
      <c r="E520" s="40"/>
      <c r="F520" s="186" t="s">
        <v>3324</v>
      </c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17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225" t="s">
        <v>3325</v>
      </c>
      <c r="B522" s="225" t="s">
        <v>92</v>
      </c>
      <c r="C522" s="265" t="s">
        <v>93</v>
      </c>
      <c r="D522" s="266" t="s">
        <v>3326</v>
      </c>
      <c r="F522" s="102" t="s">
        <v>3327</v>
      </c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>
      <c r="A523" s="225" t="s">
        <v>3328</v>
      </c>
      <c r="B523" s="225" t="s">
        <v>3329</v>
      </c>
      <c r="C523" s="265" t="s">
        <v>93</v>
      </c>
      <c r="D523" s="266" t="s">
        <v>3330</v>
      </c>
      <c r="F523" s="102" t="s">
        <v>3331</v>
      </c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>
      <c r="A524" s="225" t="s">
        <v>3332</v>
      </c>
      <c r="B524" s="225" t="s">
        <v>3333</v>
      </c>
      <c r="C524" s="265" t="s">
        <v>1286</v>
      </c>
      <c r="D524" s="266" t="s">
        <v>3334</v>
      </c>
      <c r="F524" s="102" t="s">
        <v>3335</v>
      </c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>
      <c r="A525" s="225" t="s">
        <v>3336</v>
      </c>
      <c r="B525" s="225" t="s">
        <v>3337</v>
      </c>
      <c r="C525" s="265" t="s">
        <v>192</v>
      </c>
      <c r="D525" s="266" t="s">
        <v>3338</v>
      </c>
      <c r="F525" s="102" t="s">
        <v>3339</v>
      </c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>
      <c r="A526" s="225" t="s">
        <v>3340</v>
      </c>
      <c r="B526" s="225" t="s">
        <v>3341</v>
      </c>
      <c r="C526" s="265" t="s">
        <v>253</v>
      </c>
      <c r="D526" s="266" t="s">
        <v>3342</v>
      </c>
      <c r="F526" s="102" t="s">
        <v>3339</v>
      </c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>
      <c r="A527" s="225" t="s">
        <v>3343</v>
      </c>
      <c r="B527" s="225" t="s">
        <v>3344</v>
      </c>
      <c r="C527" s="265" t="s">
        <v>192</v>
      </c>
      <c r="D527" s="266" t="s">
        <v>3345</v>
      </c>
      <c r="F527" s="102" t="s">
        <v>3346</v>
      </c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>
      <c r="A528" s="225" t="s">
        <v>3347</v>
      </c>
      <c r="B528" s="225" t="s">
        <v>3348</v>
      </c>
      <c r="C528" s="265" t="s">
        <v>147</v>
      </c>
      <c r="D528" s="266" t="s">
        <v>3349</v>
      </c>
      <c r="F528" s="102" t="s">
        <v>3350</v>
      </c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>
      <c r="A529" s="225" t="s">
        <v>3351</v>
      </c>
      <c r="B529" s="225" t="s">
        <v>3352</v>
      </c>
      <c r="C529" s="265" t="s">
        <v>192</v>
      </c>
      <c r="D529" s="266" t="s">
        <v>3353</v>
      </c>
      <c r="F529" s="102" t="s">
        <v>3354</v>
      </c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>
      <c r="A530" s="266" t="s">
        <v>3355</v>
      </c>
      <c r="B530" s="225" t="s">
        <v>3356</v>
      </c>
      <c r="C530" s="265" t="s">
        <v>192</v>
      </c>
      <c r="D530" s="266" t="s">
        <v>3357</v>
      </c>
      <c r="F530" s="102" t="s">
        <v>3354</v>
      </c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>
      <c r="A531" s="225" t="s">
        <v>3358</v>
      </c>
      <c r="B531" s="225" t="s">
        <v>3359</v>
      </c>
      <c r="C531" s="265" t="s">
        <v>192</v>
      </c>
      <c r="D531" s="266" t="s">
        <v>3360</v>
      </c>
      <c r="F531" s="102" t="s">
        <v>3361</v>
      </c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>
      <c r="A532" s="225" t="s">
        <v>3362</v>
      </c>
      <c r="B532" s="225" t="s">
        <v>3363</v>
      </c>
      <c r="C532" s="265" t="s">
        <v>1286</v>
      </c>
      <c r="D532" s="266" t="s">
        <v>3364</v>
      </c>
      <c r="F532" s="102" t="s">
        <v>3365</v>
      </c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>
      <c r="A533" s="225" t="s">
        <v>3366</v>
      </c>
      <c r="B533" s="225" t="s">
        <v>3367</v>
      </c>
      <c r="C533" s="265" t="s">
        <v>192</v>
      </c>
      <c r="D533" s="266" t="s">
        <v>3368</v>
      </c>
      <c r="F533" s="102" t="s">
        <v>3369</v>
      </c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>
      <c r="A534" s="225" t="s">
        <v>3370</v>
      </c>
      <c r="B534" s="225" t="s">
        <v>3371</v>
      </c>
      <c r="C534" s="265" t="s">
        <v>3372</v>
      </c>
      <c r="D534" s="266" t="s">
        <v>3373</v>
      </c>
      <c r="F534" s="102" t="s">
        <v>3374</v>
      </c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>
      <c r="A535" s="225" t="s">
        <v>3375</v>
      </c>
      <c r="B535" s="225" t="s">
        <v>3376</v>
      </c>
      <c r="C535" s="265" t="s">
        <v>1417</v>
      </c>
      <c r="D535" s="266" t="s">
        <v>3377</v>
      </c>
      <c r="F535" s="102" t="s">
        <v>3378</v>
      </c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>
      <c r="A536" s="225" t="s">
        <v>3379</v>
      </c>
      <c r="B536" s="225" t="s">
        <v>3380</v>
      </c>
      <c r="C536" s="265" t="s">
        <v>192</v>
      </c>
      <c r="D536" s="266" t="s">
        <v>3381</v>
      </c>
      <c r="F536" s="102" t="s">
        <v>3382</v>
      </c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>
      <c r="A537" s="225" t="s">
        <v>3383</v>
      </c>
      <c r="B537" s="225" t="s">
        <v>3384</v>
      </c>
      <c r="C537" s="265" t="s">
        <v>253</v>
      </c>
      <c r="D537" s="266" t="s">
        <v>3385</v>
      </c>
      <c r="F537" s="102" t="s">
        <v>3386</v>
      </c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>
      <c r="A538" s="225" t="s">
        <v>3387</v>
      </c>
      <c r="B538" s="225" t="s">
        <v>3388</v>
      </c>
      <c r="C538" s="265" t="s">
        <v>1032</v>
      </c>
      <c r="D538" s="266" t="s">
        <v>3389</v>
      </c>
      <c r="F538" s="102" t="s">
        <v>3390</v>
      </c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>
      <c r="A539" s="225" t="s">
        <v>3391</v>
      </c>
      <c r="B539" s="225" t="s">
        <v>3392</v>
      </c>
      <c r="C539" s="265" t="s">
        <v>237</v>
      </c>
      <c r="D539" s="266" t="s">
        <v>3393</v>
      </c>
      <c r="F539" s="102" t="s">
        <v>3394</v>
      </c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>
      <c r="A540" s="225" t="s">
        <v>3395</v>
      </c>
      <c r="B540" s="225" t="s">
        <v>3396</v>
      </c>
      <c r="C540" s="265" t="s">
        <v>192</v>
      </c>
      <c r="D540" s="266" t="s">
        <v>3397</v>
      </c>
      <c r="F540" s="102" t="s">
        <v>3399</v>
      </c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>
      <c r="A541" s="225" t="s">
        <v>3400</v>
      </c>
      <c r="B541" s="225" t="s">
        <v>3401</v>
      </c>
      <c r="C541" s="265" t="s">
        <v>192</v>
      </c>
      <c r="D541" s="266" t="s">
        <v>3402</v>
      </c>
      <c r="F541" s="102" t="s">
        <v>3403</v>
      </c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>
      <c r="A542" s="225" t="s">
        <v>3407</v>
      </c>
      <c r="B542" s="225" t="s">
        <v>3408</v>
      </c>
      <c r="C542" s="265" t="s">
        <v>3409</v>
      </c>
      <c r="D542" s="266" t="s">
        <v>3410</v>
      </c>
      <c r="F542" s="102" t="s">
        <v>3411</v>
      </c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>
      <c r="A543" s="225" t="s">
        <v>3415</v>
      </c>
      <c r="B543" s="225" t="s">
        <v>3416</v>
      </c>
      <c r="C543" s="265" t="s">
        <v>253</v>
      </c>
      <c r="D543" s="266" t="s">
        <v>3417</v>
      </c>
      <c r="F543" s="102" t="s">
        <v>3418</v>
      </c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>
      <c r="A544" s="225" t="s">
        <v>3420</v>
      </c>
      <c r="B544" s="225" t="s">
        <v>3421</v>
      </c>
      <c r="C544" s="265" t="s">
        <v>192</v>
      </c>
      <c r="D544" s="266" t="s">
        <v>3423</v>
      </c>
      <c r="F544" s="102" t="s">
        <v>3424</v>
      </c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>
      <c r="A545" s="225" t="s">
        <v>3429</v>
      </c>
      <c r="B545" s="225" t="s">
        <v>3430</v>
      </c>
      <c r="C545" s="265" t="s">
        <v>147</v>
      </c>
      <c r="D545" s="266" t="s">
        <v>3432</v>
      </c>
      <c r="F545" s="102" t="s">
        <v>3433</v>
      </c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>
      <c r="A546" s="225" t="s">
        <v>3436</v>
      </c>
      <c r="B546" s="225" t="s">
        <v>3437</v>
      </c>
      <c r="C546" s="265" t="s">
        <v>93</v>
      </c>
      <c r="D546" s="266" t="s">
        <v>3438</v>
      </c>
      <c r="F546" s="102" t="s">
        <v>3442</v>
      </c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>
      <c r="A547" s="225" t="s">
        <v>3445</v>
      </c>
      <c r="B547" s="225" t="s">
        <v>3447</v>
      </c>
      <c r="C547" s="265" t="s">
        <v>3218</v>
      </c>
      <c r="D547" s="266" t="s">
        <v>3449</v>
      </c>
      <c r="F547" s="102" t="s">
        <v>3450</v>
      </c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>
      <c r="A548" s="225" t="s">
        <v>3451</v>
      </c>
      <c r="B548" s="225" t="s">
        <v>3452</v>
      </c>
      <c r="C548" s="265" t="s">
        <v>253</v>
      </c>
      <c r="D548" s="266" t="s">
        <v>3453</v>
      </c>
      <c r="F548" s="102" t="s">
        <v>3454</v>
      </c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>
      <c r="A549" s="225" t="s">
        <v>3457</v>
      </c>
      <c r="B549" s="225" t="s">
        <v>3458</v>
      </c>
      <c r="C549" s="265" t="s">
        <v>3459</v>
      </c>
      <c r="D549" s="266" t="s">
        <v>3460</v>
      </c>
      <c r="F549" s="102" t="s">
        <v>3462</v>
      </c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>
      <c r="A550" s="225" t="s">
        <v>3464</v>
      </c>
      <c r="B550" s="225" t="s">
        <v>3465</v>
      </c>
      <c r="C550" s="265" t="s">
        <v>147</v>
      </c>
      <c r="D550" s="266" t="s">
        <v>3466</v>
      </c>
      <c r="F550" s="102" t="s">
        <v>3470</v>
      </c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>
      <c r="A551" s="225" t="s">
        <v>3473</v>
      </c>
      <c r="B551" s="225" t="s">
        <v>3475</v>
      </c>
      <c r="C551" s="265" t="s">
        <v>253</v>
      </c>
      <c r="D551" s="266" t="s">
        <v>3476</v>
      </c>
      <c r="F551" s="102" t="s">
        <v>3477</v>
      </c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>
      <c r="A552" s="225" t="s">
        <v>3479</v>
      </c>
      <c r="B552" s="225" t="s">
        <v>3480</v>
      </c>
      <c r="C552" s="265" t="s">
        <v>192</v>
      </c>
      <c r="D552" s="266" t="s">
        <v>3481</v>
      </c>
      <c r="F552" s="102" t="s">
        <v>3482</v>
      </c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>
      <c r="A553" s="186" t="s">
        <v>3484</v>
      </c>
      <c r="B553" s="186" t="s">
        <v>3485</v>
      </c>
      <c r="C553" s="181" t="s">
        <v>192</v>
      </c>
      <c r="D553" s="183" t="s">
        <v>3486</v>
      </c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186" t="s">
        <v>3489</v>
      </c>
      <c r="B554" s="186" t="s">
        <v>3490</v>
      </c>
      <c r="C554" s="181" t="s">
        <v>3209</v>
      </c>
      <c r="D554" s="183" t="s">
        <v>3491</v>
      </c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186" t="s">
        <v>3493</v>
      </c>
      <c r="B555" s="186" t="s">
        <v>3494</v>
      </c>
      <c r="C555" s="181" t="s">
        <v>192</v>
      </c>
      <c r="D555" s="183" t="s">
        <v>3496</v>
      </c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186" t="s">
        <v>3501</v>
      </c>
      <c r="B556" s="186" t="s">
        <v>3502</v>
      </c>
      <c r="C556" s="181" t="s">
        <v>3503</v>
      </c>
      <c r="D556" s="183" t="s">
        <v>3504</v>
      </c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186" t="s">
        <v>3505</v>
      </c>
      <c r="B557" s="186" t="s">
        <v>3506</v>
      </c>
      <c r="C557" s="181" t="s">
        <v>253</v>
      </c>
      <c r="D557" s="183" t="s">
        <v>3507</v>
      </c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186" t="s">
        <v>3510</v>
      </c>
      <c r="B558" s="186" t="s">
        <v>3511</v>
      </c>
      <c r="C558" s="181" t="s">
        <v>147</v>
      </c>
      <c r="D558" s="183" t="s">
        <v>3513</v>
      </c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186" t="s">
        <v>3515</v>
      </c>
      <c r="B559" s="186" t="s">
        <v>3516</v>
      </c>
      <c r="C559" s="181" t="s">
        <v>237</v>
      </c>
      <c r="D559" s="183" t="s">
        <v>3517</v>
      </c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186" t="s">
        <v>3518</v>
      </c>
      <c r="B560" s="186" t="s">
        <v>3519</v>
      </c>
      <c r="C560" s="181" t="s">
        <v>192</v>
      </c>
      <c r="D560" s="183" t="s">
        <v>3520</v>
      </c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186" t="s">
        <v>3521</v>
      </c>
      <c r="B561" s="186" t="s">
        <v>3522</v>
      </c>
      <c r="C561" s="181" t="s">
        <v>192</v>
      </c>
      <c r="D561" s="183" t="s">
        <v>3523</v>
      </c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186" t="s">
        <v>3524</v>
      </c>
      <c r="B562" s="186" t="s">
        <v>3525</v>
      </c>
      <c r="C562" s="181" t="s">
        <v>253</v>
      </c>
      <c r="D562" s="183" t="s">
        <v>3526</v>
      </c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186" t="s">
        <v>3527</v>
      </c>
      <c r="B563" s="186" t="s">
        <v>3528</v>
      </c>
      <c r="C563" s="181" t="s">
        <v>147</v>
      </c>
      <c r="D563" s="183" t="s">
        <v>3529</v>
      </c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186" t="s">
        <v>3530</v>
      </c>
      <c r="B564" s="186" t="s">
        <v>3531</v>
      </c>
      <c r="C564" s="181" t="s">
        <v>253</v>
      </c>
      <c r="D564" s="183" t="s">
        <v>3532</v>
      </c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186" t="s">
        <v>2846</v>
      </c>
      <c r="B565" s="186" t="s">
        <v>1133</v>
      </c>
      <c r="C565" s="181" t="s">
        <v>192</v>
      </c>
      <c r="D565" s="183" t="s">
        <v>3536</v>
      </c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186" t="s">
        <v>3538</v>
      </c>
      <c r="B566" s="186" t="s">
        <v>3539</v>
      </c>
      <c r="C566" s="181" t="s">
        <v>192</v>
      </c>
      <c r="D566" s="183" t="s">
        <v>3540</v>
      </c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186" t="s">
        <v>3542</v>
      </c>
      <c r="B567" s="186" t="s">
        <v>3544</v>
      </c>
      <c r="C567" s="181" t="s">
        <v>3545</v>
      </c>
      <c r="D567" s="183" t="s">
        <v>3546</v>
      </c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186" t="s">
        <v>3548</v>
      </c>
      <c r="B568" s="186" t="s">
        <v>3549</v>
      </c>
      <c r="C568" s="181" t="s">
        <v>192</v>
      </c>
      <c r="D568" s="183" t="s">
        <v>3550</v>
      </c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186" t="s">
        <v>3553</v>
      </c>
      <c r="B569" s="186" t="s">
        <v>3554</v>
      </c>
      <c r="C569" s="181" t="s">
        <v>147</v>
      </c>
      <c r="D569" s="183" t="s">
        <v>3555</v>
      </c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186" t="s">
        <v>3556</v>
      </c>
      <c r="B570" s="186" t="s">
        <v>3557</v>
      </c>
      <c r="C570" s="181" t="s">
        <v>3558</v>
      </c>
      <c r="D570" s="186" t="s">
        <v>3559</v>
      </c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186" t="s">
        <v>3560</v>
      </c>
      <c r="B571" s="186" t="s">
        <v>3561</v>
      </c>
      <c r="C571" s="181" t="s">
        <v>253</v>
      </c>
      <c r="D571" s="183" t="s">
        <v>3562</v>
      </c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186" t="s">
        <v>3565</v>
      </c>
      <c r="B572" s="186" t="s">
        <v>3566</v>
      </c>
      <c r="C572" s="181" t="s">
        <v>93</v>
      </c>
      <c r="D572" s="183" t="s">
        <v>3567</v>
      </c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186" t="s">
        <v>3570</v>
      </c>
      <c r="B573" s="186" t="s">
        <v>3571</v>
      </c>
      <c r="C573" s="181" t="s">
        <v>192</v>
      </c>
      <c r="D573" s="183" t="s">
        <v>3573</v>
      </c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186" t="s">
        <v>259</v>
      </c>
      <c r="B574" s="186" t="s">
        <v>3576</v>
      </c>
      <c r="C574" s="181" t="s">
        <v>253</v>
      </c>
      <c r="D574" s="183" t="s">
        <v>3577</v>
      </c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186" t="s">
        <v>3578</v>
      </c>
      <c r="B575" s="186" t="s">
        <v>3579</v>
      </c>
      <c r="C575" s="181" t="s">
        <v>1417</v>
      </c>
      <c r="D575" s="183" t="s">
        <v>3580</v>
      </c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186" t="s">
        <v>3581</v>
      </c>
      <c r="B576" s="186" t="s">
        <v>3582</v>
      </c>
      <c r="C576" s="181" t="s">
        <v>253</v>
      </c>
      <c r="D576" s="183" t="s">
        <v>3583</v>
      </c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186" t="s">
        <v>3587</v>
      </c>
      <c r="B577" s="186" t="s">
        <v>3588</v>
      </c>
      <c r="C577" s="181" t="s">
        <v>1032</v>
      </c>
      <c r="D577" s="183" t="s">
        <v>3589</v>
      </c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186" t="s">
        <v>3592</v>
      </c>
      <c r="B578" s="186" t="s">
        <v>3593</v>
      </c>
      <c r="C578" s="181" t="s">
        <v>192</v>
      </c>
      <c r="D578" s="183" t="s">
        <v>3594</v>
      </c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186" t="s">
        <v>3596</v>
      </c>
      <c r="B579" s="186" t="s">
        <v>3597</v>
      </c>
      <c r="C579" s="181" t="s">
        <v>192</v>
      </c>
      <c r="D579" s="183" t="s">
        <v>3598</v>
      </c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186" t="s">
        <v>3603</v>
      </c>
      <c r="B580" s="186" t="s">
        <v>3604</v>
      </c>
      <c r="C580" s="181" t="s">
        <v>147</v>
      </c>
      <c r="D580" s="183" t="s">
        <v>3605</v>
      </c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186" t="s">
        <v>3616</v>
      </c>
      <c r="B581" s="186" t="s">
        <v>3617</v>
      </c>
      <c r="C581" s="181" t="s">
        <v>192</v>
      </c>
      <c r="D581" s="183" t="s">
        <v>3618</v>
      </c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186" t="s">
        <v>3621</v>
      </c>
      <c r="B582" s="186" t="s">
        <v>3622</v>
      </c>
      <c r="C582" s="181" t="s">
        <v>253</v>
      </c>
      <c r="D582" s="183" t="s">
        <v>3623</v>
      </c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186" t="s">
        <v>3627</v>
      </c>
      <c r="B583" s="186" t="s">
        <v>3628</v>
      </c>
      <c r="C583" s="181" t="s">
        <v>253</v>
      </c>
      <c r="D583" s="183" t="s">
        <v>3629</v>
      </c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186" t="s">
        <v>3632</v>
      </c>
      <c r="B584" s="186" t="s">
        <v>3633</v>
      </c>
      <c r="C584" s="181" t="s">
        <v>192</v>
      </c>
      <c r="D584" s="183" t="s">
        <v>3634</v>
      </c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186" t="s">
        <v>3638</v>
      </c>
      <c r="B585" s="186" t="s">
        <v>3640</v>
      </c>
      <c r="C585" s="181" t="s">
        <v>253</v>
      </c>
      <c r="D585" s="183" t="s">
        <v>3641</v>
      </c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186" t="s">
        <v>3644</v>
      </c>
      <c r="B586" s="186" t="s">
        <v>3645</v>
      </c>
      <c r="C586" s="181" t="s">
        <v>1032</v>
      </c>
      <c r="D586" s="183" t="s">
        <v>3646</v>
      </c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186" t="s">
        <v>3647</v>
      </c>
      <c r="B587" s="186" t="s">
        <v>3648</v>
      </c>
      <c r="C587" s="181" t="s">
        <v>3649</v>
      </c>
      <c r="D587" s="183" t="s">
        <v>3650</v>
      </c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186" t="s">
        <v>3653</v>
      </c>
      <c r="B588" s="186" t="s">
        <v>3654</v>
      </c>
      <c r="C588" s="181" t="s">
        <v>192</v>
      </c>
      <c r="D588" s="183" t="s">
        <v>3655</v>
      </c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186" t="s">
        <v>3660</v>
      </c>
      <c r="B589" s="186" t="s">
        <v>3661</v>
      </c>
      <c r="C589" s="181" t="s">
        <v>1213</v>
      </c>
      <c r="D589" s="183" t="s">
        <v>3662</v>
      </c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183" t="s">
        <v>3666</v>
      </c>
      <c r="B590" s="186" t="s">
        <v>3669</v>
      </c>
      <c r="C590" s="181" t="s">
        <v>3670</v>
      </c>
      <c r="D590" s="183" t="s">
        <v>3671</v>
      </c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186" t="s">
        <v>3672</v>
      </c>
      <c r="B591" s="186" t="s">
        <v>3673</v>
      </c>
      <c r="C591" s="181" t="s">
        <v>192</v>
      </c>
      <c r="D591" s="183" t="s">
        <v>3674</v>
      </c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186" t="s">
        <v>3677</v>
      </c>
      <c r="B592" s="186" t="s">
        <v>3678</v>
      </c>
      <c r="C592" s="181" t="s">
        <v>2432</v>
      </c>
      <c r="D592" s="183" t="s">
        <v>3679</v>
      </c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186" t="s">
        <v>3682</v>
      </c>
      <c r="B593" s="186" t="s">
        <v>3683</v>
      </c>
      <c r="C593" s="181" t="s">
        <v>192</v>
      </c>
      <c r="D593" s="183" t="s">
        <v>3684</v>
      </c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186" t="s">
        <v>3689</v>
      </c>
      <c r="B594" s="186" t="s">
        <v>3690</v>
      </c>
      <c r="C594" s="181" t="s">
        <v>253</v>
      </c>
      <c r="D594" s="183" t="s">
        <v>3691</v>
      </c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186" t="s">
        <v>3693</v>
      </c>
      <c r="B595" s="186" t="s">
        <v>3694</v>
      </c>
      <c r="C595" s="181" t="s">
        <v>192</v>
      </c>
      <c r="D595" s="183" t="s">
        <v>3695</v>
      </c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186" t="s">
        <v>3699</v>
      </c>
      <c r="B596" s="186" t="s">
        <v>3700</v>
      </c>
      <c r="C596" s="181" t="s">
        <v>253</v>
      </c>
      <c r="D596" s="183" t="s">
        <v>3701</v>
      </c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186" t="s">
        <v>3704</v>
      </c>
      <c r="B597" s="186" t="s">
        <v>3705</v>
      </c>
      <c r="C597" s="181" t="s">
        <v>1019</v>
      </c>
      <c r="D597" s="186" t="s">
        <v>3706</v>
      </c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186" t="s">
        <v>3710</v>
      </c>
      <c r="B598" s="186" t="s">
        <v>3711</v>
      </c>
      <c r="C598" s="181" t="s">
        <v>192</v>
      </c>
      <c r="D598" s="183" t="s">
        <v>3712</v>
      </c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186" t="s">
        <v>3714</v>
      </c>
      <c r="B599" s="186" t="s">
        <v>3715</v>
      </c>
      <c r="C599" s="181" t="s">
        <v>3716</v>
      </c>
      <c r="D599" s="183" t="s">
        <v>3718</v>
      </c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186" t="s">
        <v>3725</v>
      </c>
      <c r="B600" s="186" t="s">
        <v>3726</v>
      </c>
      <c r="C600" s="181" t="s">
        <v>253</v>
      </c>
      <c r="D600" s="183" t="s">
        <v>3727</v>
      </c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186" t="s">
        <v>3728</v>
      </c>
      <c r="B601" s="186" t="s">
        <v>3729</v>
      </c>
      <c r="C601" s="181" t="s">
        <v>237</v>
      </c>
      <c r="D601" s="183" t="s">
        <v>3730</v>
      </c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186" t="s">
        <v>3732</v>
      </c>
      <c r="B602" s="186" t="s">
        <v>3733</v>
      </c>
      <c r="C602" s="181" t="s">
        <v>147</v>
      </c>
      <c r="D602" s="183" t="s">
        <v>3734</v>
      </c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186" t="s">
        <v>3738</v>
      </c>
      <c r="B603" s="186" t="s">
        <v>3739</v>
      </c>
      <c r="C603" s="181" t="s">
        <v>192</v>
      </c>
      <c r="D603" s="183" t="s">
        <v>3740</v>
      </c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186" t="s">
        <v>3744</v>
      </c>
      <c r="B604" s="186" t="s">
        <v>3745</v>
      </c>
      <c r="C604" s="181" t="s">
        <v>93</v>
      </c>
      <c r="D604" s="183" t="s">
        <v>3746</v>
      </c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186" t="s">
        <v>3750</v>
      </c>
      <c r="B605" s="186" t="s">
        <v>3751</v>
      </c>
      <c r="C605" s="181" t="s">
        <v>3716</v>
      </c>
      <c r="D605" s="183" t="s">
        <v>3746</v>
      </c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186" t="s">
        <v>3752</v>
      </c>
      <c r="B606" s="186" t="s">
        <v>3755</v>
      </c>
      <c r="C606" s="181" t="s">
        <v>192</v>
      </c>
      <c r="D606" s="183" t="s">
        <v>3746</v>
      </c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186" t="s">
        <v>3756</v>
      </c>
      <c r="B607" s="186" t="s">
        <v>3757</v>
      </c>
      <c r="C607" s="181" t="s">
        <v>237</v>
      </c>
      <c r="D607" s="183" t="s">
        <v>3746</v>
      </c>
      <c r="E607" s="40"/>
      <c r="F607" s="186" t="s">
        <v>3758</v>
      </c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186" t="s">
        <v>3759</v>
      </c>
      <c r="B608" s="186" t="s">
        <v>3760</v>
      </c>
      <c r="C608" s="181" t="s">
        <v>192</v>
      </c>
      <c r="D608" s="183" t="s">
        <v>3746</v>
      </c>
      <c r="E608" s="40"/>
      <c r="F608" s="186" t="s">
        <v>3761</v>
      </c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186" t="s">
        <v>3762</v>
      </c>
      <c r="B609" s="186" t="s">
        <v>3763</v>
      </c>
      <c r="C609" s="181" t="s">
        <v>93</v>
      </c>
      <c r="D609" s="183" t="s">
        <v>3746</v>
      </c>
      <c r="E609" s="40"/>
      <c r="F609" s="186" t="s">
        <v>3764</v>
      </c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186" t="s">
        <v>3768</v>
      </c>
      <c r="B610" s="186" t="s">
        <v>3769</v>
      </c>
      <c r="C610" s="181" t="s">
        <v>253</v>
      </c>
      <c r="D610" s="183" t="s">
        <v>3746</v>
      </c>
      <c r="E610" s="40"/>
      <c r="F610" s="186" t="s">
        <v>3770</v>
      </c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186" t="s">
        <v>3775</v>
      </c>
      <c r="B611" s="186" t="s">
        <v>3776</v>
      </c>
      <c r="C611" s="181" t="s">
        <v>192</v>
      </c>
      <c r="D611" s="183" t="s">
        <v>3746</v>
      </c>
      <c r="E611" s="40"/>
      <c r="F611" s="186" t="s">
        <v>3777</v>
      </c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186" t="s">
        <v>3778</v>
      </c>
      <c r="B612" s="186" t="s">
        <v>3779</v>
      </c>
      <c r="C612" s="181" t="s">
        <v>93</v>
      </c>
      <c r="D612" s="183" t="s">
        <v>3746</v>
      </c>
      <c r="E612" s="40"/>
      <c r="F612" s="186" t="s">
        <v>3781</v>
      </c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186" t="s">
        <v>3783</v>
      </c>
      <c r="B613" s="186" t="s">
        <v>3784</v>
      </c>
      <c r="C613" s="181" t="s">
        <v>1286</v>
      </c>
      <c r="D613" s="183" t="s">
        <v>3746</v>
      </c>
      <c r="E613" s="40"/>
      <c r="F613" s="186" t="s">
        <v>3785</v>
      </c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186" t="s">
        <v>3787</v>
      </c>
      <c r="B614" s="186" t="s">
        <v>3788</v>
      </c>
      <c r="C614" s="181" t="s">
        <v>1286</v>
      </c>
      <c r="D614" s="183" t="s">
        <v>3746</v>
      </c>
      <c r="E614" s="40"/>
      <c r="F614" s="186" t="s">
        <v>3790</v>
      </c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186" t="s">
        <v>3791</v>
      </c>
      <c r="B615" s="186" t="s">
        <v>3792</v>
      </c>
      <c r="C615" s="181" t="s">
        <v>253</v>
      </c>
      <c r="D615" s="183" t="s">
        <v>3746</v>
      </c>
      <c r="E615" s="40"/>
      <c r="F615" s="186" t="s">
        <v>3793</v>
      </c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186" t="s">
        <v>3794</v>
      </c>
      <c r="B616" s="186" t="s">
        <v>3795</v>
      </c>
      <c r="C616" s="181" t="s">
        <v>253</v>
      </c>
      <c r="D616" s="183" t="s">
        <v>3746</v>
      </c>
      <c r="E616" s="40"/>
      <c r="F616" s="186" t="s">
        <v>3796</v>
      </c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186" t="s">
        <v>3797</v>
      </c>
      <c r="B617" s="186" t="s">
        <v>3798</v>
      </c>
      <c r="C617" s="181" t="s">
        <v>192</v>
      </c>
      <c r="D617" s="183" t="s">
        <v>3746</v>
      </c>
      <c r="E617" s="40"/>
      <c r="F617" s="186" t="s">
        <v>3799</v>
      </c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186" t="s">
        <v>3803</v>
      </c>
      <c r="B618" s="186" t="s">
        <v>3804</v>
      </c>
      <c r="C618" s="181" t="s">
        <v>237</v>
      </c>
      <c r="D618" s="183" t="s">
        <v>3746</v>
      </c>
      <c r="E618" s="40"/>
      <c r="F618" s="186">
        <v>9.19711862E11</v>
      </c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186" t="s">
        <v>3806</v>
      </c>
      <c r="B619" s="186" t="s">
        <v>3807</v>
      </c>
      <c r="C619" s="181" t="s">
        <v>253</v>
      </c>
      <c r="D619" s="183" t="s">
        <v>3746</v>
      </c>
      <c r="E619" s="40"/>
      <c r="F619" s="186" t="s">
        <v>3808</v>
      </c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186" t="s">
        <v>3811</v>
      </c>
      <c r="B620" s="186" t="s">
        <v>3812</v>
      </c>
      <c r="C620" s="181" t="s">
        <v>93</v>
      </c>
      <c r="D620" s="183" t="s">
        <v>3746</v>
      </c>
      <c r="E620" s="40"/>
      <c r="F620" s="186" t="s">
        <v>3814</v>
      </c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186" t="s">
        <v>2923</v>
      </c>
      <c r="B621" s="186" t="s">
        <v>3818</v>
      </c>
      <c r="C621" s="181" t="s">
        <v>192</v>
      </c>
      <c r="D621" s="183" t="s">
        <v>3746</v>
      </c>
      <c r="E621" s="40"/>
      <c r="F621" s="186" t="s">
        <v>3819</v>
      </c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186" t="s">
        <v>3820</v>
      </c>
      <c r="B622" s="186" t="s">
        <v>3821</v>
      </c>
      <c r="C622" s="181" t="s">
        <v>192</v>
      </c>
      <c r="D622" s="183" t="s">
        <v>3746</v>
      </c>
      <c r="E622" s="40"/>
      <c r="F622" s="186" t="s">
        <v>3822</v>
      </c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186" t="s">
        <v>3825</v>
      </c>
      <c r="B623" s="186" t="s">
        <v>3826</v>
      </c>
      <c r="C623" s="181" t="s">
        <v>192</v>
      </c>
      <c r="D623" s="183" t="s">
        <v>3746</v>
      </c>
      <c r="E623" s="40"/>
      <c r="F623" s="186" t="s">
        <v>3827</v>
      </c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186" t="s">
        <v>3830</v>
      </c>
      <c r="B624" s="186" t="s">
        <v>3831</v>
      </c>
      <c r="C624" s="181" t="s">
        <v>1032</v>
      </c>
      <c r="D624" s="183" t="s">
        <v>3832</v>
      </c>
      <c r="E624" s="40"/>
      <c r="F624" s="186" t="s">
        <v>3837</v>
      </c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186" t="s">
        <v>3840</v>
      </c>
      <c r="B625" s="186" t="s">
        <v>3841</v>
      </c>
      <c r="C625" s="181" t="s">
        <v>192</v>
      </c>
      <c r="D625" s="183" t="s">
        <v>3842</v>
      </c>
      <c r="E625" s="40"/>
      <c r="F625" s="186" t="s">
        <v>3843</v>
      </c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186" t="s">
        <v>3844</v>
      </c>
      <c r="B626" s="186" t="s">
        <v>3845</v>
      </c>
      <c r="C626" s="181" t="s">
        <v>147</v>
      </c>
      <c r="D626" s="183" t="s">
        <v>3846</v>
      </c>
      <c r="E626" s="40"/>
      <c r="F626" s="186" t="s">
        <v>3858</v>
      </c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186" t="s">
        <v>3861</v>
      </c>
      <c r="B627" s="186" t="s">
        <v>3862</v>
      </c>
      <c r="C627" s="181" t="s">
        <v>237</v>
      </c>
      <c r="D627" s="183" t="s">
        <v>3863</v>
      </c>
      <c r="E627" s="40"/>
      <c r="F627" s="186" t="s">
        <v>3865</v>
      </c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186" t="s">
        <v>3867</v>
      </c>
      <c r="B628" s="186" t="s">
        <v>3868</v>
      </c>
      <c r="C628" s="181" t="s">
        <v>237</v>
      </c>
      <c r="D628" s="183" t="s">
        <v>3869</v>
      </c>
      <c r="E628" s="40"/>
      <c r="F628" s="186" t="s">
        <v>3872</v>
      </c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186" t="s">
        <v>3876</v>
      </c>
      <c r="B629" s="186" t="s">
        <v>3877</v>
      </c>
      <c r="C629" s="181" t="s">
        <v>237</v>
      </c>
      <c r="D629" s="183" t="s">
        <v>3878</v>
      </c>
      <c r="E629" s="40"/>
      <c r="F629" s="186" t="s">
        <v>3879</v>
      </c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186" t="s">
        <v>3880</v>
      </c>
      <c r="B630" s="186" t="s">
        <v>3881</v>
      </c>
      <c r="C630" s="181" t="s">
        <v>192</v>
      </c>
      <c r="D630" s="183" t="s">
        <v>3882</v>
      </c>
      <c r="E630" s="40"/>
      <c r="F630" s="186" t="s">
        <v>3884</v>
      </c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186" t="s">
        <v>3885</v>
      </c>
      <c r="B631" s="186" t="s">
        <v>3886</v>
      </c>
      <c r="C631" s="181" t="s">
        <v>93</v>
      </c>
      <c r="D631" s="183" t="s">
        <v>3887</v>
      </c>
      <c r="E631" s="40"/>
      <c r="F631" s="186" t="s">
        <v>3888</v>
      </c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186" t="s">
        <v>3889</v>
      </c>
      <c r="B632" s="186" t="s">
        <v>3890</v>
      </c>
      <c r="C632" s="181" t="s">
        <v>147</v>
      </c>
      <c r="D632" s="186"/>
      <c r="E632" s="40"/>
      <c r="F632" s="186" t="s">
        <v>3891</v>
      </c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186" t="s">
        <v>3892</v>
      </c>
      <c r="B633" s="186" t="s">
        <v>3893</v>
      </c>
      <c r="C633" s="181" t="s">
        <v>253</v>
      </c>
      <c r="D633" s="183" t="s">
        <v>3894</v>
      </c>
      <c r="E633" s="40"/>
      <c r="F633" s="186" t="s">
        <v>3897</v>
      </c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225" t="s">
        <v>3899</v>
      </c>
      <c r="B634" s="225" t="s">
        <v>3901</v>
      </c>
      <c r="C634" s="225" t="s">
        <v>192</v>
      </c>
      <c r="D634" s="266" t="s">
        <v>3902</v>
      </c>
      <c r="E634" s="102"/>
      <c r="F634" s="102" t="s">
        <v>3903</v>
      </c>
      <c r="G634" s="102"/>
      <c r="H634" s="102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225" t="s">
        <v>3904</v>
      </c>
      <c r="B635" s="225" t="s">
        <v>3905</v>
      </c>
      <c r="C635" s="225" t="s">
        <v>253</v>
      </c>
      <c r="D635" s="225"/>
      <c r="E635" s="102"/>
      <c r="F635" s="102" t="s">
        <v>3906</v>
      </c>
      <c r="G635" s="102"/>
      <c r="H635" s="102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225" t="s">
        <v>2902</v>
      </c>
      <c r="B636" s="225" t="s">
        <v>3908</v>
      </c>
      <c r="C636" s="225" t="s">
        <v>192</v>
      </c>
      <c r="D636" s="266" t="s">
        <v>3909</v>
      </c>
      <c r="E636" s="102"/>
      <c r="F636" s="102" t="s">
        <v>3911</v>
      </c>
      <c r="G636" s="102"/>
      <c r="H636" s="102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186"/>
      <c r="B637" s="186"/>
      <c r="C637" s="181"/>
      <c r="D637" s="186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186" t="s">
        <v>3913</v>
      </c>
      <c r="B638" s="186" t="s">
        <v>3914</v>
      </c>
      <c r="C638" s="181" t="s">
        <v>147</v>
      </c>
      <c r="D638" s="183" t="s">
        <v>3915</v>
      </c>
      <c r="E638" s="40"/>
      <c r="F638" s="186" t="s">
        <v>3916</v>
      </c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186" t="s">
        <v>3917</v>
      </c>
      <c r="B639" s="186" t="s">
        <v>3918</v>
      </c>
      <c r="C639" s="181" t="s">
        <v>93</v>
      </c>
      <c r="D639" s="183" t="s">
        <v>3920</v>
      </c>
      <c r="E639" s="40"/>
      <c r="F639" s="186" t="s">
        <v>3921</v>
      </c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186" t="s">
        <v>3924</v>
      </c>
      <c r="B640" s="186" t="s">
        <v>3925</v>
      </c>
      <c r="C640" s="181" t="s">
        <v>93</v>
      </c>
      <c r="D640" s="183" t="s">
        <v>3926</v>
      </c>
      <c r="E640" s="40">
        <f>919980467002</f>
        <v>919980467002</v>
      </c>
      <c r="F640" s="186" t="s">
        <v>3929</v>
      </c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186" t="s">
        <v>3930</v>
      </c>
      <c r="B641" s="186" t="s">
        <v>3931</v>
      </c>
      <c r="C641" s="181" t="s">
        <v>237</v>
      </c>
      <c r="D641" s="183" t="s">
        <v>3933</v>
      </c>
      <c r="E641" s="40"/>
      <c r="F641" s="186" t="s">
        <v>3935</v>
      </c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186" t="s">
        <v>3937</v>
      </c>
      <c r="B642" s="186" t="s">
        <v>3938</v>
      </c>
      <c r="C642" s="181" t="s">
        <v>237</v>
      </c>
      <c r="D642" s="183" t="s">
        <v>3939</v>
      </c>
      <c r="E642" s="40">
        <f>919920212819</f>
        <v>919920212819</v>
      </c>
      <c r="F642" s="186" t="s">
        <v>3942</v>
      </c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186" t="s">
        <v>3943</v>
      </c>
      <c r="B643" s="186" t="s">
        <v>3944</v>
      </c>
      <c r="C643" s="181" t="s">
        <v>253</v>
      </c>
      <c r="D643" s="183" t="s">
        <v>3945</v>
      </c>
      <c r="E643" s="40">
        <f>919673470832</f>
        <v>919673470832</v>
      </c>
      <c r="F643" s="186" t="s">
        <v>3948</v>
      </c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186" t="s">
        <v>3949</v>
      </c>
      <c r="B644" s="186" t="s">
        <v>3950</v>
      </c>
      <c r="C644" s="181" t="s">
        <v>192</v>
      </c>
      <c r="D644" s="183" t="s">
        <v>3951</v>
      </c>
      <c r="E644" s="40">
        <f>16508231681</f>
        <v>16508231681</v>
      </c>
      <c r="F644" s="186" t="s">
        <v>3953</v>
      </c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186" t="s">
        <v>3957</v>
      </c>
      <c r="B645" s="186" t="s">
        <v>3958</v>
      </c>
      <c r="C645" s="181" t="s">
        <v>1286</v>
      </c>
      <c r="D645" s="183" t="s">
        <v>3959</v>
      </c>
      <c r="E645" s="40">
        <f>918955663663</f>
        <v>918955663663</v>
      </c>
      <c r="F645" s="186" t="s">
        <v>3960</v>
      </c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186" t="s">
        <v>3962</v>
      </c>
      <c r="B646" s="186" t="s">
        <v>3963</v>
      </c>
      <c r="C646" s="181" t="s">
        <v>147</v>
      </c>
      <c r="D646" s="183" t="s">
        <v>3964</v>
      </c>
      <c r="E646" s="40"/>
      <c r="F646" s="186" t="s">
        <v>3965</v>
      </c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186" t="s">
        <v>3967</v>
      </c>
      <c r="B647" s="186" t="s">
        <v>3968</v>
      </c>
      <c r="C647" s="181" t="s">
        <v>253</v>
      </c>
      <c r="D647" s="183" t="s">
        <v>3970</v>
      </c>
      <c r="E647" s="40"/>
      <c r="F647" s="186" t="s">
        <v>3972</v>
      </c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186" t="s">
        <v>3973</v>
      </c>
      <c r="B648" s="186" t="s">
        <v>3974</v>
      </c>
      <c r="C648" s="181" t="s">
        <v>192</v>
      </c>
      <c r="D648" s="183" t="s">
        <v>3975</v>
      </c>
      <c r="E648" s="40">
        <f>918754536465</f>
        <v>918754536465</v>
      </c>
      <c r="F648" s="186" t="s">
        <v>3977</v>
      </c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186" t="s">
        <v>3979</v>
      </c>
      <c r="B649" s="186" t="s">
        <v>3980</v>
      </c>
      <c r="C649" s="181" t="s">
        <v>253</v>
      </c>
      <c r="D649" s="183" t="s">
        <v>3981</v>
      </c>
      <c r="E649" s="40"/>
      <c r="F649" s="186" t="s">
        <v>3984</v>
      </c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186" t="s">
        <v>3985</v>
      </c>
      <c r="B650" s="186" t="s">
        <v>3986</v>
      </c>
      <c r="C650" s="181" t="s">
        <v>237</v>
      </c>
      <c r="D650" s="183" t="s">
        <v>3987</v>
      </c>
      <c r="E650" s="186">
        <v>2.155477822E9</v>
      </c>
      <c r="F650" s="186" t="s">
        <v>3988</v>
      </c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186" t="s">
        <v>3991</v>
      </c>
      <c r="B651" s="186" t="s">
        <v>3992</v>
      </c>
      <c r="C651" s="181" t="s">
        <v>253</v>
      </c>
      <c r="D651" s="183" t="s">
        <v>3993</v>
      </c>
      <c r="E651" s="40">
        <f>919790866366</f>
        <v>919790866366</v>
      </c>
      <c r="F651" s="186" t="s">
        <v>3996</v>
      </c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186" t="s">
        <v>4000</v>
      </c>
      <c r="B652" s="186" t="s">
        <v>4001</v>
      </c>
      <c r="C652" s="181" t="s">
        <v>93</v>
      </c>
      <c r="D652" s="183" t="s">
        <v>4002</v>
      </c>
      <c r="E652" s="40"/>
      <c r="F652" s="186" t="s">
        <v>4003</v>
      </c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186" t="s">
        <v>183</v>
      </c>
      <c r="B653" s="186" t="s">
        <v>4004</v>
      </c>
      <c r="C653" s="181" t="s">
        <v>253</v>
      </c>
      <c r="D653" s="321" t="s">
        <v>4005</v>
      </c>
      <c r="E653" s="40"/>
      <c r="F653" s="186" t="s">
        <v>4007</v>
      </c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186" t="s">
        <v>4008</v>
      </c>
      <c r="B654" s="186" t="s">
        <v>4009</v>
      </c>
      <c r="C654" s="181" t="s">
        <v>253</v>
      </c>
      <c r="D654" s="183" t="s">
        <v>4010</v>
      </c>
      <c r="E654" s="40">
        <f>14084207990</f>
        <v>14084207990</v>
      </c>
      <c r="F654" s="186" t="s">
        <v>4011</v>
      </c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186" t="s">
        <v>4012</v>
      </c>
      <c r="B655" s="186" t="s">
        <v>4013</v>
      </c>
      <c r="C655" s="181" t="s">
        <v>93</v>
      </c>
      <c r="D655" s="183" t="s">
        <v>4014</v>
      </c>
      <c r="E655" s="40">
        <f>14046979796</f>
        <v>14046979796</v>
      </c>
      <c r="F655" s="186" t="s">
        <v>4015</v>
      </c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186" t="s">
        <v>4017</v>
      </c>
      <c r="B656" s="186" t="s">
        <v>4018</v>
      </c>
      <c r="C656" s="181" t="s">
        <v>93</v>
      </c>
      <c r="D656" s="183" t="s">
        <v>4019</v>
      </c>
      <c r="E656" s="40"/>
      <c r="F656" s="186" t="s">
        <v>4020</v>
      </c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186" t="s">
        <v>4022</v>
      </c>
      <c r="B657" s="186" t="s">
        <v>4023</v>
      </c>
      <c r="C657" s="181" t="s">
        <v>253</v>
      </c>
      <c r="D657" s="183" t="s">
        <v>4026</v>
      </c>
      <c r="E657" s="40">
        <f>919341232063</f>
        <v>919341232063</v>
      </c>
      <c r="F657" s="186" t="s">
        <v>4029</v>
      </c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186" t="s">
        <v>2998</v>
      </c>
      <c r="B658" s="186" t="s">
        <v>4031</v>
      </c>
      <c r="C658" s="181" t="s">
        <v>253</v>
      </c>
      <c r="D658" s="183" t="s">
        <v>4032</v>
      </c>
      <c r="E658" s="40">
        <f>919036259514</f>
        <v>919036259514</v>
      </c>
      <c r="F658" s="186" t="s">
        <v>4033</v>
      </c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186" t="s">
        <v>4034</v>
      </c>
      <c r="B659" s="186" t="s">
        <v>4035</v>
      </c>
      <c r="C659" s="181" t="s">
        <v>93</v>
      </c>
      <c r="D659" s="183" t="s">
        <v>4036</v>
      </c>
      <c r="E659" s="40"/>
      <c r="F659" s="186" t="s">
        <v>4037</v>
      </c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186" t="s">
        <v>4038</v>
      </c>
      <c r="B660" s="186" t="s">
        <v>4039</v>
      </c>
      <c r="C660" s="181" t="s">
        <v>4040</v>
      </c>
      <c r="D660" s="183" t="s">
        <v>4041</v>
      </c>
      <c r="E660" s="40"/>
      <c r="F660" s="186" t="s">
        <v>4043</v>
      </c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186" t="s">
        <v>4046</v>
      </c>
      <c r="B661" s="186" t="s">
        <v>4047</v>
      </c>
      <c r="C661" s="181" t="s">
        <v>253</v>
      </c>
      <c r="D661" s="183" t="s">
        <v>4048</v>
      </c>
      <c r="E661" s="40">
        <f>919971037711</f>
        <v>919971037711</v>
      </c>
      <c r="F661" s="186" t="s">
        <v>4051</v>
      </c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186" t="s">
        <v>3023</v>
      </c>
      <c r="B662" s="186" t="s">
        <v>4052</v>
      </c>
      <c r="C662" s="181" t="s">
        <v>253</v>
      </c>
      <c r="D662" s="183" t="s">
        <v>4053</v>
      </c>
      <c r="E662" s="40"/>
      <c r="F662" s="186" t="s">
        <v>4054</v>
      </c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186" t="s">
        <v>4057</v>
      </c>
      <c r="B663" s="186" t="s">
        <v>4058</v>
      </c>
      <c r="C663" s="181" t="s">
        <v>87</v>
      </c>
      <c r="D663" s="183" t="s">
        <v>4059</v>
      </c>
      <c r="E663" s="40">
        <f>919314093765</f>
        <v>919314093765</v>
      </c>
      <c r="F663" s="186" t="s">
        <v>4062</v>
      </c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186" t="s">
        <v>4066</v>
      </c>
      <c r="B664" s="186" t="s">
        <v>4067</v>
      </c>
      <c r="C664" s="181" t="s">
        <v>93</v>
      </c>
      <c r="D664" s="183" t="s">
        <v>4068</v>
      </c>
      <c r="E664" s="40">
        <f>919873003008</f>
        <v>919873003008</v>
      </c>
      <c r="F664" s="186" t="s">
        <v>4069</v>
      </c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186" t="s">
        <v>4072</v>
      </c>
      <c r="B665" s="186" t="s">
        <v>4073</v>
      </c>
      <c r="C665" s="181" t="s">
        <v>253</v>
      </c>
      <c r="D665" s="183" t="s">
        <v>4074</v>
      </c>
      <c r="E665" s="40"/>
      <c r="F665" s="186" t="s">
        <v>4077</v>
      </c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186" t="s">
        <v>4080</v>
      </c>
      <c r="B666" s="186" t="s">
        <v>4081</v>
      </c>
      <c r="C666" s="181" t="s">
        <v>4082</v>
      </c>
      <c r="D666" s="183" t="s">
        <v>4083</v>
      </c>
      <c r="E666" s="40"/>
      <c r="F666" s="186" t="s">
        <v>4084</v>
      </c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186" t="s">
        <v>4085</v>
      </c>
      <c r="B667" s="186" t="s">
        <v>4086</v>
      </c>
      <c r="C667" s="181" t="s">
        <v>192</v>
      </c>
      <c r="D667" s="183" t="s">
        <v>4087</v>
      </c>
      <c r="E667" s="40">
        <f>918800920808</f>
        <v>918800920808</v>
      </c>
      <c r="F667" s="186" t="s">
        <v>4090</v>
      </c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186" t="s">
        <v>4091</v>
      </c>
      <c r="B668" s="186" t="s">
        <v>4092</v>
      </c>
      <c r="C668" s="181" t="s">
        <v>147</v>
      </c>
      <c r="D668" s="183" t="s">
        <v>4093</v>
      </c>
      <c r="E668" s="40">
        <f>919818882525</f>
        <v>919818882525</v>
      </c>
      <c r="F668" s="186" t="s">
        <v>4098</v>
      </c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186" t="s">
        <v>4099</v>
      </c>
      <c r="B669" s="186" t="s">
        <v>4100</v>
      </c>
      <c r="C669" s="181" t="s">
        <v>93</v>
      </c>
      <c r="D669" s="183" t="s">
        <v>4101</v>
      </c>
      <c r="E669" s="186" t="s">
        <v>4102</v>
      </c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186" t="s">
        <v>4105</v>
      </c>
      <c r="B670" s="186" t="s">
        <v>4106</v>
      </c>
      <c r="C670" s="181" t="s">
        <v>93</v>
      </c>
      <c r="D670" s="183" t="s">
        <v>4107</v>
      </c>
      <c r="E670" s="40">
        <f>917737827305</f>
        <v>917737827305</v>
      </c>
      <c r="F670" s="186" t="s">
        <v>4110</v>
      </c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186" t="s">
        <v>4113</v>
      </c>
      <c r="B671" s="186" t="s">
        <v>4114</v>
      </c>
      <c r="C671" s="181" t="s">
        <v>615</v>
      </c>
      <c r="D671" s="183" t="s">
        <v>4115</v>
      </c>
      <c r="E671" s="40">
        <f>912266505555</f>
        <v>912266505555</v>
      </c>
      <c r="F671" s="186" t="s">
        <v>4116</v>
      </c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186" t="s">
        <v>4117</v>
      </c>
      <c r="B672" s="186" t="s">
        <v>4118</v>
      </c>
      <c r="C672" s="181" t="s">
        <v>253</v>
      </c>
      <c r="D672" s="183" t="s">
        <v>4119</v>
      </c>
      <c r="E672" s="40"/>
      <c r="F672" s="186" t="s">
        <v>4121</v>
      </c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186" t="s">
        <v>4122</v>
      </c>
      <c r="B673" s="186" t="s">
        <v>4123</v>
      </c>
      <c r="C673" s="181" t="s">
        <v>3409</v>
      </c>
      <c r="D673" s="183" t="s">
        <v>4125</v>
      </c>
      <c r="E673" s="40"/>
      <c r="F673" s="186" t="s">
        <v>4128</v>
      </c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186" t="s">
        <v>4130</v>
      </c>
      <c r="B674" s="186" t="s">
        <v>4131</v>
      </c>
      <c r="C674" s="181" t="s">
        <v>147</v>
      </c>
      <c r="D674" s="183" t="s">
        <v>4132</v>
      </c>
      <c r="E674" s="40"/>
      <c r="F674" s="186" t="s">
        <v>4133</v>
      </c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186" t="s">
        <v>4135</v>
      </c>
      <c r="B675" s="186" t="s">
        <v>4136</v>
      </c>
      <c r="C675" s="181" t="s">
        <v>93</v>
      </c>
      <c r="D675" s="321" t="s">
        <v>4137</v>
      </c>
      <c r="E675" s="40"/>
      <c r="F675" s="186" t="s">
        <v>4140</v>
      </c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186" t="s">
        <v>4143</v>
      </c>
      <c r="B676" s="186" t="s">
        <v>4144</v>
      </c>
      <c r="C676" s="181" t="s">
        <v>192</v>
      </c>
      <c r="D676" s="183" t="s">
        <v>4145</v>
      </c>
      <c r="E676" s="40">
        <f>919886024510</f>
        <v>919886024510</v>
      </c>
      <c r="F676" s="186" t="s">
        <v>4146</v>
      </c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186" t="s">
        <v>4147</v>
      </c>
      <c r="B677" s="186" t="s">
        <v>4148</v>
      </c>
      <c r="C677" s="181" t="s">
        <v>253</v>
      </c>
      <c r="D677" s="183" t="s">
        <v>4149</v>
      </c>
      <c r="E677" s="40"/>
      <c r="F677" s="186" t="s">
        <v>4151</v>
      </c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186" t="s">
        <v>4153</v>
      </c>
      <c r="B678" s="186" t="s">
        <v>4154</v>
      </c>
      <c r="C678" s="181" t="s">
        <v>1417</v>
      </c>
      <c r="D678" s="183" t="s">
        <v>4156</v>
      </c>
      <c r="E678" s="40"/>
      <c r="F678" s="186" t="s">
        <v>4158</v>
      </c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186" t="s">
        <v>4159</v>
      </c>
      <c r="B679" s="186" t="s">
        <v>4160</v>
      </c>
      <c r="C679" s="181" t="s">
        <v>93</v>
      </c>
      <c r="D679" s="183" t="s">
        <v>4161</v>
      </c>
      <c r="E679" s="40"/>
      <c r="F679" s="186" t="s">
        <v>4162</v>
      </c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186" t="s">
        <v>4163</v>
      </c>
      <c r="B680" s="186" t="s">
        <v>4164</v>
      </c>
      <c r="C680" s="181" t="s">
        <v>253</v>
      </c>
      <c r="D680" s="183" t="s">
        <v>4165</v>
      </c>
      <c r="E680" s="40"/>
      <c r="F680" s="186" t="s">
        <v>4168</v>
      </c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186" t="s">
        <v>4169</v>
      </c>
      <c r="B681" s="186" t="s">
        <v>4170</v>
      </c>
      <c r="C681" s="181" t="s">
        <v>253</v>
      </c>
      <c r="D681" s="183" t="s">
        <v>4171</v>
      </c>
      <c r="E681" s="40">
        <f>919871672038</f>
        <v>919871672038</v>
      </c>
      <c r="F681" s="186" t="s">
        <v>4174</v>
      </c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186" t="s">
        <v>4178</v>
      </c>
      <c r="B682" s="186" t="s">
        <v>4179</v>
      </c>
      <c r="C682" s="181" t="s">
        <v>192</v>
      </c>
      <c r="D682" s="183" t="s">
        <v>4180</v>
      </c>
      <c r="E682" s="40">
        <f>917358027995</f>
        <v>917358027995</v>
      </c>
      <c r="F682" s="186" t="s">
        <v>4181</v>
      </c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186" t="s">
        <v>4182</v>
      </c>
      <c r="B683" s="186" t="s">
        <v>4183</v>
      </c>
      <c r="C683" s="181" t="s">
        <v>237</v>
      </c>
      <c r="D683" s="321" t="s">
        <v>4184</v>
      </c>
      <c r="E683" s="40"/>
      <c r="F683" s="186" t="s">
        <v>4187</v>
      </c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186" t="s">
        <v>4190</v>
      </c>
      <c r="B684" s="186" t="s">
        <v>4191</v>
      </c>
      <c r="C684" s="181" t="s">
        <v>4192</v>
      </c>
      <c r="D684" s="321" t="s">
        <v>4193</v>
      </c>
      <c r="E684" s="40">
        <f>91919885000004</f>
        <v>91919885000004</v>
      </c>
      <c r="F684" s="186" t="s">
        <v>4195</v>
      </c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186" t="s">
        <v>4196</v>
      </c>
      <c r="B685" s="186" t="s">
        <v>4197</v>
      </c>
      <c r="C685" s="181" t="s">
        <v>237</v>
      </c>
      <c r="D685" s="183" t="s">
        <v>4198</v>
      </c>
      <c r="E685" s="40">
        <f>919712925254</f>
        <v>919712925254</v>
      </c>
      <c r="F685" s="186" t="s">
        <v>4199</v>
      </c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183" t="s">
        <v>4202</v>
      </c>
      <c r="B686" s="186" t="s">
        <v>4203</v>
      </c>
      <c r="C686" s="181" t="s">
        <v>192</v>
      </c>
      <c r="D686" s="183" t="s">
        <v>4204</v>
      </c>
      <c r="E686" s="40">
        <f>917760686246</f>
        <v>917760686246</v>
      </c>
      <c r="F686" s="186" t="s">
        <v>4207</v>
      </c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186" t="s">
        <v>4209</v>
      </c>
      <c r="B687" s="186" t="s">
        <v>4210</v>
      </c>
      <c r="C687" s="181" t="s">
        <v>93</v>
      </c>
      <c r="D687" s="321" t="s">
        <v>4211</v>
      </c>
      <c r="E687" s="40">
        <f>919930101991</f>
        <v>919930101991</v>
      </c>
      <c r="F687" s="186" t="s">
        <v>4212</v>
      </c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186" t="s">
        <v>4214</v>
      </c>
      <c r="B688" s="186" t="s">
        <v>4215</v>
      </c>
      <c r="C688" s="181" t="s">
        <v>192</v>
      </c>
      <c r="D688" s="183" t="s">
        <v>4216</v>
      </c>
      <c r="E688" s="40">
        <f>917799889811</f>
        <v>917799889811</v>
      </c>
      <c r="F688" s="186" t="s">
        <v>4219</v>
      </c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17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179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179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179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179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179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179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179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179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179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179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179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17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179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179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179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17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179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179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179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179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179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179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179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179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179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179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179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179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179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17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179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179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179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179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179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179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179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179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179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179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179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179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179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179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179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179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179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179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179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179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179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179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179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179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179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17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179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179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179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179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179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179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179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179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179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179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179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179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17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179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179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17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179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179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179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179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179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179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179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179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179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179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179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179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179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179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17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179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179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179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179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179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179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179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179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179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179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179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179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179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179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179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179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179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179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179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179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179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179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179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179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17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179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179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179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179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179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179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179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179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179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179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179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179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179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17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179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17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179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179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179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179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179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179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179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179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179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179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179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179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179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179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179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17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179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179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179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179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179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179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179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179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179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179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179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179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179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179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179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179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179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179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179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179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179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179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179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179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179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179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179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179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179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179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179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179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179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179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179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179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179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179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179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179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179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179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179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179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179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179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179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179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179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179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179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179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179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179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179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179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179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179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179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179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179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179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179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179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179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179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179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179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179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179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179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179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179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179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179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179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179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179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179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179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179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179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179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179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179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179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179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179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179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179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179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179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179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179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179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179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179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179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179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179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179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179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179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179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179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179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179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179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179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179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179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179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179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179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179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179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179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179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179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179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179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179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179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179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179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179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179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179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179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179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179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179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179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179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179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179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179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179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179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179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179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179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179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179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179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179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179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179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179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179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179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179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179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179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179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179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179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179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179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179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179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179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179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179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179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179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>
      <c r="A1000" s="40"/>
      <c r="B1000" s="40"/>
      <c r="C1000" s="179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>
      <c r="A1001" s="40"/>
      <c r="B1001" s="40"/>
      <c r="C1001" s="179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  <row r="1002">
      <c r="A1002" s="40"/>
      <c r="B1002" s="40"/>
      <c r="C1002" s="179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</row>
    <row r="1003">
      <c r="A1003" s="40"/>
      <c r="B1003" s="40"/>
      <c r="C1003" s="179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</row>
    <row r="1004">
      <c r="A1004" s="40"/>
      <c r="B1004" s="40"/>
      <c r="C1004" s="179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</row>
    <row r="1005">
      <c r="A1005" s="40"/>
      <c r="B1005" s="40"/>
      <c r="C1005" s="179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</row>
    <row r="1006">
      <c r="A1006" s="40"/>
      <c r="B1006" s="40"/>
      <c r="C1006" s="179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</row>
    <row r="1007">
      <c r="A1007" s="40"/>
      <c r="B1007" s="40"/>
      <c r="C1007" s="179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</row>
    <row r="1008">
      <c r="A1008" s="40"/>
      <c r="B1008" s="40"/>
      <c r="C1008" s="179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</row>
    <row r="1009">
      <c r="A1009" s="40"/>
      <c r="B1009" s="40"/>
      <c r="C1009" s="179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</row>
    <row r="1010">
      <c r="A1010" s="40"/>
      <c r="B1010" s="40"/>
      <c r="C1010" s="179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</row>
    <row r="1011">
      <c r="A1011" s="40"/>
      <c r="B1011" s="40"/>
      <c r="C1011" s="179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</row>
    <row r="1012">
      <c r="A1012" s="40"/>
      <c r="B1012" s="40"/>
      <c r="C1012" s="179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</row>
    <row r="1013">
      <c r="A1013" s="40"/>
      <c r="B1013" s="40"/>
      <c r="C1013" s="179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</row>
    <row r="1014">
      <c r="A1014" s="40"/>
      <c r="B1014" s="40"/>
      <c r="C1014" s="179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</row>
    <row r="1015">
      <c r="A1015" s="40"/>
      <c r="B1015" s="40"/>
      <c r="C1015" s="179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</row>
    <row r="1016">
      <c r="A1016" s="40"/>
      <c r="B1016" s="40"/>
      <c r="C1016" s="179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</row>
    <row r="1017">
      <c r="A1017" s="40"/>
      <c r="B1017" s="40"/>
      <c r="C1017" s="179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</row>
    <row r="1018">
      <c r="A1018" s="40"/>
      <c r="B1018" s="40"/>
      <c r="C1018" s="179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</row>
    <row r="1019">
      <c r="A1019" s="40"/>
      <c r="B1019" s="40"/>
      <c r="C1019" s="179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</row>
    <row r="1020">
      <c r="A1020" s="40"/>
      <c r="B1020" s="40"/>
      <c r="C1020" s="179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</row>
    <row r="1021">
      <c r="A1021" s="40"/>
      <c r="B1021" s="40"/>
      <c r="C1021" s="179"/>
      <c r="D1021" s="40"/>
      <c r="E1021" s="40"/>
      <c r="F1021" s="40"/>
      <c r="G1021" s="40"/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</row>
    <row r="1022">
      <c r="A1022" s="40"/>
      <c r="B1022" s="40"/>
      <c r="C1022" s="179"/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</row>
    <row r="1023">
      <c r="A1023" s="40"/>
      <c r="B1023" s="40"/>
      <c r="C1023" s="179"/>
      <c r="D1023" s="40"/>
      <c r="E1023" s="40"/>
      <c r="F1023" s="40"/>
      <c r="G1023" s="40"/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</row>
    <row r="1024">
      <c r="A1024" s="40"/>
      <c r="B1024" s="40"/>
      <c r="C1024" s="179"/>
      <c r="D1024" s="40"/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</row>
    <row r="1025">
      <c r="A1025" s="40"/>
      <c r="B1025" s="40"/>
      <c r="C1025" s="179"/>
      <c r="D1025" s="40"/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</row>
    <row r="1026">
      <c r="A1026" s="40"/>
      <c r="B1026" s="40"/>
      <c r="C1026" s="179"/>
      <c r="D1026" s="40"/>
      <c r="E1026" s="40"/>
      <c r="F1026" s="40"/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</row>
    <row r="1027">
      <c r="A1027" s="40"/>
      <c r="B1027" s="40"/>
      <c r="C1027" s="179"/>
      <c r="D1027" s="40"/>
      <c r="E1027" s="40"/>
      <c r="F1027" s="40"/>
      <c r="G1027" s="40"/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</row>
    <row r="1028">
      <c r="A1028" s="40"/>
      <c r="B1028" s="40"/>
      <c r="C1028" s="179"/>
      <c r="D1028" s="40"/>
      <c r="E1028" s="40"/>
      <c r="F1028" s="40"/>
      <c r="G1028" s="40"/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</row>
    <row r="1029">
      <c r="A1029" s="40"/>
      <c r="B1029" s="40"/>
      <c r="C1029" s="179"/>
      <c r="D1029" s="40"/>
      <c r="E1029" s="40"/>
      <c r="F1029" s="40"/>
      <c r="G1029" s="40"/>
      <c r="H1029" s="40"/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</row>
    <row r="1030">
      <c r="A1030" s="40"/>
      <c r="B1030" s="40"/>
      <c r="C1030" s="179"/>
      <c r="D1030" s="40"/>
      <c r="E1030" s="40"/>
      <c r="F1030" s="40"/>
      <c r="G1030" s="40"/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</row>
    <row r="1031">
      <c r="A1031" s="40"/>
      <c r="B1031" s="40"/>
      <c r="C1031" s="179"/>
      <c r="D1031" s="40"/>
      <c r="E1031" s="40"/>
      <c r="F1031" s="40"/>
      <c r="G1031" s="40"/>
      <c r="H1031" s="40"/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</row>
    <row r="1032">
      <c r="A1032" s="40"/>
      <c r="B1032" s="40"/>
      <c r="C1032" s="179"/>
      <c r="D1032" s="40"/>
      <c r="E1032" s="40"/>
      <c r="F1032" s="40"/>
      <c r="G1032" s="40"/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</row>
    <row r="1033">
      <c r="A1033" s="40"/>
      <c r="B1033" s="40"/>
      <c r="C1033" s="179"/>
      <c r="D1033" s="40"/>
      <c r="E1033" s="40"/>
      <c r="F1033" s="40"/>
      <c r="G1033" s="40"/>
      <c r="H1033" s="40"/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</row>
    <row r="1034">
      <c r="A1034" s="40"/>
      <c r="B1034" s="40"/>
      <c r="C1034" s="179"/>
      <c r="D1034" s="40"/>
      <c r="E1034" s="40"/>
      <c r="F1034" s="40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</row>
    <row r="1035">
      <c r="A1035" s="40"/>
      <c r="B1035" s="40"/>
      <c r="C1035" s="179"/>
      <c r="D1035" s="40"/>
      <c r="E1035" s="40"/>
      <c r="F1035" s="40"/>
      <c r="G1035" s="40"/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</row>
    <row r="1036">
      <c r="A1036" s="40"/>
      <c r="B1036" s="40"/>
      <c r="C1036" s="179"/>
      <c r="D1036" s="40"/>
      <c r="E1036" s="40"/>
      <c r="F1036" s="40"/>
      <c r="G1036" s="40"/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</row>
    <row r="1037">
      <c r="A1037" s="40"/>
      <c r="B1037" s="40"/>
      <c r="C1037" s="179"/>
      <c r="D1037" s="40"/>
      <c r="E1037" s="40"/>
      <c r="F1037" s="40"/>
      <c r="G1037" s="40"/>
      <c r="H1037" s="40"/>
      <c r="I1037" s="40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  <c r="Y1037" s="40"/>
      <c r="Z1037" s="40"/>
    </row>
    <row r="1038">
      <c r="A1038" s="40"/>
      <c r="B1038" s="40"/>
      <c r="C1038" s="179"/>
      <c r="D1038" s="40"/>
      <c r="E1038" s="40"/>
      <c r="F1038" s="40"/>
      <c r="G1038" s="40"/>
      <c r="H1038" s="40"/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  <c r="Y1038" s="40"/>
      <c r="Z1038" s="40"/>
    </row>
    <row r="1039">
      <c r="A1039" s="40"/>
      <c r="B1039" s="40"/>
      <c r="C1039" s="179"/>
      <c r="D1039" s="40"/>
      <c r="E1039" s="40"/>
      <c r="F1039" s="40"/>
      <c r="G1039" s="40"/>
      <c r="H1039" s="40"/>
      <c r="I1039" s="40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  <c r="Y1039" s="40"/>
      <c r="Z1039" s="40"/>
    </row>
    <row r="1040">
      <c r="A1040" s="40"/>
      <c r="B1040" s="40"/>
      <c r="C1040" s="179"/>
      <c r="D1040" s="40"/>
      <c r="E1040" s="40"/>
      <c r="F1040" s="40"/>
      <c r="G1040" s="40"/>
      <c r="H1040" s="40"/>
      <c r="I1040" s="40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  <c r="Y1040" s="40"/>
      <c r="Z1040" s="40"/>
    </row>
    <row r="1041">
      <c r="A1041" s="40"/>
      <c r="B1041" s="40"/>
      <c r="C1041" s="179"/>
      <c r="D1041" s="40"/>
      <c r="E1041" s="40"/>
      <c r="F1041" s="40"/>
      <c r="G1041" s="40"/>
      <c r="H1041" s="40"/>
      <c r="I1041" s="40"/>
      <c r="J1041" s="40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  <c r="Y1041" s="40"/>
      <c r="Z1041" s="40"/>
    </row>
    <row r="1042">
      <c r="A1042" s="40"/>
      <c r="B1042" s="40"/>
      <c r="C1042" s="179"/>
      <c r="D1042" s="40"/>
      <c r="E1042" s="40"/>
      <c r="F1042" s="40"/>
      <c r="G1042" s="40"/>
      <c r="H1042" s="40"/>
      <c r="I1042" s="40"/>
      <c r="J1042" s="40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</row>
    <row r="1043">
      <c r="A1043" s="40"/>
      <c r="B1043" s="40"/>
      <c r="C1043" s="179"/>
      <c r="D1043" s="40"/>
      <c r="E1043" s="40"/>
      <c r="F1043" s="40"/>
      <c r="G1043" s="40"/>
      <c r="H1043" s="40"/>
      <c r="I1043" s="40"/>
      <c r="J1043" s="40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</row>
    <row r="1044">
      <c r="A1044" s="40"/>
      <c r="B1044" s="40"/>
      <c r="C1044" s="179"/>
      <c r="D1044" s="40"/>
      <c r="E1044" s="40"/>
      <c r="F1044" s="40"/>
      <c r="G1044" s="40"/>
      <c r="H1044" s="40"/>
      <c r="I1044" s="40"/>
      <c r="J1044" s="40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</row>
    <row r="1045">
      <c r="A1045" s="40"/>
      <c r="B1045" s="40"/>
      <c r="C1045" s="179"/>
      <c r="D1045" s="40"/>
      <c r="E1045" s="40"/>
      <c r="F1045" s="40"/>
      <c r="G1045" s="40"/>
      <c r="H1045" s="40"/>
      <c r="I1045" s="40"/>
      <c r="J1045" s="40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  <c r="Y1045" s="40"/>
      <c r="Z1045" s="40"/>
    </row>
    <row r="1046">
      <c r="A1046" s="40"/>
      <c r="B1046" s="40"/>
      <c r="C1046" s="179"/>
      <c r="D1046" s="40"/>
      <c r="E1046" s="40"/>
      <c r="F1046" s="40"/>
      <c r="G1046" s="40"/>
      <c r="H1046" s="40"/>
      <c r="I1046" s="40"/>
      <c r="J1046" s="40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</row>
    <row r="1047">
      <c r="A1047" s="40"/>
      <c r="B1047" s="40"/>
      <c r="C1047" s="179"/>
      <c r="D1047" s="40"/>
      <c r="E1047" s="40"/>
      <c r="F1047" s="40"/>
      <c r="G1047" s="40"/>
      <c r="H1047" s="40"/>
      <c r="I1047" s="40"/>
      <c r="J1047" s="40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  <c r="Y1047" s="40"/>
      <c r="Z1047" s="40"/>
    </row>
    <row r="1048">
      <c r="A1048" s="40"/>
      <c r="B1048" s="40"/>
      <c r="C1048" s="179"/>
      <c r="D1048" s="40"/>
      <c r="E1048" s="40"/>
      <c r="F1048" s="40"/>
      <c r="G1048" s="40"/>
      <c r="H1048" s="40"/>
      <c r="I1048" s="40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  <c r="Y1048" s="40"/>
      <c r="Z1048" s="40"/>
    </row>
    <row r="1049">
      <c r="A1049" s="40"/>
      <c r="B1049" s="40"/>
      <c r="C1049" s="179"/>
      <c r="D1049" s="40"/>
      <c r="E1049" s="40"/>
      <c r="F1049" s="40"/>
      <c r="G1049" s="40"/>
      <c r="H1049" s="40"/>
      <c r="I1049" s="40"/>
      <c r="J1049" s="40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  <c r="Y1049" s="40"/>
      <c r="Z1049" s="40"/>
    </row>
    <row r="1050">
      <c r="A1050" s="40"/>
      <c r="B1050" s="40"/>
      <c r="C1050" s="179"/>
      <c r="D1050" s="40"/>
      <c r="E1050" s="40"/>
      <c r="F1050" s="40"/>
      <c r="G1050" s="40"/>
      <c r="H1050" s="40"/>
      <c r="I1050" s="40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  <c r="Y1050" s="40"/>
      <c r="Z1050" s="40"/>
    </row>
    <row r="1051">
      <c r="A1051" s="40"/>
      <c r="B1051" s="40"/>
      <c r="C1051" s="179"/>
      <c r="D1051" s="40"/>
      <c r="E1051" s="40"/>
      <c r="F1051" s="40"/>
      <c r="G1051" s="40"/>
      <c r="H1051" s="40"/>
      <c r="I1051" s="40"/>
      <c r="J1051" s="40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/>
      <c r="Z1051" s="40"/>
    </row>
    <row r="1052">
      <c r="A1052" s="40"/>
      <c r="B1052" s="40"/>
      <c r="C1052" s="179"/>
      <c r="D1052" s="40"/>
      <c r="E1052" s="40"/>
      <c r="F1052" s="40"/>
      <c r="G1052" s="40"/>
      <c r="H1052" s="40"/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  <c r="Y1052" s="40"/>
      <c r="Z1052" s="40"/>
    </row>
    <row r="1053">
      <c r="A1053" s="40"/>
      <c r="B1053" s="40"/>
      <c r="C1053" s="179"/>
      <c r="D1053" s="40"/>
      <c r="E1053" s="40"/>
      <c r="F1053" s="40"/>
      <c r="G1053" s="40"/>
      <c r="H1053" s="40"/>
      <c r="I1053" s="40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  <c r="Y1053" s="40"/>
      <c r="Z1053" s="40"/>
    </row>
    <row r="1054">
      <c r="A1054" s="40"/>
      <c r="B1054" s="40"/>
      <c r="C1054" s="179"/>
      <c r="D1054" s="40"/>
      <c r="E1054" s="40"/>
      <c r="F1054" s="40"/>
      <c r="G1054" s="40"/>
      <c r="H1054" s="40"/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0"/>
    </row>
    <row r="1055">
      <c r="A1055" s="40"/>
      <c r="B1055" s="40"/>
      <c r="C1055" s="179"/>
      <c r="D1055" s="40"/>
      <c r="E1055" s="40"/>
      <c r="F1055" s="40"/>
      <c r="G1055" s="40"/>
      <c r="H1055" s="40"/>
      <c r="I1055" s="40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  <c r="Y1055" s="40"/>
      <c r="Z1055" s="40"/>
    </row>
    <row r="1056">
      <c r="A1056" s="40"/>
      <c r="B1056" s="40"/>
      <c r="C1056" s="179"/>
      <c r="D1056" s="40"/>
      <c r="E1056" s="40"/>
      <c r="F1056" s="40"/>
      <c r="G1056" s="40"/>
      <c r="H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/>
      <c r="Z1056" s="40"/>
    </row>
    <row r="1057">
      <c r="A1057" s="40"/>
      <c r="B1057" s="40"/>
      <c r="C1057" s="179"/>
      <c r="D1057" s="40"/>
      <c r="E1057" s="40"/>
      <c r="F1057" s="40"/>
      <c r="G1057" s="40"/>
      <c r="H1057" s="40"/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  <c r="Y1057" s="40"/>
      <c r="Z1057" s="40"/>
    </row>
    <row r="1058">
      <c r="A1058" s="40"/>
      <c r="B1058" s="40"/>
      <c r="C1058" s="179"/>
      <c r="D1058" s="40"/>
      <c r="E1058" s="40"/>
      <c r="F1058" s="40"/>
      <c r="G1058" s="40"/>
      <c r="H1058" s="40"/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  <c r="Y1058" s="40"/>
      <c r="Z1058" s="40"/>
    </row>
    <row r="1059">
      <c r="A1059" s="40"/>
      <c r="B1059" s="40"/>
      <c r="C1059" s="179"/>
      <c r="D1059" s="40"/>
      <c r="E1059" s="40"/>
      <c r="F1059" s="40"/>
      <c r="G1059" s="40"/>
      <c r="H1059" s="40"/>
      <c r="I1059" s="40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</row>
    <row r="1060">
      <c r="A1060" s="40"/>
      <c r="B1060" s="40"/>
      <c r="C1060" s="179"/>
      <c r="D1060" s="40"/>
      <c r="E1060" s="40"/>
      <c r="F1060" s="40"/>
      <c r="G1060" s="40"/>
      <c r="H1060" s="40"/>
      <c r="I1060" s="40"/>
      <c r="J1060" s="40"/>
      <c r="K1060" s="40"/>
      <c r="L1060" s="40"/>
      <c r="M1060" s="40"/>
      <c r="N1060" s="40"/>
      <c r="O1060" s="40"/>
      <c r="P1060" s="40"/>
      <c r="Q1060" s="40"/>
      <c r="R1060" s="40"/>
      <c r="S1060" s="40"/>
      <c r="T1060" s="40"/>
      <c r="U1060" s="40"/>
      <c r="V1060" s="40"/>
      <c r="W1060" s="40"/>
      <c r="X1060" s="40"/>
      <c r="Y1060" s="40"/>
      <c r="Z1060" s="40"/>
    </row>
    <row r="1061">
      <c r="A1061" s="40"/>
      <c r="B1061" s="40"/>
      <c r="C1061" s="179"/>
      <c r="D1061" s="40"/>
      <c r="E1061" s="40"/>
      <c r="F1061" s="40"/>
      <c r="G1061" s="40"/>
      <c r="H1061" s="40"/>
      <c r="I1061" s="40"/>
      <c r="J1061" s="40"/>
      <c r="K1061" s="40"/>
      <c r="L1061" s="40"/>
      <c r="M1061" s="40"/>
      <c r="N1061" s="40"/>
      <c r="O1061" s="40"/>
      <c r="P1061" s="40"/>
      <c r="Q1061" s="40"/>
      <c r="R1061" s="40"/>
      <c r="S1061" s="40"/>
      <c r="T1061" s="40"/>
      <c r="U1061" s="40"/>
      <c r="V1061" s="40"/>
      <c r="W1061" s="40"/>
      <c r="X1061" s="40"/>
      <c r="Y1061" s="40"/>
      <c r="Z1061" s="40"/>
    </row>
    <row r="1062">
      <c r="A1062" s="40"/>
      <c r="B1062" s="40"/>
      <c r="C1062" s="179"/>
      <c r="D1062" s="40"/>
      <c r="E1062" s="40"/>
      <c r="F1062" s="40"/>
      <c r="G1062" s="40"/>
      <c r="H1062" s="40"/>
      <c r="I1062" s="40"/>
      <c r="J1062" s="40"/>
      <c r="K1062" s="40"/>
      <c r="L1062" s="40"/>
      <c r="M1062" s="40"/>
      <c r="N1062" s="40"/>
      <c r="O1062" s="40"/>
      <c r="P1062" s="40"/>
      <c r="Q1062" s="40"/>
      <c r="R1062" s="40"/>
      <c r="S1062" s="40"/>
      <c r="T1062" s="40"/>
      <c r="U1062" s="40"/>
      <c r="V1062" s="40"/>
      <c r="W1062" s="40"/>
      <c r="X1062" s="40"/>
      <c r="Y1062" s="40"/>
      <c r="Z1062" s="40"/>
    </row>
    <row r="1063">
      <c r="A1063" s="40"/>
      <c r="B1063" s="40"/>
      <c r="C1063" s="179"/>
      <c r="D1063" s="40"/>
      <c r="E1063" s="40"/>
      <c r="F1063" s="40"/>
      <c r="G1063" s="40"/>
      <c r="H1063" s="40"/>
      <c r="I1063" s="40"/>
      <c r="J1063" s="40"/>
      <c r="K1063" s="40"/>
      <c r="L1063" s="40"/>
      <c r="M1063" s="40"/>
      <c r="N1063" s="40"/>
      <c r="O1063" s="40"/>
      <c r="P1063" s="40"/>
      <c r="Q1063" s="40"/>
      <c r="R1063" s="40"/>
      <c r="S1063" s="40"/>
      <c r="T1063" s="40"/>
      <c r="U1063" s="40"/>
      <c r="V1063" s="40"/>
      <c r="W1063" s="40"/>
      <c r="X1063" s="40"/>
      <c r="Y1063" s="40"/>
      <c r="Z1063" s="40"/>
    </row>
    <row r="1064">
      <c r="A1064" s="40"/>
      <c r="B1064" s="40"/>
      <c r="C1064" s="179"/>
      <c r="D1064" s="40"/>
      <c r="E1064" s="40"/>
      <c r="F1064" s="40"/>
      <c r="G1064" s="40"/>
      <c r="H1064" s="40"/>
      <c r="I1064" s="40"/>
      <c r="J1064" s="40"/>
      <c r="K1064" s="40"/>
      <c r="L1064" s="40"/>
      <c r="M1064" s="40"/>
      <c r="N1064" s="40"/>
      <c r="O1064" s="40"/>
      <c r="P1064" s="40"/>
      <c r="Q1064" s="40"/>
      <c r="R1064" s="40"/>
      <c r="S1064" s="40"/>
      <c r="T1064" s="40"/>
      <c r="U1064" s="40"/>
      <c r="V1064" s="40"/>
      <c r="W1064" s="40"/>
      <c r="X1064" s="40"/>
      <c r="Y1064" s="40"/>
      <c r="Z1064" s="40"/>
    </row>
    <row r="1065">
      <c r="A1065" s="40"/>
      <c r="B1065" s="40"/>
      <c r="C1065" s="179"/>
      <c r="D1065" s="40"/>
      <c r="E1065" s="40"/>
      <c r="F1065" s="40"/>
      <c r="G1065" s="40"/>
      <c r="H1065" s="40"/>
      <c r="I1065" s="40"/>
      <c r="J1065" s="40"/>
      <c r="K1065" s="40"/>
      <c r="L1065" s="40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  <c r="W1065" s="40"/>
      <c r="X1065" s="40"/>
      <c r="Y1065" s="40"/>
      <c r="Z1065" s="40"/>
    </row>
    <row r="1066">
      <c r="A1066" s="40"/>
      <c r="B1066" s="40"/>
      <c r="C1066" s="179"/>
      <c r="D1066" s="40"/>
      <c r="E1066" s="40"/>
      <c r="F1066" s="40"/>
      <c r="G1066" s="40"/>
      <c r="H1066" s="40"/>
      <c r="I1066" s="40"/>
      <c r="J1066" s="40"/>
      <c r="K1066" s="40"/>
      <c r="L1066" s="40"/>
      <c r="M1066" s="40"/>
      <c r="N1066" s="40"/>
      <c r="O1066" s="40"/>
      <c r="P1066" s="40"/>
      <c r="Q1066" s="40"/>
      <c r="R1066" s="40"/>
      <c r="S1066" s="40"/>
      <c r="T1066" s="40"/>
      <c r="U1066" s="40"/>
      <c r="V1066" s="40"/>
      <c r="W1066" s="40"/>
      <c r="X1066" s="40"/>
      <c r="Y1066" s="40"/>
      <c r="Z1066" s="40"/>
    </row>
    <row r="1067">
      <c r="A1067" s="40"/>
      <c r="B1067" s="40"/>
      <c r="C1067" s="179"/>
      <c r="D1067" s="40"/>
      <c r="E1067" s="40"/>
      <c r="F1067" s="40"/>
      <c r="G1067" s="40"/>
      <c r="H1067" s="40"/>
      <c r="I1067" s="40"/>
      <c r="J1067" s="40"/>
      <c r="K1067" s="40"/>
      <c r="L1067" s="40"/>
      <c r="M1067" s="40"/>
      <c r="N1067" s="40"/>
      <c r="O1067" s="40"/>
      <c r="P1067" s="40"/>
      <c r="Q1067" s="40"/>
      <c r="R1067" s="40"/>
      <c r="S1067" s="40"/>
      <c r="T1067" s="40"/>
      <c r="U1067" s="40"/>
      <c r="V1067" s="40"/>
      <c r="W1067" s="40"/>
      <c r="X1067" s="40"/>
      <c r="Y1067" s="40"/>
      <c r="Z1067" s="40"/>
    </row>
    <row r="1068">
      <c r="A1068" s="40"/>
      <c r="B1068" s="40"/>
      <c r="C1068" s="179"/>
      <c r="D1068" s="40"/>
      <c r="E1068" s="40"/>
      <c r="F1068" s="40"/>
      <c r="G1068" s="40"/>
      <c r="H1068" s="40"/>
      <c r="I1068" s="40"/>
      <c r="J1068" s="40"/>
      <c r="K1068" s="40"/>
      <c r="L1068" s="40"/>
      <c r="M1068" s="40"/>
      <c r="N1068" s="40"/>
      <c r="O1068" s="40"/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0"/>
    </row>
    <row r="1069">
      <c r="A1069" s="40"/>
      <c r="B1069" s="40"/>
      <c r="C1069" s="179"/>
      <c r="D1069" s="40"/>
      <c r="E1069" s="40"/>
      <c r="F1069" s="40"/>
      <c r="G1069" s="40"/>
      <c r="H1069" s="40"/>
      <c r="I1069" s="40"/>
      <c r="J1069" s="40"/>
      <c r="K1069" s="40"/>
      <c r="L1069" s="40"/>
      <c r="M1069" s="40"/>
      <c r="N1069" s="40"/>
      <c r="O1069" s="40"/>
      <c r="P1069" s="40"/>
      <c r="Q1069" s="40"/>
      <c r="R1069" s="40"/>
      <c r="S1069" s="40"/>
      <c r="T1069" s="40"/>
      <c r="U1069" s="40"/>
      <c r="V1069" s="40"/>
      <c r="W1069" s="40"/>
      <c r="X1069" s="40"/>
      <c r="Y1069" s="40"/>
      <c r="Z1069" s="40"/>
    </row>
    <row r="1070">
      <c r="A1070" s="40"/>
      <c r="B1070" s="40"/>
      <c r="C1070" s="179"/>
      <c r="D1070" s="40"/>
      <c r="E1070" s="40"/>
      <c r="F1070" s="40"/>
      <c r="G1070" s="40"/>
      <c r="H1070" s="40"/>
      <c r="I1070" s="40"/>
      <c r="J1070" s="40"/>
      <c r="K1070" s="40"/>
      <c r="L1070" s="40"/>
      <c r="M1070" s="40"/>
      <c r="N1070" s="40"/>
      <c r="O1070" s="40"/>
      <c r="P1070" s="40"/>
      <c r="Q1070" s="40"/>
      <c r="R1070" s="40"/>
      <c r="S1070" s="40"/>
      <c r="T1070" s="40"/>
      <c r="U1070" s="40"/>
      <c r="V1070" s="40"/>
      <c r="W1070" s="40"/>
      <c r="X1070" s="40"/>
      <c r="Y1070" s="40"/>
      <c r="Z1070" s="40"/>
    </row>
    <row r="1071">
      <c r="A1071" s="40"/>
      <c r="B1071" s="40"/>
      <c r="C1071" s="179"/>
      <c r="D1071" s="40"/>
      <c r="E1071" s="40"/>
      <c r="F1071" s="40"/>
      <c r="G1071" s="40"/>
      <c r="H1071" s="40"/>
      <c r="I1071" s="40"/>
      <c r="J1071" s="40"/>
      <c r="K1071" s="40"/>
      <c r="L1071" s="40"/>
      <c r="M1071" s="40"/>
      <c r="N1071" s="40"/>
      <c r="O1071" s="40"/>
      <c r="P1071" s="40"/>
      <c r="Q1071" s="40"/>
      <c r="R1071" s="40"/>
      <c r="S1071" s="40"/>
      <c r="T1071" s="40"/>
      <c r="U1071" s="40"/>
      <c r="V1071" s="40"/>
      <c r="W1071" s="40"/>
      <c r="X1071" s="40"/>
      <c r="Y1071" s="40"/>
      <c r="Z1071" s="40"/>
    </row>
    <row r="1072">
      <c r="A1072" s="40"/>
      <c r="B1072" s="40"/>
      <c r="C1072" s="179"/>
      <c r="D1072" s="40"/>
      <c r="E1072" s="40"/>
      <c r="F1072" s="40"/>
      <c r="G1072" s="40"/>
      <c r="H1072" s="40"/>
      <c r="I1072" s="40"/>
      <c r="J1072" s="40"/>
      <c r="K1072" s="40"/>
      <c r="L1072" s="40"/>
      <c r="M1072" s="40"/>
      <c r="N1072" s="40"/>
      <c r="O1072" s="40"/>
      <c r="P1072" s="40"/>
      <c r="Q1072" s="40"/>
      <c r="R1072" s="40"/>
      <c r="S1072" s="40"/>
      <c r="T1072" s="40"/>
      <c r="U1072" s="40"/>
      <c r="V1072" s="40"/>
      <c r="W1072" s="40"/>
      <c r="X1072" s="40"/>
      <c r="Y1072" s="40"/>
      <c r="Z1072" s="40"/>
    </row>
    <row r="1073">
      <c r="A1073" s="40"/>
      <c r="B1073" s="40"/>
      <c r="C1073" s="179"/>
      <c r="D1073" s="40"/>
      <c r="E1073" s="40"/>
      <c r="F1073" s="40"/>
      <c r="G1073" s="40"/>
      <c r="H1073" s="40"/>
      <c r="I1073" s="40"/>
      <c r="J1073" s="40"/>
      <c r="K1073" s="40"/>
      <c r="L1073" s="40"/>
      <c r="M1073" s="40"/>
      <c r="N1073" s="40"/>
      <c r="O1073" s="40"/>
      <c r="P1073" s="40"/>
      <c r="Q1073" s="40"/>
      <c r="R1073" s="40"/>
      <c r="S1073" s="40"/>
      <c r="T1073" s="40"/>
      <c r="U1073" s="40"/>
      <c r="V1073" s="40"/>
      <c r="W1073" s="40"/>
      <c r="X1073" s="40"/>
      <c r="Y1073" s="40"/>
      <c r="Z1073" s="40"/>
    </row>
    <row r="1074">
      <c r="A1074" s="40"/>
      <c r="B1074" s="40"/>
      <c r="C1074" s="179"/>
      <c r="D1074" s="40"/>
      <c r="E1074" s="40"/>
      <c r="F1074" s="40"/>
      <c r="G1074" s="40"/>
      <c r="H1074" s="40"/>
      <c r="I1074" s="40"/>
      <c r="J1074" s="40"/>
      <c r="K1074" s="40"/>
      <c r="L1074" s="40"/>
      <c r="M1074" s="40"/>
      <c r="N1074" s="40"/>
      <c r="O1074" s="40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</row>
    <row r="1075">
      <c r="A1075" s="40"/>
      <c r="B1075" s="40"/>
      <c r="C1075" s="179"/>
      <c r="D1075" s="40"/>
      <c r="E1075" s="40"/>
      <c r="F1075" s="40"/>
      <c r="G1075" s="40"/>
      <c r="H1075" s="40"/>
      <c r="I1075" s="40"/>
      <c r="J1075" s="40"/>
      <c r="K1075" s="40"/>
      <c r="L1075" s="40"/>
      <c r="M1075" s="40"/>
      <c r="N1075" s="40"/>
      <c r="O1075" s="40"/>
      <c r="P1075" s="40"/>
      <c r="Q1075" s="40"/>
      <c r="R1075" s="40"/>
      <c r="S1075" s="40"/>
      <c r="T1075" s="40"/>
      <c r="U1075" s="40"/>
      <c r="V1075" s="40"/>
      <c r="W1075" s="40"/>
      <c r="X1075" s="40"/>
      <c r="Y1075" s="40"/>
      <c r="Z1075" s="40"/>
    </row>
    <row r="1076">
      <c r="A1076" s="40"/>
      <c r="B1076" s="40"/>
      <c r="C1076" s="179"/>
      <c r="D1076" s="40"/>
      <c r="E1076" s="40"/>
      <c r="F1076" s="40"/>
      <c r="G1076" s="40"/>
      <c r="H1076" s="40"/>
      <c r="I1076" s="40"/>
      <c r="J1076" s="40"/>
      <c r="K1076" s="40"/>
      <c r="L1076" s="40"/>
      <c r="M1076" s="40"/>
      <c r="N1076" s="40"/>
      <c r="O1076" s="40"/>
      <c r="P1076" s="40"/>
      <c r="Q1076" s="40"/>
      <c r="R1076" s="40"/>
      <c r="S1076" s="40"/>
      <c r="T1076" s="40"/>
      <c r="U1076" s="40"/>
      <c r="V1076" s="40"/>
      <c r="W1076" s="40"/>
      <c r="X1076" s="40"/>
      <c r="Y1076" s="40"/>
      <c r="Z1076" s="40"/>
    </row>
    <row r="1077">
      <c r="A1077" s="40"/>
      <c r="B1077" s="40"/>
      <c r="C1077" s="179"/>
      <c r="D1077" s="40"/>
      <c r="E1077" s="40"/>
      <c r="F1077" s="40"/>
      <c r="G1077" s="40"/>
      <c r="H1077" s="40"/>
      <c r="I1077" s="40"/>
      <c r="J1077" s="40"/>
      <c r="K1077" s="40"/>
      <c r="L1077" s="40"/>
      <c r="M1077" s="40"/>
      <c r="N1077" s="40"/>
      <c r="O1077" s="40"/>
      <c r="P1077" s="40"/>
      <c r="Q1077" s="40"/>
      <c r="R1077" s="40"/>
      <c r="S1077" s="40"/>
      <c r="T1077" s="40"/>
      <c r="U1077" s="40"/>
      <c r="V1077" s="40"/>
      <c r="W1077" s="40"/>
      <c r="X1077" s="40"/>
      <c r="Y1077" s="40"/>
      <c r="Z1077" s="40"/>
    </row>
    <row r="1078">
      <c r="A1078" s="40"/>
      <c r="B1078" s="40"/>
      <c r="C1078" s="179"/>
      <c r="D1078" s="40"/>
      <c r="E1078" s="40"/>
      <c r="F1078" s="40"/>
      <c r="G1078" s="40"/>
      <c r="H1078" s="40"/>
      <c r="I1078" s="40"/>
      <c r="J1078" s="40"/>
      <c r="K1078" s="40"/>
      <c r="L1078" s="40"/>
      <c r="M1078" s="40"/>
      <c r="N1078" s="40"/>
      <c r="O1078" s="40"/>
      <c r="P1078" s="40"/>
      <c r="Q1078" s="40"/>
      <c r="R1078" s="40"/>
      <c r="S1078" s="40"/>
      <c r="T1078" s="40"/>
      <c r="U1078" s="40"/>
      <c r="V1078" s="40"/>
      <c r="W1078" s="40"/>
      <c r="X1078" s="40"/>
      <c r="Y1078" s="40"/>
      <c r="Z1078" s="40"/>
    </row>
    <row r="1079">
      <c r="A1079" s="40"/>
      <c r="B1079" s="40"/>
      <c r="C1079" s="179"/>
      <c r="D1079" s="40"/>
      <c r="E1079" s="40"/>
      <c r="F1079" s="40"/>
      <c r="G1079" s="40"/>
      <c r="H1079" s="40"/>
      <c r="I1079" s="40"/>
      <c r="J1079" s="40"/>
      <c r="K1079" s="40"/>
      <c r="L1079" s="40"/>
      <c r="M1079" s="40"/>
      <c r="N1079" s="40"/>
      <c r="O1079" s="40"/>
      <c r="P1079" s="40"/>
      <c r="Q1079" s="40"/>
      <c r="R1079" s="40"/>
      <c r="S1079" s="40"/>
      <c r="T1079" s="40"/>
      <c r="U1079" s="40"/>
      <c r="V1079" s="40"/>
      <c r="W1079" s="40"/>
      <c r="X1079" s="40"/>
      <c r="Y1079" s="40"/>
      <c r="Z1079" s="40"/>
    </row>
    <row r="1080">
      <c r="A1080" s="40"/>
      <c r="B1080" s="40"/>
      <c r="C1080" s="179"/>
      <c r="D1080" s="40"/>
      <c r="E1080" s="40"/>
      <c r="F1080" s="40"/>
      <c r="G1080" s="40"/>
      <c r="H1080" s="40"/>
      <c r="I1080" s="40"/>
      <c r="J1080" s="40"/>
      <c r="K1080" s="40"/>
      <c r="L1080" s="40"/>
      <c r="M1080" s="40"/>
      <c r="N1080" s="40"/>
      <c r="O1080" s="40"/>
      <c r="P1080" s="40"/>
      <c r="Q1080" s="40"/>
      <c r="R1080" s="40"/>
      <c r="S1080" s="40"/>
      <c r="T1080" s="40"/>
      <c r="U1080" s="40"/>
      <c r="V1080" s="40"/>
      <c r="W1080" s="40"/>
      <c r="X1080" s="40"/>
      <c r="Y1080" s="40"/>
      <c r="Z1080" s="40"/>
    </row>
    <row r="1081">
      <c r="A1081" s="40"/>
      <c r="B1081" s="40"/>
      <c r="C1081" s="179"/>
      <c r="D1081" s="40"/>
      <c r="E1081" s="40"/>
      <c r="F1081" s="40"/>
      <c r="G1081" s="40"/>
      <c r="H1081" s="40"/>
      <c r="I1081" s="40"/>
      <c r="J1081" s="40"/>
      <c r="K1081" s="40"/>
      <c r="L1081" s="40"/>
      <c r="M1081" s="40"/>
      <c r="N1081" s="40"/>
      <c r="O1081" s="40"/>
      <c r="P1081" s="40"/>
      <c r="Q1081" s="40"/>
      <c r="R1081" s="40"/>
      <c r="S1081" s="40"/>
      <c r="T1081" s="40"/>
      <c r="U1081" s="40"/>
      <c r="V1081" s="40"/>
      <c r="W1081" s="40"/>
      <c r="X1081" s="40"/>
      <c r="Y1081" s="40"/>
      <c r="Z1081" s="40"/>
    </row>
    <row r="1082">
      <c r="A1082" s="40"/>
      <c r="B1082" s="40"/>
      <c r="C1082" s="179"/>
      <c r="D1082" s="40"/>
      <c r="E1082" s="40"/>
      <c r="F1082" s="40"/>
      <c r="G1082" s="40"/>
      <c r="H1082" s="40"/>
      <c r="I1082" s="40"/>
      <c r="J1082" s="40"/>
      <c r="K1082" s="40"/>
      <c r="L1082" s="40"/>
      <c r="M1082" s="40"/>
      <c r="N1082" s="40"/>
      <c r="O1082" s="40"/>
      <c r="P1082" s="40"/>
      <c r="Q1082" s="40"/>
      <c r="R1082" s="40"/>
      <c r="S1082" s="40"/>
      <c r="T1082" s="40"/>
      <c r="U1082" s="40"/>
      <c r="V1082" s="40"/>
      <c r="W1082" s="40"/>
      <c r="X1082" s="40"/>
      <c r="Y1082" s="40"/>
      <c r="Z1082" s="40"/>
    </row>
    <row r="1083">
      <c r="A1083" s="40"/>
      <c r="B1083" s="40"/>
      <c r="C1083" s="179"/>
      <c r="D1083" s="40"/>
      <c r="E1083" s="40"/>
      <c r="F1083" s="40"/>
      <c r="G1083" s="40"/>
      <c r="H1083" s="40"/>
      <c r="I1083" s="40"/>
      <c r="J1083" s="40"/>
      <c r="K1083" s="40"/>
      <c r="L1083" s="40"/>
      <c r="M1083" s="40"/>
      <c r="N1083" s="40"/>
      <c r="O1083" s="40"/>
      <c r="P1083" s="40"/>
      <c r="Q1083" s="40"/>
      <c r="R1083" s="40"/>
      <c r="S1083" s="40"/>
      <c r="T1083" s="40"/>
      <c r="U1083" s="40"/>
      <c r="V1083" s="40"/>
      <c r="W1083" s="40"/>
      <c r="X1083" s="40"/>
      <c r="Y1083" s="40"/>
      <c r="Z1083" s="40"/>
    </row>
    <row r="1084">
      <c r="A1084" s="40"/>
      <c r="B1084" s="40"/>
      <c r="C1084" s="179"/>
      <c r="D1084" s="40"/>
      <c r="E1084" s="40"/>
      <c r="F1084" s="40"/>
      <c r="G1084" s="40"/>
      <c r="H1084" s="40"/>
      <c r="I1084" s="40"/>
      <c r="J1084" s="40"/>
      <c r="K1084" s="40"/>
      <c r="L1084" s="40"/>
      <c r="M1084" s="40"/>
      <c r="N1084" s="40"/>
      <c r="O1084" s="40"/>
      <c r="P1084" s="40"/>
      <c r="Q1084" s="40"/>
      <c r="R1084" s="40"/>
      <c r="S1084" s="40"/>
      <c r="T1084" s="40"/>
      <c r="U1084" s="40"/>
      <c r="V1084" s="40"/>
      <c r="W1084" s="40"/>
      <c r="X1084" s="40"/>
      <c r="Y1084" s="40"/>
      <c r="Z1084" s="40"/>
    </row>
    <row r="1085">
      <c r="A1085" s="40"/>
      <c r="B1085" s="40"/>
      <c r="C1085" s="179"/>
      <c r="D1085" s="40"/>
      <c r="E1085" s="40"/>
      <c r="F1085" s="40"/>
      <c r="G1085" s="40"/>
      <c r="H1085" s="40"/>
      <c r="I1085" s="40"/>
      <c r="J1085" s="40"/>
      <c r="K1085" s="40"/>
      <c r="L1085" s="40"/>
      <c r="M1085" s="40"/>
      <c r="N1085" s="40"/>
      <c r="O1085" s="40"/>
      <c r="P1085" s="40"/>
      <c r="Q1085" s="40"/>
      <c r="R1085" s="40"/>
      <c r="S1085" s="40"/>
      <c r="T1085" s="40"/>
      <c r="U1085" s="40"/>
      <c r="V1085" s="40"/>
      <c r="W1085" s="40"/>
      <c r="X1085" s="40"/>
      <c r="Y1085" s="40"/>
      <c r="Z1085" s="40"/>
    </row>
    <row r="1086">
      <c r="A1086" s="40"/>
      <c r="B1086" s="40"/>
      <c r="C1086" s="179"/>
      <c r="D1086" s="40"/>
      <c r="E1086" s="40"/>
      <c r="F1086" s="40"/>
      <c r="G1086" s="40"/>
      <c r="H1086" s="40"/>
      <c r="I1086" s="40"/>
      <c r="J1086" s="40"/>
      <c r="K1086" s="40"/>
      <c r="L1086" s="40"/>
      <c r="M1086" s="40"/>
      <c r="N1086" s="40"/>
      <c r="O1086" s="40"/>
      <c r="P1086" s="40"/>
      <c r="Q1086" s="40"/>
      <c r="R1086" s="40"/>
      <c r="S1086" s="40"/>
      <c r="T1086" s="40"/>
      <c r="U1086" s="40"/>
      <c r="V1086" s="40"/>
      <c r="W1086" s="40"/>
      <c r="X1086" s="40"/>
      <c r="Y1086" s="40"/>
      <c r="Z1086" s="40"/>
    </row>
    <row r="1087">
      <c r="A1087" s="40"/>
      <c r="B1087" s="40"/>
      <c r="C1087" s="179"/>
      <c r="D1087" s="40"/>
      <c r="E1087" s="40"/>
      <c r="F1087" s="40"/>
      <c r="G1087" s="40"/>
      <c r="H1087" s="40"/>
      <c r="I1087" s="40"/>
      <c r="J1087" s="40"/>
      <c r="K1087" s="40"/>
      <c r="L1087" s="40"/>
      <c r="M1087" s="40"/>
      <c r="N1087" s="40"/>
      <c r="O1087" s="40"/>
      <c r="P1087" s="40"/>
      <c r="Q1087" s="40"/>
      <c r="R1087" s="40"/>
      <c r="S1087" s="40"/>
      <c r="T1087" s="40"/>
      <c r="U1087" s="40"/>
      <c r="V1087" s="40"/>
      <c r="W1087" s="40"/>
      <c r="X1087" s="40"/>
      <c r="Y1087" s="40"/>
      <c r="Z1087" s="40"/>
    </row>
    <row r="1088">
      <c r="A1088" s="40"/>
      <c r="B1088" s="40"/>
      <c r="C1088" s="179"/>
      <c r="D1088" s="40"/>
      <c r="E1088" s="40"/>
      <c r="F1088" s="40"/>
      <c r="G1088" s="40"/>
      <c r="H1088" s="40"/>
      <c r="I1088" s="40"/>
      <c r="J1088" s="40"/>
      <c r="K1088" s="40"/>
      <c r="L1088" s="40"/>
      <c r="M1088" s="40"/>
      <c r="N1088" s="40"/>
      <c r="O1088" s="40"/>
      <c r="P1088" s="40"/>
      <c r="Q1088" s="40"/>
      <c r="R1088" s="40"/>
      <c r="S1088" s="40"/>
      <c r="T1088" s="40"/>
      <c r="U1088" s="40"/>
      <c r="V1088" s="40"/>
      <c r="W1088" s="40"/>
      <c r="X1088" s="40"/>
      <c r="Y1088" s="40"/>
      <c r="Z1088" s="40"/>
    </row>
    <row r="1089">
      <c r="A1089" s="40"/>
      <c r="B1089" s="40"/>
      <c r="C1089" s="179"/>
      <c r="D1089" s="40"/>
      <c r="E1089" s="40"/>
      <c r="F1089" s="40"/>
      <c r="G1089" s="40"/>
      <c r="H1089" s="40"/>
      <c r="I1089" s="40"/>
      <c r="J1089" s="40"/>
      <c r="K1089" s="40"/>
      <c r="L1089" s="40"/>
      <c r="M1089" s="40"/>
      <c r="N1089" s="40"/>
      <c r="O1089" s="40"/>
      <c r="P1089" s="40"/>
      <c r="Q1089" s="40"/>
      <c r="R1089" s="40"/>
      <c r="S1089" s="40"/>
      <c r="T1089" s="40"/>
      <c r="U1089" s="40"/>
      <c r="V1089" s="40"/>
      <c r="W1089" s="40"/>
      <c r="X1089" s="40"/>
      <c r="Y1089" s="40"/>
      <c r="Z1089" s="40"/>
    </row>
    <row r="1090">
      <c r="A1090" s="40"/>
      <c r="B1090" s="40"/>
      <c r="C1090" s="179"/>
      <c r="D1090" s="40"/>
      <c r="E1090" s="40"/>
      <c r="F1090" s="40"/>
      <c r="G1090" s="40"/>
      <c r="H1090" s="40"/>
      <c r="I1090" s="40"/>
      <c r="J1090" s="40"/>
      <c r="K1090" s="40"/>
      <c r="L1090" s="40"/>
      <c r="M1090" s="40"/>
      <c r="N1090" s="40"/>
      <c r="O1090" s="40"/>
      <c r="P1090" s="40"/>
      <c r="Q1090" s="40"/>
      <c r="R1090" s="40"/>
      <c r="S1090" s="40"/>
      <c r="T1090" s="40"/>
      <c r="U1090" s="40"/>
      <c r="V1090" s="40"/>
      <c r="W1090" s="40"/>
      <c r="X1090" s="40"/>
      <c r="Y1090" s="40"/>
      <c r="Z1090" s="40"/>
    </row>
    <row r="1091">
      <c r="A1091" s="40"/>
      <c r="B1091" s="40"/>
      <c r="C1091" s="179"/>
      <c r="D1091" s="40"/>
      <c r="E1091" s="40"/>
      <c r="F1091" s="40"/>
      <c r="G1091" s="40"/>
      <c r="H1091" s="40"/>
      <c r="I1091" s="40"/>
      <c r="J1091" s="40"/>
      <c r="K1091" s="40"/>
      <c r="L1091" s="40"/>
      <c r="M1091" s="40"/>
      <c r="N1091" s="40"/>
      <c r="O1091" s="40"/>
      <c r="P1091" s="40"/>
      <c r="Q1091" s="40"/>
      <c r="R1091" s="40"/>
      <c r="S1091" s="40"/>
      <c r="T1091" s="40"/>
      <c r="U1091" s="40"/>
      <c r="V1091" s="40"/>
      <c r="W1091" s="40"/>
      <c r="X1091" s="40"/>
      <c r="Y1091" s="40"/>
      <c r="Z1091" s="40"/>
    </row>
    <row r="1092">
      <c r="A1092" s="40"/>
      <c r="B1092" s="40"/>
      <c r="C1092" s="179"/>
      <c r="D1092" s="40"/>
      <c r="E1092" s="40"/>
      <c r="F1092" s="40"/>
      <c r="G1092" s="40"/>
      <c r="H1092" s="40"/>
      <c r="I1092" s="40"/>
      <c r="J1092" s="40"/>
      <c r="K1092" s="40"/>
      <c r="L1092" s="40"/>
      <c r="M1092" s="40"/>
      <c r="N1092" s="40"/>
      <c r="O1092" s="40"/>
      <c r="P1092" s="40"/>
      <c r="Q1092" s="40"/>
      <c r="R1092" s="40"/>
      <c r="S1092" s="40"/>
      <c r="T1092" s="40"/>
      <c r="U1092" s="40"/>
      <c r="V1092" s="40"/>
      <c r="W1092" s="40"/>
      <c r="X1092" s="40"/>
      <c r="Y1092" s="40"/>
      <c r="Z1092" s="40"/>
    </row>
    <row r="1093">
      <c r="A1093" s="40"/>
      <c r="B1093" s="40"/>
      <c r="C1093" s="179"/>
      <c r="D1093" s="40"/>
      <c r="E1093" s="40"/>
      <c r="F1093" s="40"/>
      <c r="G1093" s="40"/>
      <c r="H1093" s="40"/>
      <c r="I1093" s="40"/>
      <c r="J1093" s="40"/>
      <c r="K1093" s="40"/>
      <c r="L1093" s="40"/>
      <c r="M1093" s="40"/>
      <c r="N1093" s="40"/>
      <c r="O1093" s="40"/>
      <c r="P1093" s="40"/>
      <c r="Q1093" s="40"/>
      <c r="R1093" s="40"/>
      <c r="S1093" s="40"/>
      <c r="T1093" s="40"/>
      <c r="U1093" s="40"/>
      <c r="V1093" s="40"/>
      <c r="W1093" s="40"/>
      <c r="X1093" s="40"/>
      <c r="Y1093" s="40"/>
      <c r="Z1093" s="40"/>
    </row>
    <row r="1094">
      <c r="A1094" s="40"/>
      <c r="B1094" s="40"/>
      <c r="C1094" s="179"/>
      <c r="D1094" s="40"/>
      <c r="E1094" s="40"/>
      <c r="F1094" s="40"/>
      <c r="G1094" s="40"/>
      <c r="H1094" s="40"/>
      <c r="I1094" s="40"/>
      <c r="J1094" s="40"/>
      <c r="K1094" s="40"/>
      <c r="L1094" s="40"/>
      <c r="M1094" s="40"/>
      <c r="N1094" s="40"/>
      <c r="O1094" s="40"/>
      <c r="P1094" s="40"/>
      <c r="Q1094" s="40"/>
      <c r="R1094" s="40"/>
      <c r="S1094" s="40"/>
      <c r="T1094" s="40"/>
      <c r="U1094" s="40"/>
      <c r="V1094" s="40"/>
      <c r="W1094" s="40"/>
      <c r="X1094" s="40"/>
      <c r="Y1094" s="40"/>
      <c r="Z1094" s="40"/>
    </row>
    <row r="1095">
      <c r="A1095" s="40"/>
      <c r="B1095" s="40"/>
      <c r="C1095" s="179"/>
      <c r="D1095" s="40"/>
      <c r="E1095" s="40"/>
      <c r="F1095" s="40"/>
      <c r="G1095" s="40"/>
      <c r="H1095" s="40"/>
      <c r="I1095" s="40"/>
      <c r="J1095" s="40"/>
      <c r="K1095" s="40"/>
      <c r="L1095" s="40"/>
      <c r="M1095" s="40"/>
      <c r="N1095" s="40"/>
      <c r="O1095" s="40"/>
      <c r="P1095" s="40"/>
      <c r="Q1095" s="40"/>
      <c r="R1095" s="40"/>
      <c r="S1095" s="40"/>
      <c r="T1095" s="40"/>
      <c r="U1095" s="40"/>
      <c r="V1095" s="40"/>
      <c r="W1095" s="40"/>
      <c r="X1095" s="40"/>
      <c r="Y1095" s="40"/>
      <c r="Z1095" s="40"/>
    </row>
    <row r="1096">
      <c r="A1096" s="40"/>
      <c r="B1096" s="40"/>
      <c r="C1096" s="179"/>
      <c r="D1096" s="40"/>
      <c r="E1096" s="40"/>
      <c r="F1096" s="40"/>
      <c r="G1096" s="40"/>
      <c r="H1096" s="40"/>
      <c r="I1096" s="40"/>
      <c r="J1096" s="40"/>
      <c r="K1096" s="40"/>
      <c r="L1096" s="40"/>
      <c r="M1096" s="40"/>
      <c r="N1096" s="40"/>
      <c r="O1096" s="40"/>
      <c r="P1096" s="40"/>
      <c r="Q1096" s="40"/>
      <c r="R1096" s="40"/>
      <c r="S1096" s="40"/>
      <c r="T1096" s="40"/>
      <c r="U1096" s="40"/>
      <c r="V1096" s="40"/>
      <c r="W1096" s="40"/>
      <c r="X1096" s="40"/>
      <c r="Y1096" s="40"/>
      <c r="Z1096" s="40"/>
    </row>
    <row r="1097">
      <c r="A1097" s="40"/>
      <c r="B1097" s="40"/>
      <c r="C1097" s="179"/>
      <c r="D1097" s="40"/>
      <c r="E1097" s="40"/>
      <c r="F1097" s="40"/>
      <c r="G1097" s="40"/>
      <c r="H1097" s="40"/>
      <c r="I1097" s="40"/>
      <c r="J1097" s="40"/>
      <c r="K1097" s="40"/>
      <c r="L1097" s="40"/>
      <c r="M1097" s="40"/>
      <c r="N1097" s="40"/>
      <c r="O1097" s="40"/>
      <c r="P1097" s="40"/>
      <c r="Q1097" s="40"/>
      <c r="R1097" s="40"/>
      <c r="S1097" s="40"/>
      <c r="T1097" s="40"/>
      <c r="U1097" s="40"/>
      <c r="V1097" s="40"/>
      <c r="W1097" s="40"/>
      <c r="X1097" s="40"/>
      <c r="Y1097" s="40"/>
      <c r="Z1097" s="40"/>
    </row>
    <row r="1098">
      <c r="A1098" s="40"/>
      <c r="B1098" s="40"/>
      <c r="C1098" s="179"/>
      <c r="D1098" s="40"/>
      <c r="E1098" s="40"/>
      <c r="F1098" s="40"/>
      <c r="G1098" s="40"/>
      <c r="H1098" s="40"/>
      <c r="I1098" s="40"/>
      <c r="J1098" s="40"/>
      <c r="K1098" s="40"/>
      <c r="L1098" s="40"/>
      <c r="M1098" s="40"/>
      <c r="N1098" s="40"/>
      <c r="O1098" s="40"/>
      <c r="P1098" s="40"/>
      <c r="Q1098" s="40"/>
      <c r="R1098" s="40"/>
      <c r="S1098" s="40"/>
      <c r="T1098" s="40"/>
      <c r="U1098" s="40"/>
      <c r="V1098" s="40"/>
      <c r="W1098" s="40"/>
      <c r="X1098" s="40"/>
      <c r="Y1098" s="40"/>
      <c r="Z1098" s="40"/>
    </row>
    <row r="1099">
      <c r="A1099" s="40"/>
      <c r="B1099" s="40"/>
      <c r="C1099" s="179"/>
      <c r="D1099" s="40"/>
      <c r="E1099" s="40"/>
      <c r="F1099" s="40"/>
      <c r="G1099" s="40"/>
      <c r="H1099" s="40"/>
      <c r="I1099" s="40"/>
      <c r="J1099" s="40"/>
      <c r="K1099" s="40"/>
      <c r="L1099" s="40"/>
      <c r="M1099" s="40"/>
      <c r="N1099" s="40"/>
      <c r="O1099" s="40"/>
      <c r="P1099" s="40"/>
      <c r="Q1099" s="40"/>
      <c r="R1099" s="40"/>
      <c r="S1099" s="40"/>
      <c r="T1099" s="40"/>
      <c r="U1099" s="40"/>
      <c r="V1099" s="40"/>
      <c r="W1099" s="40"/>
      <c r="X1099" s="40"/>
      <c r="Y1099" s="40"/>
      <c r="Z1099" s="40"/>
    </row>
    <row r="1100">
      <c r="A1100" s="40"/>
      <c r="B1100" s="40"/>
      <c r="C1100" s="179"/>
      <c r="D1100" s="40"/>
      <c r="E1100" s="40"/>
      <c r="F1100" s="40"/>
      <c r="G1100" s="40"/>
      <c r="H1100" s="40"/>
      <c r="I1100" s="40"/>
      <c r="J1100" s="40"/>
      <c r="K1100" s="40"/>
      <c r="L1100" s="40"/>
      <c r="M1100" s="40"/>
      <c r="N1100" s="40"/>
      <c r="O1100" s="40"/>
      <c r="P1100" s="40"/>
      <c r="Q1100" s="40"/>
      <c r="R1100" s="40"/>
      <c r="S1100" s="40"/>
      <c r="T1100" s="40"/>
      <c r="U1100" s="40"/>
      <c r="V1100" s="40"/>
      <c r="W1100" s="40"/>
      <c r="X1100" s="40"/>
      <c r="Y1100" s="40"/>
      <c r="Z1100" s="40"/>
    </row>
    <row r="1101">
      <c r="A1101" s="40"/>
      <c r="B1101" s="40"/>
      <c r="C1101" s="179"/>
      <c r="D1101" s="40"/>
      <c r="E1101" s="40"/>
      <c r="F1101" s="40"/>
      <c r="G1101" s="40"/>
      <c r="H1101" s="40"/>
      <c r="I1101" s="40"/>
      <c r="J1101" s="40"/>
      <c r="K1101" s="40"/>
      <c r="L1101" s="40"/>
      <c r="M1101" s="40"/>
      <c r="N1101" s="40"/>
      <c r="O1101" s="40"/>
      <c r="P1101" s="40"/>
      <c r="Q1101" s="40"/>
      <c r="R1101" s="40"/>
      <c r="S1101" s="40"/>
      <c r="T1101" s="40"/>
      <c r="U1101" s="40"/>
      <c r="V1101" s="40"/>
      <c r="W1101" s="40"/>
      <c r="X1101" s="40"/>
      <c r="Y1101" s="40"/>
      <c r="Z1101" s="40"/>
    </row>
    <row r="1102">
      <c r="A1102" s="40"/>
      <c r="B1102" s="40"/>
      <c r="C1102" s="179"/>
      <c r="D1102" s="40"/>
      <c r="E1102" s="40"/>
      <c r="F1102" s="40"/>
      <c r="G1102" s="40"/>
      <c r="H1102" s="40"/>
      <c r="I1102" s="40"/>
      <c r="J1102" s="40"/>
      <c r="K1102" s="40"/>
      <c r="L1102" s="40"/>
      <c r="M1102" s="40"/>
      <c r="N1102" s="40"/>
      <c r="O1102" s="40"/>
      <c r="P1102" s="40"/>
      <c r="Q1102" s="40"/>
      <c r="R1102" s="40"/>
      <c r="S1102" s="40"/>
      <c r="T1102" s="40"/>
      <c r="U1102" s="40"/>
      <c r="V1102" s="40"/>
      <c r="W1102" s="40"/>
      <c r="X1102" s="40"/>
      <c r="Y1102" s="40"/>
      <c r="Z1102" s="40"/>
    </row>
    <row r="1103">
      <c r="A1103" s="40"/>
      <c r="B1103" s="40"/>
      <c r="C1103" s="179"/>
      <c r="D1103" s="40"/>
      <c r="E1103" s="40"/>
      <c r="F1103" s="40"/>
      <c r="G1103" s="40"/>
      <c r="H1103" s="40"/>
      <c r="I1103" s="40"/>
      <c r="J1103" s="40"/>
      <c r="K1103" s="40"/>
      <c r="L1103" s="40"/>
      <c r="M1103" s="40"/>
      <c r="N1103" s="40"/>
      <c r="O1103" s="40"/>
      <c r="P1103" s="40"/>
      <c r="Q1103" s="40"/>
      <c r="R1103" s="40"/>
      <c r="S1103" s="40"/>
      <c r="T1103" s="40"/>
      <c r="U1103" s="40"/>
      <c r="V1103" s="40"/>
      <c r="W1103" s="40"/>
      <c r="X1103" s="40"/>
      <c r="Y1103" s="40"/>
      <c r="Z1103" s="40"/>
    </row>
    <row r="1104">
      <c r="A1104" s="40"/>
      <c r="B1104" s="40"/>
      <c r="C1104" s="179"/>
      <c r="D1104" s="40"/>
      <c r="E1104" s="40"/>
      <c r="F1104" s="40"/>
      <c r="G1104" s="40"/>
      <c r="H1104" s="40"/>
      <c r="I1104" s="40"/>
      <c r="J1104" s="40"/>
      <c r="K1104" s="40"/>
      <c r="L1104" s="40"/>
      <c r="M1104" s="40"/>
      <c r="N1104" s="40"/>
      <c r="O1104" s="40"/>
      <c r="P1104" s="40"/>
      <c r="Q1104" s="40"/>
      <c r="R1104" s="40"/>
      <c r="S1104" s="40"/>
      <c r="T1104" s="40"/>
      <c r="U1104" s="40"/>
      <c r="V1104" s="40"/>
      <c r="W1104" s="40"/>
      <c r="X1104" s="40"/>
      <c r="Y1104" s="40"/>
      <c r="Z1104" s="40"/>
    </row>
    <row r="1105">
      <c r="A1105" s="40"/>
      <c r="B1105" s="40"/>
      <c r="C1105" s="179"/>
      <c r="D1105" s="40"/>
      <c r="E1105" s="40"/>
      <c r="F1105" s="40"/>
      <c r="G1105" s="40"/>
      <c r="H1105" s="40"/>
      <c r="I1105" s="40"/>
      <c r="J1105" s="40"/>
      <c r="K1105" s="40"/>
      <c r="L1105" s="40"/>
      <c r="M1105" s="40"/>
      <c r="N1105" s="40"/>
      <c r="O1105" s="40"/>
      <c r="P1105" s="40"/>
      <c r="Q1105" s="40"/>
      <c r="R1105" s="40"/>
      <c r="S1105" s="40"/>
      <c r="T1105" s="40"/>
      <c r="U1105" s="40"/>
      <c r="V1105" s="40"/>
      <c r="W1105" s="40"/>
      <c r="X1105" s="40"/>
      <c r="Y1105" s="40"/>
      <c r="Z1105" s="40"/>
    </row>
    <row r="1106">
      <c r="A1106" s="40"/>
      <c r="B1106" s="40"/>
      <c r="C1106" s="179"/>
      <c r="D1106" s="40"/>
      <c r="E1106" s="40"/>
      <c r="F1106" s="40"/>
      <c r="G1106" s="40"/>
      <c r="H1106" s="40"/>
      <c r="I1106" s="40"/>
      <c r="J1106" s="40"/>
      <c r="K1106" s="40"/>
      <c r="L1106" s="40"/>
      <c r="M1106" s="40"/>
      <c r="N1106" s="40"/>
      <c r="O1106" s="40"/>
      <c r="P1106" s="40"/>
      <c r="Q1106" s="40"/>
      <c r="R1106" s="40"/>
      <c r="S1106" s="40"/>
      <c r="T1106" s="40"/>
      <c r="U1106" s="40"/>
      <c r="V1106" s="40"/>
      <c r="W1106" s="40"/>
      <c r="X1106" s="40"/>
      <c r="Y1106" s="40"/>
      <c r="Z1106" s="40"/>
    </row>
    <row r="1107">
      <c r="A1107" s="40"/>
      <c r="B1107" s="40"/>
      <c r="C1107" s="179"/>
      <c r="D1107" s="40"/>
      <c r="E1107" s="40"/>
      <c r="F1107" s="40"/>
      <c r="G1107" s="40"/>
      <c r="H1107" s="40"/>
      <c r="I1107" s="40"/>
      <c r="J1107" s="40"/>
      <c r="K1107" s="40"/>
      <c r="L1107" s="40"/>
      <c r="M1107" s="40"/>
      <c r="N1107" s="40"/>
      <c r="O1107" s="40"/>
      <c r="P1107" s="40"/>
      <c r="Q1107" s="40"/>
      <c r="R1107" s="40"/>
      <c r="S1107" s="40"/>
      <c r="T1107" s="40"/>
      <c r="U1107" s="40"/>
      <c r="V1107" s="40"/>
      <c r="W1107" s="40"/>
      <c r="X1107" s="40"/>
      <c r="Y1107" s="40"/>
      <c r="Z1107" s="40"/>
    </row>
    <row r="1108">
      <c r="A1108" s="40"/>
      <c r="B1108" s="40"/>
      <c r="C1108" s="179"/>
      <c r="D1108" s="40"/>
      <c r="E1108" s="40"/>
      <c r="F1108" s="40"/>
      <c r="G1108" s="40"/>
      <c r="H1108" s="40"/>
      <c r="I1108" s="40"/>
      <c r="J1108" s="40"/>
      <c r="K1108" s="40"/>
      <c r="L1108" s="40"/>
      <c r="M1108" s="40"/>
      <c r="N1108" s="40"/>
      <c r="O1108" s="40"/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0"/>
    </row>
    <row r="1109">
      <c r="A1109" s="40"/>
      <c r="B1109" s="40"/>
      <c r="C1109" s="179"/>
      <c r="D1109" s="40"/>
      <c r="E1109" s="40"/>
      <c r="F1109" s="40"/>
      <c r="G1109" s="40"/>
      <c r="H1109" s="40"/>
      <c r="I1109" s="40"/>
      <c r="J1109" s="40"/>
      <c r="K1109" s="40"/>
      <c r="L1109" s="40"/>
      <c r="M1109" s="40"/>
      <c r="N1109" s="40"/>
      <c r="O1109" s="40"/>
      <c r="P1109" s="40"/>
      <c r="Q1109" s="40"/>
      <c r="R1109" s="40"/>
      <c r="S1109" s="40"/>
      <c r="T1109" s="40"/>
      <c r="U1109" s="40"/>
      <c r="V1109" s="40"/>
      <c r="W1109" s="40"/>
      <c r="X1109" s="40"/>
      <c r="Y1109" s="40"/>
      <c r="Z1109" s="40"/>
    </row>
    <row r="1110">
      <c r="A1110" s="40"/>
      <c r="B1110" s="40"/>
      <c r="C1110" s="179"/>
      <c r="D1110" s="40"/>
      <c r="E1110" s="40"/>
      <c r="F1110" s="40"/>
      <c r="G1110" s="40"/>
      <c r="H1110" s="40"/>
      <c r="I1110" s="40"/>
      <c r="J1110" s="40"/>
      <c r="K1110" s="40"/>
      <c r="L1110" s="40"/>
      <c r="M1110" s="40"/>
      <c r="N1110" s="40"/>
      <c r="O1110" s="40"/>
      <c r="P1110" s="40"/>
      <c r="Q1110" s="40"/>
      <c r="R1110" s="40"/>
      <c r="S1110" s="40"/>
      <c r="T1110" s="40"/>
      <c r="U1110" s="40"/>
      <c r="V1110" s="40"/>
      <c r="W1110" s="40"/>
      <c r="X1110" s="40"/>
      <c r="Y1110" s="40"/>
      <c r="Z1110" s="40"/>
    </row>
    <row r="1111">
      <c r="A1111" s="40"/>
      <c r="B1111" s="40"/>
      <c r="C1111" s="179"/>
      <c r="D1111" s="40"/>
      <c r="E1111" s="40"/>
      <c r="F1111" s="40"/>
      <c r="G1111" s="40"/>
      <c r="H1111" s="40"/>
      <c r="I1111" s="40"/>
      <c r="J1111" s="40"/>
      <c r="K1111" s="40"/>
      <c r="L1111" s="40"/>
      <c r="M1111" s="40"/>
      <c r="N1111" s="40"/>
      <c r="O1111" s="40"/>
      <c r="P1111" s="40"/>
      <c r="Q1111" s="40"/>
      <c r="R1111" s="40"/>
      <c r="S1111" s="40"/>
      <c r="T1111" s="40"/>
      <c r="U1111" s="40"/>
      <c r="V1111" s="40"/>
      <c r="W1111" s="40"/>
      <c r="X1111" s="40"/>
      <c r="Y1111" s="40"/>
      <c r="Z1111" s="40"/>
    </row>
    <row r="1112">
      <c r="A1112" s="40"/>
      <c r="B1112" s="40"/>
      <c r="C1112" s="179"/>
      <c r="D1112" s="40"/>
      <c r="E1112" s="40"/>
      <c r="F1112" s="40"/>
      <c r="G1112" s="40"/>
      <c r="H1112" s="40"/>
      <c r="I1112" s="40"/>
      <c r="J1112" s="40"/>
      <c r="K1112" s="40"/>
      <c r="L1112" s="40"/>
      <c r="M1112" s="40"/>
      <c r="N1112" s="40"/>
      <c r="O1112" s="40"/>
      <c r="P1112" s="40"/>
      <c r="Q1112" s="40"/>
      <c r="R1112" s="40"/>
      <c r="S1112" s="40"/>
      <c r="T1112" s="40"/>
      <c r="U1112" s="40"/>
      <c r="V1112" s="40"/>
      <c r="W1112" s="40"/>
      <c r="X1112" s="40"/>
      <c r="Y1112" s="40"/>
      <c r="Z1112" s="40"/>
    </row>
    <row r="1113">
      <c r="A1113" s="40"/>
      <c r="B1113" s="40"/>
      <c r="C1113" s="179"/>
      <c r="D1113" s="40"/>
      <c r="E1113" s="40"/>
      <c r="F1113" s="40"/>
      <c r="G1113" s="40"/>
      <c r="H1113" s="40"/>
      <c r="I1113" s="40"/>
      <c r="J1113" s="40"/>
      <c r="K1113" s="40"/>
      <c r="L1113" s="40"/>
      <c r="M1113" s="40"/>
      <c r="N1113" s="40"/>
      <c r="O1113" s="40"/>
      <c r="P1113" s="40"/>
      <c r="Q1113" s="40"/>
      <c r="R1113" s="40"/>
      <c r="S1113" s="40"/>
      <c r="T1113" s="40"/>
      <c r="U1113" s="40"/>
      <c r="V1113" s="40"/>
      <c r="W1113" s="40"/>
      <c r="X1113" s="40"/>
      <c r="Y1113" s="40"/>
      <c r="Z1113" s="40"/>
    </row>
    <row r="1114">
      <c r="A1114" s="40"/>
      <c r="B1114" s="40"/>
      <c r="C1114" s="179"/>
      <c r="D1114" s="40"/>
      <c r="E1114" s="40"/>
      <c r="F1114" s="40"/>
      <c r="G1114" s="40"/>
      <c r="H1114" s="40"/>
      <c r="I1114" s="40"/>
      <c r="J1114" s="40"/>
      <c r="K1114" s="40"/>
      <c r="L1114" s="40"/>
      <c r="M1114" s="40"/>
      <c r="N1114" s="40"/>
      <c r="O1114" s="40"/>
      <c r="P1114" s="40"/>
      <c r="Q1114" s="40"/>
      <c r="R1114" s="40"/>
      <c r="S1114" s="40"/>
      <c r="T1114" s="40"/>
      <c r="U1114" s="40"/>
      <c r="V1114" s="40"/>
      <c r="W1114" s="40"/>
      <c r="X1114" s="40"/>
      <c r="Y1114" s="40"/>
      <c r="Z1114" s="40"/>
    </row>
  </sheetData>
  <conditionalFormatting sqref="B1:B421 B423 B425 B427 B429 B431 B433 B435 B437 B439 B441 B443 B445 B447 B449 B451:B1114">
    <cfRule type="expression" dxfId="0" priority="1">
      <formula>COUNTIF($B:$B, $B1) &gt; 1</formula>
    </cfRule>
  </conditionalFormatting>
  <hyperlinks>
    <hyperlink r:id="rId1" ref="D3"/>
    <hyperlink r:id="rId2" ref="D4"/>
    <hyperlink r:id="rId3" ref="D5"/>
    <hyperlink r:id="rId4" ref="D7"/>
    <hyperlink r:id="rId5" ref="D8"/>
    <hyperlink r:id="rId6" ref="D9"/>
    <hyperlink r:id="rId7" ref="D10"/>
    <hyperlink r:id="rId8" ref="D12"/>
    <hyperlink r:id="rId9" ref="D13"/>
    <hyperlink r:id="rId10" ref="D14"/>
    <hyperlink r:id="rId11" ref="D15"/>
    <hyperlink r:id="rId12" ref="D16"/>
    <hyperlink r:id="rId13" ref="D18"/>
    <hyperlink r:id="rId14" ref="D19"/>
    <hyperlink r:id="rId15" ref="D20"/>
    <hyperlink r:id="rId16" ref="D22"/>
    <hyperlink r:id="rId17" ref="D23"/>
    <hyperlink r:id="rId18" ref="D24"/>
    <hyperlink r:id="rId19" ref="D26"/>
    <hyperlink r:id="rId20" ref="D27"/>
    <hyperlink r:id="rId21" ref="D28"/>
    <hyperlink r:id="rId22" ref="D30"/>
    <hyperlink r:id="rId23" ref="D31"/>
    <hyperlink r:id="rId24" ref="D32"/>
    <hyperlink r:id="rId25" ref="D34"/>
    <hyperlink r:id="rId26" ref="D35"/>
    <hyperlink r:id="rId27" ref="D36"/>
    <hyperlink r:id="rId28" ref="D38"/>
    <hyperlink r:id="rId29" ref="D39"/>
    <hyperlink r:id="rId30" ref="D40"/>
    <hyperlink r:id="rId31" ref="D42"/>
    <hyperlink r:id="rId32" ref="D43"/>
    <hyperlink r:id="rId33" ref="D44"/>
    <hyperlink r:id="rId34" ref="D45"/>
    <hyperlink r:id="rId35" ref="D47"/>
    <hyperlink r:id="rId36" ref="D48"/>
    <hyperlink r:id="rId37" ref="D49"/>
    <hyperlink r:id="rId38" ref="D51"/>
    <hyperlink r:id="rId39" ref="D52"/>
    <hyperlink r:id="rId40" ref="D53"/>
    <hyperlink r:id="rId41" ref="D55"/>
    <hyperlink r:id="rId42" ref="D56"/>
    <hyperlink r:id="rId43" ref="D58"/>
    <hyperlink r:id="rId44" ref="D59"/>
    <hyperlink r:id="rId45" ref="D60"/>
    <hyperlink r:id="rId46" ref="D62"/>
    <hyperlink r:id="rId47" ref="D63"/>
    <hyperlink r:id="rId48" ref="D64"/>
    <hyperlink r:id="rId49" ref="D66"/>
    <hyperlink r:id="rId50" ref="D67"/>
    <hyperlink r:id="rId51" ref="D68"/>
    <hyperlink r:id="rId52" ref="D69"/>
    <hyperlink r:id="rId53" ref="D71"/>
    <hyperlink r:id="rId54" ref="D72"/>
    <hyperlink r:id="rId55" ref="D73"/>
    <hyperlink r:id="rId56" ref="D75"/>
    <hyperlink r:id="rId57" ref="D76"/>
    <hyperlink r:id="rId58" ref="D77"/>
    <hyperlink r:id="rId59" ref="D79"/>
    <hyperlink r:id="rId60" ref="D80"/>
    <hyperlink r:id="rId61" ref="D82"/>
    <hyperlink r:id="rId62" ref="D83"/>
    <hyperlink r:id="rId63" ref="D84"/>
    <hyperlink r:id="rId64" ref="D86"/>
    <hyperlink r:id="rId65" ref="D87"/>
    <hyperlink r:id="rId66" ref="D88"/>
    <hyperlink r:id="rId67" ref="D90"/>
    <hyperlink r:id="rId68" ref="D91"/>
    <hyperlink r:id="rId69" ref="D92"/>
    <hyperlink r:id="rId70" ref="D94"/>
    <hyperlink r:id="rId71" ref="D95"/>
    <hyperlink r:id="rId72" ref="D96"/>
    <hyperlink r:id="rId73" ref="D98"/>
    <hyperlink r:id="rId74" ref="D99"/>
    <hyperlink r:id="rId75" ref="D100"/>
    <hyperlink r:id="rId76" ref="D102"/>
    <hyperlink r:id="rId77" ref="D103"/>
    <hyperlink r:id="rId78" ref="D104"/>
    <hyperlink r:id="rId79" ref="D106"/>
    <hyperlink r:id="rId80" ref="D107"/>
    <hyperlink r:id="rId81" ref="D108"/>
    <hyperlink r:id="rId82" ref="D110"/>
    <hyperlink r:id="rId83" ref="D111"/>
    <hyperlink r:id="rId84" ref="D112"/>
    <hyperlink r:id="rId85" ref="D114"/>
    <hyperlink r:id="rId86" ref="D115"/>
    <hyperlink r:id="rId87" ref="D117"/>
    <hyperlink r:id="rId88" ref="D118"/>
    <hyperlink r:id="rId89" ref="D120"/>
    <hyperlink r:id="rId90" ref="D122"/>
    <hyperlink r:id="rId91" ref="D123"/>
    <hyperlink r:id="rId92" ref="D124"/>
    <hyperlink r:id="rId93" ref="D126"/>
    <hyperlink r:id="rId94" ref="D127"/>
    <hyperlink r:id="rId95" ref="D129"/>
    <hyperlink r:id="rId96" ref="D130"/>
    <hyperlink r:id="rId97" ref="D131"/>
    <hyperlink r:id="rId98" ref="D133"/>
    <hyperlink r:id="rId99" ref="D134"/>
    <hyperlink r:id="rId100" ref="D135"/>
    <hyperlink r:id="rId101" ref="D137"/>
    <hyperlink r:id="rId102" ref="D138"/>
    <hyperlink r:id="rId103" ref="D139"/>
    <hyperlink r:id="rId104" ref="D141"/>
    <hyperlink r:id="rId105" ref="D142"/>
    <hyperlink r:id="rId106" ref="D143"/>
    <hyperlink r:id="rId107" ref="D144"/>
    <hyperlink r:id="rId108" ref="D146"/>
    <hyperlink r:id="rId109" ref="D147"/>
    <hyperlink r:id="rId110" ref="D148"/>
    <hyperlink r:id="rId111" ref="D150"/>
    <hyperlink r:id="rId112" ref="D151"/>
    <hyperlink r:id="rId113" ref="D152"/>
    <hyperlink r:id="rId114" ref="D154"/>
    <hyperlink r:id="rId115" ref="D155"/>
    <hyperlink r:id="rId116" ref="D156"/>
    <hyperlink r:id="rId117" ref="D158"/>
    <hyperlink r:id="rId118" ref="D159"/>
    <hyperlink r:id="rId119" ref="D160"/>
    <hyperlink r:id="rId120" ref="D161"/>
    <hyperlink r:id="rId121" ref="D163"/>
    <hyperlink r:id="rId122" ref="D164"/>
    <hyperlink r:id="rId123" ref="D165"/>
    <hyperlink r:id="rId124" ref="D167"/>
    <hyperlink r:id="rId125" ref="D168"/>
    <hyperlink r:id="rId126" ref="D169"/>
    <hyperlink r:id="rId127" ref="D171"/>
    <hyperlink r:id="rId128" ref="D172"/>
    <hyperlink r:id="rId129" ref="D173"/>
    <hyperlink r:id="rId130" ref="D175"/>
    <hyperlink r:id="rId131" ref="D176"/>
    <hyperlink r:id="rId132" ref="D178"/>
    <hyperlink r:id="rId133" ref="D180"/>
    <hyperlink r:id="rId134" ref="D182"/>
    <hyperlink r:id="rId135" ref="D184"/>
    <hyperlink r:id="rId136" ref="D185"/>
    <hyperlink r:id="rId137" ref="D186"/>
    <hyperlink r:id="rId138" ref="D188"/>
    <hyperlink r:id="rId139" ref="D189"/>
    <hyperlink r:id="rId140" ref="D191"/>
    <hyperlink r:id="rId141" ref="D192"/>
    <hyperlink r:id="rId142" ref="D194"/>
    <hyperlink r:id="rId143" ref="D195"/>
    <hyperlink r:id="rId144" ref="D197"/>
    <hyperlink r:id="rId145" ref="D199"/>
    <hyperlink r:id="rId146" ref="D201"/>
    <hyperlink r:id="rId147" ref="D202"/>
    <hyperlink r:id="rId148" ref="D204"/>
    <hyperlink r:id="rId149" ref="D205"/>
    <hyperlink r:id="rId150" ref="D207"/>
    <hyperlink r:id="rId151" ref="D208"/>
    <hyperlink r:id="rId152" ref="D210"/>
    <hyperlink r:id="rId153" ref="D211"/>
    <hyperlink r:id="rId154" ref="D213"/>
    <hyperlink r:id="rId155" ref="D214"/>
    <hyperlink r:id="rId156" ref="D216"/>
    <hyperlink r:id="rId157" ref="D217"/>
    <hyperlink r:id="rId158" ref="D219"/>
    <hyperlink r:id="rId159" ref="D220"/>
    <hyperlink r:id="rId160" ref="D221"/>
    <hyperlink r:id="rId161" ref="D223"/>
    <hyperlink r:id="rId162" ref="D225"/>
    <hyperlink r:id="rId163" ref="D226"/>
    <hyperlink r:id="rId164" ref="D228"/>
    <hyperlink r:id="rId165" ref="D229"/>
    <hyperlink r:id="rId166" ref="D231"/>
    <hyperlink r:id="rId167" ref="D232"/>
    <hyperlink r:id="rId168" ref="D234"/>
    <hyperlink r:id="rId169" ref="D236"/>
    <hyperlink r:id="rId170" ref="D238"/>
    <hyperlink r:id="rId171" ref="D239"/>
    <hyperlink r:id="rId172" ref="D241"/>
    <hyperlink r:id="rId173" ref="D242"/>
    <hyperlink r:id="rId174" ref="D244"/>
    <hyperlink r:id="rId175" ref="D245"/>
    <hyperlink r:id="rId176" ref="D247"/>
    <hyperlink r:id="rId177" ref="D248"/>
    <hyperlink r:id="rId178" ref="D250"/>
    <hyperlink r:id="rId179" ref="D251"/>
    <hyperlink r:id="rId180" ref="A253"/>
    <hyperlink r:id="rId181" ref="D253"/>
    <hyperlink r:id="rId182" ref="A254"/>
    <hyperlink r:id="rId183" ref="D254"/>
    <hyperlink r:id="rId184" ref="D256"/>
    <hyperlink r:id="rId185" ref="D258"/>
    <hyperlink r:id="rId186" ref="D259"/>
    <hyperlink r:id="rId187" ref="D261"/>
    <hyperlink r:id="rId188" ref="D262"/>
    <hyperlink r:id="rId189" ref="D264"/>
    <hyperlink r:id="rId190" ref="D265"/>
    <hyperlink r:id="rId191" ref="D266"/>
    <hyperlink r:id="rId192" ref="D268"/>
    <hyperlink r:id="rId193" ref="D269"/>
    <hyperlink r:id="rId194" ref="D271"/>
    <hyperlink r:id="rId195" ref="D273"/>
    <hyperlink r:id="rId196" ref="D274"/>
    <hyperlink r:id="rId197" ref="D276"/>
    <hyperlink r:id="rId198" ref="D277"/>
    <hyperlink r:id="rId199" ref="D279"/>
    <hyperlink r:id="rId200" ref="D280"/>
    <hyperlink r:id="rId201" ref="D282"/>
    <hyperlink r:id="rId202" ref="D283"/>
    <hyperlink r:id="rId203" ref="D285"/>
    <hyperlink r:id="rId204" ref="D286"/>
    <hyperlink r:id="rId205" ref="D288"/>
    <hyperlink r:id="rId206" ref="D290"/>
    <hyperlink r:id="rId207" ref="D292"/>
    <hyperlink r:id="rId208" ref="D293"/>
    <hyperlink r:id="rId209" ref="D295"/>
    <hyperlink r:id="rId210" ref="D296"/>
    <hyperlink r:id="rId211" ref="D298"/>
    <hyperlink r:id="rId212" ref="D299"/>
    <hyperlink r:id="rId213" ref="D301"/>
    <hyperlink r:id="rId214" ref="D302"/>
    <hyperlink r:id="rId215" ref="D304"/>
    <hyperlink r:id="rId216" ref="D305"/>
    <hyperlink r:id="rId217" ref="D307"/>
    <hyperlink r:id="rId218" ref="D309"/>
    <hyperlink r:id="rId219" ref="D310"/>
    <hyperlink r:id="rId220" ref="D312"/>
    <hyperlink r:id="rId221" ref="D314"/>
    <hyperlink r:id="rId222" ref="D315"/>
    <hyperlink r:id="rId223" ref="D317"/>
    <hyperlink r:id="rId224" ref="D318"/>
    <hyperlink r:id="rId225" ref="D320"/>
    <hyperlink r:id="rId226" ref="D321"/>
    <hyperlink r:id="rId227" ref="D323"/>
    <hyperlink r:id="rId228" ref="D324"/>
    <hyperlink r:id="rId229" ref="D325"/>
    <hyperlink r:id="rId230" ref="D327"/>
    <hyperlink r:id="rId231" ref="D328"/>
    <hyperlink r:id="rId232" ref="D330"/>
    <hyperlink r:id="rId233" ref="D331"/>
    <hyperlink r:id="rId234" ref="D333"/>
    <hyperlink r:id="rId235" ref="D334"/>
    <hyperlink r:id="rId236" ref="D336"/>
    <hyperlink r:id="rId237" ref="D337"/>
    <hyperlink r:id="rId238" ref="D339"/>
    <hyperlink r:id="rId239" ref="D340"/>
    <hyperlink r:id="rId240" ref="D342"/>
    <hyperlink r:id="rId241" ref="D343"/>
    <hyperlink r:id="rId242" ref="D345"/>
    <hyperlink r:id="rId243" ref="D347"/>
    <hyperlink r:id="rId244" ref="D349"/>
    <hyperlink r:id="rId245" ref="D351"/>
    <hyperlink r:id="rId246" ref="D352"/>
    <hyperlink r:id="rId247" ref="D354"/>
    <hyperlink r:id="rId248" ref="D356"/>
    <hyperlink r:id="rId249" ref="D358"/>
    <hyperlink r:id="rId250" ref="D359"/>
    <hyperlink r:id="rId251" ref="D361"/>
    <hyperlink r:id="rId252" ref="D363"/>
    <hyperlink r:id="rId253" ref="D365"/>
    <hyperlink r:id="rId254" ref="D367"/>
    <hyperlink r:id="rId255" ref="D368"/>
    <hyperlink r:id="rId256" ref="D370"/>
    <hyperlink r:id="rId257" ref="D371"/>
    <hyperlink r:id="rId258" ref="D373"/>
    <hyperlink r:id="rId259" ref="D375"/>
    <hyperlink r:id="rId260" ref="D377"/>
    <hyperlink r:id="rId261" ref="D379"/>
    <hyperlink r:id="rId262" ref="D381"/>
    <hyperlink r:id="rId263" ref="D382"/>
    <hyperlink r:id="rId264" ref="D384"/>
    <hyperlink r:id="rId265" ref="D385"/>
    <hyperlink r:id="rId266" ref="D387"/>
    <hyperlink r:id="rId267" ref="D389"/>
    <hyperlink r:id="rId268" ref="D390"/>
    <hyperlink r:id="rId269" ref="D392"/>
    <hyperlink r:id="rId270" ref="D395"/>
    <hyperlink r:id="rId271" ref="D397"/>
    <hyperlink r:id="rId272" ref="D399"/>
    <hyperlink r:id="rId273" ref="D400"/>
    <hyperlink r:id="rId274" ref="D402"/>
    <hyperlink r:id="rId275" ref="D404"/>
    <hyperlink r:id="rId276" ref="D405"/>
    <hyperlink r:id="rId277" ref="D406"/>
    <hyperlink r:id="rId278" ref="D408"/>
    <hyperlink r:id="rId279" ref="D409"/>
    <hyperlink r:id="rId280" ref="D411"/>
    <hyperlink r:id="rId281" ref="D412"/>
    <hyperlink r:id="rId282" ref="D414"/>
    <hyperlink r:id="rId283" ref="D416"/>
    <hyperlink r:id="rId284" ref="D418"/>
    <hyperlink r:id="rId285" ref="D420"/>
    <hyperlink r:id="rId286" ref="D422"/>
    <hyperlink r:id="rId287" ref="D424"/>
    <hyperlink r:id="rId288" ref="D426"/>
    <hyperlink r:id="rId289" ref="D428"/>
    <hyperlink r:id="rId290" ref="D430"/>
    <hyperlink r:id="rId291" ref="D432"/>
    <hyperlink r:id="rId292" ref="D434"/>
    <hyperlink r:id="rId293" ref="D436"/>
    <hyperlink r:id="rId294" ref="D438"/>
    <hyperlink r:id="rId295" ref="D440"/>
    <hyperlink r:id="rId296" ref="D442"/>
    <hyperlink r:id="rId297" ref="D444"/>
    <hyperlink r:id="rId298" ref="D446"/>
    <hyperlink r:id="rId299" ref="D448"/>
    <hyperlink r:id="rId300" ref="D450"/>
    <hyperlink r:id="rId301" ref="D452"/>
    <hyperlink r:id="rId302" ref="D454"/>
    <hyperlink r:id="rId303" ref="D455"/>
    <hyperlink r:id="rId304" ref="D457"/>
    <hyperlink r:id="rId305" ref="D459"/>
    <hyperlink r:id="rId306" ref="D461"/>
    <hyperlink r:id="rId307" ref="D463"/>
    <hyperlink r:id="rId308" ref="D465"/>
    <hyperlink r:id="rId309" ref="D467"/>
    <hyperlink r:id="rId310" ref="D469"/>
    <hyperlink r:id="rId311" ref="D471"/>
    <hyperlink r:id="rId312" ref="D473"/>
    <hyperlink r:id="rId313" ref="D475"/>
    <hyperlink r:id="rId314" ref="D477"/>
    <hyperlink r:id="rId315" ref="D479"/>
    <hyperlink r:id="rId316" ref="D481"/>
    <hyperlink r:id="rId317" ref="D483"/>
    <hyperlink r:id="rId318" ref="D485"/>
    <hyperlink r:id="rId319" ref="D487"/>
    <hyperlink r:id="rId320" ref="D489"/>
    <hyperlink r:id="rId321" ref="D491"/>
    <hyperlink r:id="rId322" ref="D493"/>
    <hyperlink r:id="rId323" ref="A495"/>
    <hyperlink r:id="rId324" ref="D495"/>
    <hyperlink r:id="rId325" ref="D497"/>
    <hyperlink r:id="rId326" ref="D499"/>
    <hyperlink r:id="rId327" ref="D502"/>
    <hyperlink r:id="rId328" ref="D504"/>
    <hyperlink r:id="rId329" ref="D506"/>
    <hyperlink r:id="rId330" ref="D508"/>
    <hyperlink r:id="rId331" ref="D510"/>
    <hyperlink r:id="rId332" ref="D512"/>
    <hyperlink r:id="rId333" ref="D514"/>
    <hyperlink r:id="rId334" ref="D516"/>
    <hyperlink r:id="rId335" ref="D518"/>
    <hyperlink r:id="rId336" ref="D520"/>
    <hyperlink r:id="rId337" ref="D522"/>
    <hyperlink r:id="rId338" ref="D523"/>
    <hyperlink r:id="rId339" ref="D524"/>
    <hyperlink r:id="rId340" ref="D525"/>
    <hyperlink r:id="rId341" ref="D526"/>
    <hyperlink r:id="rId342" ref="D527"/>
    <hyperlink r:id="rId343" ref="D528"/>
    <hyperlink r:id="rId344" ref="D529"/>
    <hyperlink r:id="rId345" ref="A530"/>
    <hyperlink r:id="rId346" ref="D530"/>
    <hyperlink r:id="rId347" ref="D531"/>
    <hyperlink r:id="rId348" ref="D532"/>
    <hyperlink r:id="rId349" ref="D533"/>
    <hyperlink r:id="rId350" ref="D534"/>
    <hyperlink r:id="rId351" ref="D535"/>
    <hyperlink r:id="rId352" ref="D536"/>
    <hyperlink r:id="rId353" ref="D537"/>
    <hyperlink r:id="rId354" ref="D538"/>
    <hyperlink r:id="rId355" ref="D539"/>
    <hyperlink r:id="rId356" ref="D540"/>
    <hyperlink r:id="rId357" ref="D541"/>
    <hyperlink r:id="rId358" ref="D542"/>
    <hyperlink r:id="rId359" ref="D543"/>
    <hyperlink r:id="rId360" ref="D544"/>
    <hyperlink r:id="rId361" ref="D545"/>
    <hyperlink r:id="rId362" ref="D546"/>
    <hyperlink r:id="rId363" ref="D547"/>
    <hyperlink r:id="rId364" ref="D548"/>
    <hyperlink r:id="rId365" ref="D549"/>
    <hyperlink r:id="rId366" ref="D550"/>
    <hyperlink r:id="rId367" ref="D551"/>
    <hyperlink r:id="rId368" ref="D552"/>
    <hyperlink r:id="rId369" ref="D553"/>
    <hyperlink r:id="rId370" ref="D554"/>
    <hyperlink r:id="rId371" ref="D555"/>
    <hyperlink r:id="rId372" ref="D556"/>
    <hyperlink r:id="rId373" ref="D557"/>
    <hyperlink r:id="rId374" ref="D558"/>
    <hyperlink r:id="rId375" ref="D559"/>
    <hyperlink r:id="rId376" ref="D560"/>
    <hyperlink r:id="rId377" ref="D561"/>
    <hyperlink r:id="rId378" ref="D562"/>
    <hyperlink r:id="rId379" ref="D563"/>
    <hyperlink r:id="rId380" ref="D564"/>
    <hyperlink r:id="rId381" ref="D565"/>
    <hyperlink r:id="rId382" ref="D566"/>
    <hyperlink r:id="rId383" ref="D567"/>
    <hyperlink r:id="rId384" ref="D568"/>
    <hyperlink r:id="rId385" ref="D569"/>
    <hyperlink r:id="rId386" ref="D571"/>
    <hyperlink r:id="rId387" ref="D572"/>
    <hyperlink r:id="rId388" ref="D573"/>
    <hyperlink r:id="rId389" ref="D574"/>
    <hyperlink r:id="rId390" ref="D575"/>
    <hyperlink r:id="rId391" ref="D576"/>
    <hyperlink r:id="rId392" ref="D577"/>
    <hyperlink r:id="rId393" ref="D578"/>
    <hyperlink r:id="rId394" ref="D579"/>
    <hyperlink r:id="rId395" ref="D580"/>
    <hyperlink r:id="rId396" ref="D581"/>
    <hyperlink r:id="rId397" ref="D582"/>
    <hyperlink r:id="rId398" ref="D583"/>
    <hyperlink r:id="rId399" ref="D584"/>
    <hyperlink r:id="rId400" ref="D585"/>
    <hyperlink r:id="rId401" ref="D586"/>
    <hyperlink r:id="rId402" ref="D587"/>
    <hyperlink r:id="rId403" ref="D588"/>
    <hyperlink r:id="rId404" ref="D589"/>
    <hyperlink r:id="rId405" ref="A590"/>
    <hyperlink r:id="rId406" ref="D590"/>
    <hyperlink r:id="rId407" ref="D591"/>
    <hyperlink r:id="rId408" ref="D592"/>
    <hyperlink r:id="rId409" ref="D593"/>
    <hyperlink r:id="rId410" ref="D594"/>
    <hyperlink r:id="rId411" ref="D595"/>
    <hyperlink r:id="rId412" ref="D596"/>
    <hyperlink r:id="rId413" ref="D598"/>
    <hyperlink r:id="rId414" ref="D599"/>
    <hyperlink r:id="rId415" ref="D600"/>
    <hyperlink r:id="rId416" ref="D601"/>
    <hyperlink r:id="rId417" ref="D602"/>
    <hyperlink r:id="rId418" ref="D603"/>
    <hyperlink r:id="rId419" ref="D604"/>
    <hyperlink r:id="rId420" ref="D605"/>
    <hyperlink r:id="rId421" ref="D606"/>
    <hyperlink r:id="rId422" ref="D607"/>
    <hyperlink r:id="rId423" ref="D608"/>
    <hyperlink r:id="rId424" ref="D609"/>
    <hyperlink r:id="rId425" ref="D610"/>
    <hyperlink r:id="rId426" ref="D611"/>
    <hyperlink r:id="rId427" ref="D612"/>
    <hyperlink r:id="rId428" ref="D613"/>
    <hyperlink r:id="rId429" ref="D614"/>
    <hyperlink r:id="rId430" ref="D615"/>
    <hyperlink r:id="rId431" ref="D616"/>
    <hyperlink r:id="rId432" ref="D617"/>
    <hyperlink r:id="rId433" ref="D618"/>
    <hyperlink r:id="rId434" ref="D619"/>
    <hyperlink r:id="rId435" ref="D620"/>
    <hyperlink r:id="rId436" ref="D621"/>
    <hyperlink r:id="rId437" ref="D622"/>
    <hyperlink r:id="rId438" ref="D623"/>
    <hyperlink r:id="rId439" ref="D624"/>
    <hyperlink r:id="rId440" ref="D625"/>
    <hyperlink r:id="rId441" ref="D626"/>
    <hyperlink r:id="rId442" ref="D627"/>
    <hyperlink r:id="rId443" ref="D628"/>
    <hyperlink r:id="rId444" ref="D629"/>
    <hyperlink r:id="rId445" ref="D630"/>
    <hyperlink r:id="rId446" ref="D631"/>
    <hyperlink r:id="rId447" ref="D633"/>
    <hyperlink r:id="rId448" ref="D634"/>
    <hyperlink r:id="rId449" ref="D636"/>
    <hyperlink r:id="rId450" ref="D638"/>
    <hyperlink r:id="rId451" ref="D639"/>
    <hyperlink r:id="rId452" ref="D640"/>
    <hyperlink r:id="rId453" ref="D641"/>
    <hyperlink r:id="rId454" ref="D642"/>
    <hyperlink r:id="rId455" ref="D643"/>
    <hyperlink r:id="rId456" ref="D644"/>
    <hyperlink r:id="rId457" ref="D645"/>
    <hyperlink r:id="rId458" ref="D646"/>
    <hyperlink r:id="rId459" ref="D647"/>
    <hyperlink r:id="rId460" ref="D648"/>
    <hyperlink r:id="rId461" ref="D649"/>
    <hyperlink r:id="rId462" ref="D650"/>
    <hyperlink r:id="rId463" ref="D651"/>
    <hyperlink r:id="rId464" ref="D652"/>
    <hyperlink r:id="rId465" ref="D653"/>
    <hyperlink r:id="rId466" ref="D654"/>
    <hyperlink r:id="rId467" ref="D655"/>
    <hyperlink r:id="rId468" ref="D656"/>
    <hyperlink r:id="rId469" ref="D657"/>
    <hyperlink r:id="rId470" ref="D658"/>
    <hyperlink r:id="rId471" ref="D659"/>
    <hyperlink r:id="rId472" ref="D660"/>
    <hyperlink r:id="rId473" ref="D661"/>
    <hyperlink r:id="rId474" ref="D662"/>
    <hyperlink r:id="rId475" ref="D663"/>
    <hyperlink r:id="rId476" ref="D664"/>
    <hyperlink r:id="rId477" ref="D665"/>
    <hyperlink r:id="rId478" ref="D666"/>
    <hyperlink r:id="rId479" ref="D667"/>
    <hyperlink r:id="rId480" ref="D668"/>
    <hyperlink r:id="rId481" ref="D669"/>
    <hyperlink r:id="rId482" ref="D670"/>
    <hyperlink r:id="rId483" ref="D671"/>
    <hyperlink r:id="rId484" ref="D672"/>
    <hyperlink r:id="rId485" ref="D673"/>
    <hyperlink r:id="rId486" ref="D674"/>
    <hyperlink r:id="rId487" ref="D675"/>
    <hyperlink r:id="rId488" ref="D676"/>
    <hyperlink r:id="rId489" ref="D677"/>
    <hyperlink r:id="rId490" ref="D678"/>
    <hyperlink r:id="rId491" ref="D679"/>
    <hyperlink r:id="rId492" ref="D680"/>
    <hyperlink r:id="rId493" ref="D681"/>
    <hyperlink r:id="rId494" ref="D682"/>
    <hyperlink r:id="rId495" ref="D683"/>
    <hyperlink r:id="rId496" ref="D684"/>
    <hyperlink r:id="rId497" ref="D685"/>
    <hyperlink r:id="rId498" ref="A686"/>
    <hyperlink r:id="rId499" ref="D686"/>
    <hyperlink r:id="rId500" ref="D687"/>
    <hyperlink r:id="rId501" ref="D688"/>
  </hyperlinks>
  <drawing r:id="rId50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3" width="20.75"/>
    <col customWidth="1" min="4" max="4" width="30.5"/>
    <col customWidth="1" min="5" max="5" width="21.38"/>
    <col customWidth="1" min="6" max="6" width="54.13"/>
  </cols>
  <sheetData>
    <row r="1">
      <c r="A1" s="3" t="s">
        <v>1189</v>
      </c>
      <c r="B1" s="217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219" t="s">
        <v>1193</v>
      </c>
      <c r="H1" s="87" t="s">
        <v>1194</v>
      </c>
      <c r="I1" s="87" t="s">
        <v>1195</v>
      </c>
      <c r="J1" s="87" t="s">
        <v>1196</v>
      </c>
      <c r="K1" s="87" t="s">
        <v>1197</v>
      </c>
      <c r="L1" s="87" t="s">
        <v>1198</v>
      </c>
      <c r="M1" s="87" t="s">
        <v>1199</v>
      </c>
      <c r="N1" s="87" t="s">
        <v>1200</v>
      </c>
    </row>
    <row r="2">
      <c r="A2" s="134" t="s">
        <v>1203</v>
      </c>
      <c r="B2" s="220" t="s">
        <v>1204</v>
      </c>
      <c r="C2" s="134" t="s">
        <v>1205</v>
      </c>
      <c r="D2" s="221" t="s">
        <v>1206</v>
      </c>
      <c r="E2" s="222"/>
      <c r="F2" s="134" t="s">
        <v>1209</v>
      </c>
    </row>
    <row r="3">
      <c r="A3" s="134"/>
      <c r="B3" s="220"/>
      <c r="C3" s="134"/>
      <c r="D3" s="223"/>
      <c r="E3" s="222"/>
      <c r="F3" s="134"/>
    </row>
    <row r="4">
      <c r="A4" s="134" t="s">
        <v>1210</v>
      </c>
      <c r="B4" s="220" t="s">
        <v>1211</v>
      </c>
      <c r="C4" s="134" t="s">
        <v>1213</v>
      </c>
      <c r="D4" s="224" t="s">
        <v>1215</v>
      </c>
      <c r="E4" s="222"/>
      <c r="F4" s="134" t="s">
        <v>1217</v>
      </c>
    </row>
    <row r="5">
      <c r="A5" s="134" t="s">
        <v>1210</v>
      </c>
      <c r="B5" s="220" t="s">
        <v>1218</v>
      </c>
      <c r="C5" s="134" t="s">
        <v>1219</v>
      </c>
      <c r="D5" s="224" t="s">
        <v>1220</v>
      </c>
      <c r="E5" s="222"/>
      <c r="F5" s="134" t="s">
        <v>1224</v>
      </c>
      <c r="J5" s="87" t="s">
        <v>489</v>
      </c>
    </row>
    <row r="6">
      <c r="A6" s="134"/>
      <c r="B6" s="220"/>
      <c r="C6" s="134"/>
      <c r="D6" s="223"/>
      <c r="E6" s="167"/>
      <c r="F6" s="134"/>
    </row>
    <row r="7">
      <c r="A7" s="134" t="s">
        <v>1225</v>
      </c>
      <c r="B7" s="220" t="s">
        <v>1226</v>
      </c>
      <c r="C7" s="134" t="s">
        <v>1227</v>
      </c>
      <c r="D7" s="224" t="s">
        <v>1229</v>
      </c>
      <c r="E7" s="167">
        <f>+919428828399</f>
        <v>919428828399</v>
      </c>
      <c r="F7" s="134" t="s">
        <v>1235</v>
      </c>
    </row>
    <row r="8">
      <c r="A8" s="134"/>
      <c r="B8" s="220"/>
      <c r="C8" s="134"/>
      <c r="D8" s="223"/>
      <c r="E8" s="167"/>
      <c r="F8" s="134"/>
    </row>
    <row r="9">
      <c r="A9" s="134" t="s">
        <v>1238</v>
      </c>
      <c r="B9" s="220" t="s">
        <v>1239</v>
      </c>
      <c r="C9" s="134" t="s">
        <v>1240</v>
      </c>
      <c r="D9" s="224" t="s">
        <v>1241</v>
      </c>
      <c r="E9" s="178">
        <f>+919892335229</f>
        <v>919892335229</v>
      </c>
      <c r="F9" s="168" t="s">
        <v>1247</v>
      </c>
    </row>
    <row r="10">
      <c r="A10" s="134"/>
      <c r="B10" s="220"/>
      <c r="C10" s="134"/>
      <c r="D10" s="223"/>
      <c r="E10" s="178"/>
      <c r="F10" s="134"/>
    </row>
    <row r="11">
      <c r="A11" s="134" t="s">
        <v>1248</v>
      </c>
      <c r="B11" s="220" t="s">
        <v>1249</v>
      </c>
      <c r="C11" s="134" t="s">
        <v>1240</v>
      </c>
      <c r="D11" s="224" t="s">
        <v>1251</v>
      </c>
      <c r="E11" s="178">
        <f>+919820291937</f>
        <v>919820291937</v>
      </c>
      <c r="F11" s="134" t="s">
        <v>1258</v>
      </c>
    </row>
    <row r="12">
      <c r="A12" s="134"/>
      <c r="B12" s="220"/>
      <c r="C12" s="134"/>
      <c r="D12" s="223"/>
      <c r="E12" s="222"/>
      <c r="F12" s="222"/>
    </row>
    <row r="13">
      <c r="A13" s="134" t="s">
        <v>1259</v>
      </c>
      <c r="B13" s="220" t="s">
        <v>1260</v>
      </c>
      <c r="C13" s="134" t="s">
        <v>1261</v>
      </c>
      <c r="D13" s="224" t="s">
        <v>1263</v>
      </c>
      <c r="E13" s="222"/>
      <c r="F13" s="134" t="s">
        <v>1267</v>
      </c>
    </row>
    <row r="14">
      <c r="A14" s="134"/>
      <c r="B14" s="220"/>
      <c r="C14" s="134"/>
      <c r="D14" s="221"/>
      <c r="E14" s="178"/>
      <c r="F14" s="168"/>
      <c r="H14" s="225"/>
      <c r="I14" s="102"/>
    </row>
    <row r="15">
      <c r="A15" s="134" t="s">
        <v>1269</v>
      </c>
      <c r="B15" s="220" t="s">
        <v>1270</v>
      </c>
      <c r="C15" s="134" t="s">
        <v>1271</v>
      </c>
      <c r="D15" s="221" t="s">
        <v>1272</v>
      </c>
      <c r="E15" s="178">
        <f>+919234554125</f>
        <v>919234554125</v>
      </c>
      <c r="F15" s="168" t="s">
        <v>1279</v>
      </c>
      <c r="G15" s="102" t="s">
        <v>1280</v>
      </c>
      <c r="H15" s="102" t="s">
        <v>1281</v>
      </c>
      <c r="I15" s="172">
        <v>9.910097078E9</v>
      </c>
    </row>
    <row r="16">
      <c r="A16" s="134" t="s">
        <v>1282</v>
      </c>
      <c r="B16" s="220" t="s">
        <v>1285</v>
      </c>
      <c r="C16" s="134" t="s">
        <v>1286</v>
      </c>
      <c r="D16" s="224" t="s">
        <v>1287</v>
      </c>
      <c r="E16" s="222"/>
      <c r="F16" s="134" t="s">
        <v>1267</v>
      </c>
    </row>
    <row r="17">
      <c r="A17" s="134"/>
      <c r="B17" s="220"/>
      <c r="C17" s="134"/>
      <c r="D17" s="223"/>
      <c r="E17" s="222"/>
      <c r="F17" s="222"/>
    </row>
    <row r="18">
      <c r="A18" s="134" t="s">
        <v>1291</v>
      </c>
      <c r="B18" s="220" t="s">
        <v>1292</v>
      </c>
      <c r="C18" s="134" t="s">
        <v>1213</v>
      </c>
      <c r="D18" s="223"/>
      <c r="E18" s="222"/>
      <c r="F18" s="134" t="s">
        <v>1293</v>
      </c>
    </row>
    <row r="19">
      <c r="A19" s="134" t="s">
        <v>1291</v>
      </c>
      <c r="B19" s="220" t="s">
        <v>1294</v>
      </c>
      <c r="C19" s="134" t="s">
        <v>1296</v>
      </c>
      <c r="D19" s="223"/>
      <c r="E19" s="222"/>
      <c r="F19" s="134" t="s">
        <v>1299</v>
      </c>
    </row>
    <row r="20">
      <c r="A20" s="134"/>
      <c r="B20" s="220"/>
      <c r="C20" s="134"/>
      <c r="D20" s="223"/>
      <c r="E20" s="222"/>
      <c r="F20" s="168"/>
    </row>
    <row r="21">
      <c r="A21" s="134" t="s">
        <v>1303</v>
      </c>
      <c r="B21" s="220" t="s">
        <v>1304</v>
      </c>
      <c r="C21" s="134" t="s">
        <v>1240</v>
      </c>
      <c r="D21" s="223"/>
      <c r="E21" s="222"/>
      <c r="F21" s="168" t="s">
        <v>1306</v>
      </c>
    </row>
    <row r="22">
      <c r="A22" s="134"/>
      <c r="B22" s="220"/>
      <c r="C22" s="134"/>
      <c r="D22" s="223"/>
      <c r="E22" s="222"/>
      <c r="F22" s="222"/>
    </row>
    <row r="23">
      <c r="A23" s="134" t="s">
        <v>1308</v>
      </c>
      <c r="B23" s="220" t="s">
        <v>1309</v>
      </c>
      <c r="C23" s="134" t="s">
        <v>1310</v>
      </c>
      <c r="E23" s="222"/>
      <c r="F23" s="222"/>
    </row>
    <row r="24">
      <c r="A24" s="134"/>
      <c r="B24" s="220"/>
      <c r="C24" s="134"/>
      <c r="E24" s="222"/>
      <c r="F24" s="222"/>
    </row>
    <row r="25">
      <c r="A25" s="134" t="s">
        <v>1312</v>
      </c>
      <c r="B25" s="220" t="s">
        <v>1314</v>
      </c>
      <c r="C25" s="134" t="s">
        <v>1213</v>
      </c>
      <c r="D25" s="223"/>
      <c r="E25" s="222"/>
      <c r="F25" s="222"/>
    </row>
    <row r="26">
      <c r="A26" s="134" t="s">
        <v>1312</v>
      </c>
      <c r="B26" s="220" t="s">
        <v>1317</v>
      </c>
      <c r="C26" s="134" t="s">
        <v>1318</v>
      </c>
      <c r="D26" s="223"/>
      <c r="E26" s="222"/>
      <c r="F26" s="134" t="s">
        <v>1319</v>
      </c>
    </row>
    <row r="27">
      <c r="A27" s="134" t="s">
        <v>1312</v>
      </c>
      <c r="B27" s="232" t="s">
        <v>1320</v>
      </c>
      <c r="C27" s="134" t="s">
        <v>1322</v>
      </c>
      <c r="D27" s="224" t="s">
        <v>1323</v>
      </c>
      <c r="E27" s="222"/>
      <c r="F27" s="223" t="s">
        <v>1328</v>
      </c>
    </row>
    <row r="28">
      <c r="A28" s="134"/>
      <c r="B28" s="220"/>
      <c r="C28" s="134"/>
      <c r="D28" s="223"/>
      <c r="E28" s="222"/>
      <c r="F28" s="223"/>
    </row>
    <row r="29">
      <c r="A29" s="134" t="s">
        <v>1330</v>
      </c>
      <c r="B29" s="220" t="s">
        <v>1331</v>
      </c>
      <c r="C29" s="134" t="s">
        <v>1213</v>
      </c>
      <c r="D29" s="223"/>
      <c r="E29" s="222"/>
      <c r="F29" s="224" t="s">
        <v>1332</v>
      </c>
    </row>
    <row r="30">
      <c r="A30" s="134" t="s">
        <v>1330</v>
      </c>
      <c r="B30" s="220" t="s">
        <v>1337</v>
      </c>
      <c r="C30" s="134" t="s">
        <v>1338</v>
      </c>
      <c r="D30" s="223"/>
      <c r="E30" s="233">
        <v>7.738353601E9</v>
      </c>
      <c r="F30" s="233" t="s">
        <v>1342</v>
      </c>
    </row>
    <row r="31">
      <c r="A31" s="134"/>
      <c r="B31" s="220"/>
      <c r="C31" s="134"/>
      <c r="D31" s="223"/>
      <c r="E31" s="222"/>
      <c r="F31" s="234"/>
    </row>
    <row r="32">
      <c r="A32" s="134" t="s">
        <v>1345</v>
      </c>
      <c r="B32" s="220" t="s">
        <v>1346</v>
      </c>
      <c r="C32" s="134" t="s">
        <v>1213</v>
      </c>
      <c r="D32" s="223"/>
      <c r="E32" s="222"/>
      <c r="F32" s="234" t="s">
        <v>1349</v>
      </c>
    </row>
    <row r="33">
      <c r="A33" s="134" t="s">
        <v>1345</v>
      </c>
      <c r="B33" s="220" t="s">
        <v>1350</v>
      </c>
      <c r="C33" s="134" t="s">
        <v>1351</v>
      </c>
      <c r="D33" s="223"/>
      <c r="E33" s="178">
        <f>+918899997704</f>
        <v>918899997704</v>
      </c>
      <c r="F33" s="168" t="s">
        <v>1352</v>
      </c>
    </row>
    <row r="34">
      <c r="A34" s="134"/>
      <c r="B34" s="220"/>
      <c r="C34" s="134"/>
      <c r="D34" s="223"/>
      <c r="E34" s="222"/>
      <c r="F34" s="222"/>
    </row>
    <row r="35">
      <c r="A35" s="134"/>
      <c r="B35" s="220"/>
      <c r="C35" s="134"/>
      <c r="D35" s="223"/>
      <c r="E35" s="222"/>
      <c r="F35" s="222"/>
    </row>
    <row r="36">
      <c r="A36" s="134" t="s">
        <v>1354</v>
      </c>
      <c r="B36" s="220" t="s">
        <v>1356</v>
      </c>
      <c r="C36" s="134" t="s">
        <v>1240</v>
      </c>
      <c r="D36" s="223"/>
      <c r="E36" s="134" t="s">
        <v>1358</v>
      </c>
      <c r="F36" s="134" t="s">
        <v>1359</v>
      </c>
    </row>
    <row r="37">
      <c r="A37" s="134" t="s">
        <v>1354</v>
      </c>
      <c r="B37" s="220" t="s">
        <v>1360</v>
      </c>
      <c r="C37" s="134" t="s">
        <v>1361</v>
      </c>
      <c r="D37" s="223"/>
      <c r="E37" s="178">
        <f>+12017839631</f>
        <v>12017839631</v>
      </c>
      <c r="F37" s="168" t="s">
        <v>1362</v>
      </c>
    </row>
    <row r="38">
      <c r="A38" s="134"/>
      <c r="B38" s="220"/>
      <c r="C38" s="134"/>
      <c r="D38" s="223"/>
      <c r="E38" s="222"/>
      <c r="F38" s="222"/>
    </row>
    <row r="39">
      <c r="A39" s="134" t="s">
        <v>1366</v>
      </c>
      <c r="B39" s="220" t="s">
        <v>1367</v>
      </c>
      <c r="C39" s="134" t="s">
        <v>1296</v>
      </c>
      <c r="D39" s="223"/>
      <c r="E39" s="168">
        <v>9.1931049E7</v>
      </c>
      <c r="F39" s="134" t="s">
        <v>1368</v>
      </c>
    </row>
    <row r="40">
      <c r="A40" s="134"/>
      <c r="B40" s="220"/>
      <c r="C40" s="134"/>
      <c r="D40" s="223"/>
      <c r="E40" s="222"/>
      <c r="F40" s="222"/>
    </row>
    <row r="41">
      <c r="A41" s="134" t="s">
        <v>1370</v>
      </c>
      <c r="B41" s="220" t="s">
        <v>1371</v>
      </c>
      <c r="C41" s="134" t="s">
        <v>1019</v>
      </c>
      <c r="D41" s="223"/>
      <c r="E41" s="222"/>
      <c r="F41" s="222"/>
    </row>
    <row r="42">
      <c r="A42" s="134" t="s">
        <v>1372</v>
      </c>
      <c r="B42" s="220" t="s">
        <v>1373</v>
      </c>
      <c r="C42" s="134" t="s">
        <v>1240</v>
      </c>
      <c r="D42" s="223"/>
      <c r="E42" s="222"/>
      <c r="F42" s="134" t="s">
        <v>1378</v>
      </c>
    </row>
    <row r="43">
      <c r="A43" s="134" t="s">
        <v>1372</v>
      </c>
      <c r="B43" s="220" t="s">
        <v>1379</v>
      </c>
      <c r="C43" s="134" t="s">
        <v>1380</v>
      </c>
      <c r="D43" s="223"/>
      <c r="E43" s="222"/>
      <c r="F43" s="134" t="s">
        <v>1381</v>
      </c>
    </row>
    <row r="44">
      <c r="A44" s="134"/>
      <c r="B44" s="220"/>
      <c r="C44" s="134"/>
      <c r="D44" s="223"/>
      <c r="E44" s="222"/>
      <c r="F44" s="222"/>
    </row>
    <row r="45">
      <c r="A45" s="134" t="s">
        <v>1383</v>
      </c>
      <c r="B45" s="220" t="s">
        <v>1385</v>
      </c>
      <c r="C45" s="134" t="s">
        <v>1296</v>
      </c>
      <c r="D45" s="223"/>
      <c r="E45" s="222"/>
      <c r="F45" s="222"/>
    </row>
    <row r="46">
      <c r="A46" s="134"/>
      <c r="B46" s="220"/>
      <c r="C46" s="134"/>
      <c r="D46" s="223"/>
      <c r="E46" s="222"/>
      <c r="F46" s="222"/>
    </row>
    <row r="47">
      <c r="A47" s="134" t="s">
        <v>1388</v>
      </c>
      <c r="B47" s="220" t="s">
        <v>1390</v>
      </c>
      <c r="C47" s="134" t="s">
        <v>1391</v>
      </c>
      <c r="D47" s="223"/>
      <c r="E47" s="222"/>
      <c r="F47" s="134" t="s">
        <v>1393</v>
      </c>
    </row>
    <row r="48">
      <c r="A48" s="134" t="s">
        <v>1388</v>
      </c>
      <c r="B48" s="220" t="s">
        <v>1394</v>
      </c>
      <c r="C48" s="134" t="s">
        <v>1395</v>
      </c>
      <c r="D48" s="224" t="s">
        <v>1396</v>
      </c>
      <c r="E48" s="222"/>
      <c r="F48" s="134" t="s">
        <v>1398</v>
      </c>
    </row>
    <row r="49">
      <c r="A49" s="134"/>
      <c r="B49" s="220"/>
      <c r="C49" s="134"/>
      <c r="D49" s="223"/>
      <c r="E49" s="222"/>
      <c r="F49" s="222"/>
    </row>
    <row r="50">
      <c r="A50" s="134"/>
      <c r="B50" s="220"/>
      <c r="C50" s="134"/>
      <c r="D50" s="223"/>
      <c r="E50" s="222"/>
      <c r="F50" s="134"/>
    </row>
    <row r="51">
      <c r="A51" s="134" t="s">
        <v>1405</v>
      </c>
      <c r="B51" s="220" t="s">
        <v>1406</v>
      </c>
      <c r="C51" s="134" t="s">
        <v>1286</v>
      </c>
      <c r="D51" s="223"/>
      <c r="E51" s="222"/>
      <c r="F51" s="134" t="s">
        <v>1407</v>
      </c>
    </row>
    <row r="52">
      <c r="A52" s="134"/>
      <c r="B52" s="220"/>
      <c r="C52" s="134"/>
      <c r="D52" s="223"/>
      <c r="E52" s="222"/>
      <c r="F52" s="222"/>
    </row>
    <row r="53">
      <c r="A53" s="134" t="s">
        <v>1409</v>
      </c>
      <c r="B53" s="220" t="s">
        <v>1410</v>
      </c>
      <c r="C53" s="134" t="s">
        <v>1240</v>
      </c>
      <c r="D53" s="221"/>
      <c r="E53" s="222"/>
      <c r="F53" s="134" t="s">
        <v>1411</v>
      </c>
    </row>
    <row r="54">
      <c r="A54" s="134" t="s">
        <v>1409</v>
      </c>
      <c r="B54" s="220" t="s">
        <v>1412</v>
      </c>
      <c r="C54" s="134" t="s">
        <v>1205</v>
      </c>
      <c r="D54" s="223"/>
      <c r="E54" s="222"/>
      <c r="F54" s="134" t="s">
        <v>1414</v>
      </c>
    </row>
    <row r="55">
      <c r="A55" s="134"/>
      <c r="B55" s="220"/>
      <c r="C55" s="134"/>
      <c r="D55" s="223"/>
      <c r="E55" s="222"/>
      <c r="F55" s="222"/>
    </row>
    <row r="56">
      <c r="A56" s="134" t="s">
        <v>1418</v>
      </c>
      <c r="B56" s="220" t="s">
        <v>1292</v>
      </c>
      <c r="C56" s="134" t="s">
        <v>1213</v>
      </c>
      <c r="D56" s="223"/>
      <c r="E56" s="222"/>
      <c r="F56" s="134" t="s">
        <v>1421</v>
      </c>
    </row>
    <row r="57">
      <c r="A57" s="134" t="s">
        <v>1418</v>
      </c>
      <c r="B57" s="220" t="s">
        <v>1422</v>
      </c>
      <c r="C57" s="134" t="s">
        <v>1296</v>
      </c>
      <c r="E57" s="222"/>
      <c r="F57" s="134" t="s">
        <v>1425</v>
      </c>
    </row>
    <row r="58">
      <c r="A58" s="134"/>
      <c r="B58" s="220"/>
      <c r="C58" s="134"/>
      <c r="D58" s="223"/>
      <c r="E58" s="222"/>
      <c r="F58" s="222"/>
    </row>
    <row r="59">
      <c r="A59" s="134" t="s">
        <v>1427</v>
      </c>
      <c r="B59" s="220" t="s">
        <v>1428</v>
      </c>
      <c r="C59" s="134" t="s">
        <v>1429</v>
      </c>
      <c r="D59" s="223"/>
      <c r="E59" s="222"/>
      <c r="F59" s="222"/>
    </row>
    <row r="60">
      <c r="A60" s="134" t="s">
        <v>1427</v>
      </c>
      <c r="B60" s="220" t="s">
        <v>1432</v>
      </c>
      <c r="C60" s="134" t="s">
        <v>1338</v>
      </c>
      <c r="D60" s="223"/>
      <c r="E60" s="222"/>
      <c r="F60" s="134" t="s">
        <v>1434</v>
      </c>
    </row>
    <row r="61">
      <c r="A61" s="134" t="s">
        <v>1427</v>
      </c>
      <c r="B61" s="220" t="s">
        <v>1436</v>
      </c>
      <c r="C61" s="134" t="s">
        <v>1296</v>
      </c>
      <c r="D61" s="224" t="s">
        <v>1437</v>
      </c>
      <c r="E61" s="222"/>
      <c r="F61" s="134" t="s">
        <v>1441</v>
      </c>
    </row>
    <row r="62">
      <c r="A62" s="134"/>
      <c r="B62" s="220"/>
      <c r="C62" s="134"/>
      <c r="D62" s="223"/>
      <c r="E62" s="222"/>
      <c r="F62" s="134" t="s">
        <v>1442</v>
      </c>
    </row>
    <row r="63">
      <c r="A63" s="134"/>
      <c r="B63" s="220"/>
      <c r="C63" s="134"/>
      <c r="D63" s="223"/>
      <c r="E63" s="222"/>
      <c r="F63" s="222"/>
    </row>
    <row r="64">
      <c r="A64" s="134" t="s">
        <v>1447</v>
      </c>
      <c r="B64" s="220" t="s">
        <v>1448</v>
      </c>
      <c r="C64" s="134" t="s">
        <v>1296</v>
      </c>
      <c r="D64" s="224" t="s">
        <v>1449</v>
      </c>
      <c r="E64" s="222"/>
      <c r="F64" s="134" t="s">
        <v>1454</v>
      </c>
    </row>
    <row r="65">
      <c r="A65" s="134" t="s">
        <v>1447</v>
      </c>
      <c r="B65" s="220" t="s">
        <v>1456</v>
      </c>
      <c r="C65" s="134" t="s">
        <v>1457</v>
      </c>
      <c r="D65" s="224" t="s">
        <v>1458</v>
      </c>
      <c r="E65" s="222"/>
      <c r="F65" s="134" t="s">
        <v>1463</v>
      </c>
    </row>
    <row r="66">
      <c r="A66" s="134" t="s">
        <v>1447</v>
      </c>
      <c r="B66" s="220" t="s">
        <v>1465</v>
      </c>
      <c r="C66" s="134" t="s">
        <v>1466</v>
      </c>
      <c r="D66" s="224" t="s">
        <v>1467</v>
      </c>
      <c r="E66" s="222"/>
      <c r="F66" s="134" t="s">
        <v>1471</v>
      </c>
    </row>
    <row r="67">
      <c r="A67" s="134" t="s">
        <v>1472</v>
      </c>
      <c r="B67" s="220" t="s">
        <v>1473</v>
      </c>
      <c r="C67" s="134" t="s">
        <v>1474</v>
      </c>
      <c r="D67" s="224" t="s">
        <v>1475</v>
      </c>
      <c r="E67" s="222"/>
      <c r="F67" s="134" t="s">
        <v>1481</v>
      </c>
      <c r="G67" s="134" t="s">
        <v>1447</v>
      </c>
      <c r="H67" s="132" t="s">
        <v>1484</v>
      </c>
      <c r="I67" s="134" t="s">
        <v>51</v>
      </c>
      <c r="J67" s="224" t="s">
        <v>1485</v>
      </c>
      <c r="K67" s="222"/>
      <c r="N67" s="134" t="s">
        <v>1488</v>
      </c>
    </row>
    <row r="68">
      <c r="A68" s="87" t="s">
        <v>1447</v>
      </c>
      <c r="B68" s="240" t="s">
        <v>1490</v>
      </c>
      <c r="C68" s="87" t="s">
        <v>1491</v>
      </c>
      <c r="D68" s="136" t="s">
        <v>1492</v>
      </c>
      <c r="E68" s="87">
        <v>9.19810649593E11</v>
      </c>
      <c r="F68" s="87" t="s">
        <v>1497</v>
      </c>
    </row>
    <row r="69">
      <c r="A69" s="87" t="s">
        <v>1447</v>
      </c>
      <c r="B69" s="240" t="s">
        <v>1498</v>
      </c>
      <c r="C69" s="87" t="s">
        <v>1499</v>
      </c>
      <c r="D69" s="136" t="s">
        <v>1500</v>
      </c>
      <c r="F69" s="87" t="s">
        <v>1502</v>
      </c>
    </row>
    <row r="70">
      <c r="B70" s="241"/>
    </row>
    <row r="71">
      <c r="A71" s="134"/>
      <c r="B71" s="220"/>
      <c r="C71" s="134"/>
      <c r="D71" s="223"/>
      <c r="E71" s="222"/>
      <c r="F71" s="222"/>
    </row>
    <row r="72">
      <c r="A72" s="134" t="s">
        <v>1507</v>
      </c>
      <c r="B72" s="220" t="s">
        <v>1508</v>
      </c>
      <c r="C72" s="134" t="s">
        <v>1338</v>
      </c>
      <c r="D72" s="224" t="s">
        <v>1510</v>
      </c>
      <c r="E72" s="222"/>
      <c r="F72" s="222"/>
    </row>
    <row r="73">
      <c r="A73" s="134" t="s">
        <v>1507</v>
      </c>
      <c r="B73" s="220" t="s">
        <v>1517</v>
      </c>
      <c r="C73" s="134" t="s">
        <v>1205</v>
      </c>
      <c r="D73" s="224" t="s">
        <v>1518</v>
      </c>
      <c r="E73" s="222"/>
      <c r="F73" s="134" t="s">
        <v>1520</v>
      </c>
    </row>
    <row r="74">
      <c r="A74" s="134"/>
      <c r="B74" s="220"/>
      <c r="C74" s="134"/>
      <c r="D74" s="223"/>
      <c r="E74" s="222"/>
      <c r="F74" s="222"/>
    </row>
    <row r="75">
      <c r="A75" s="134" t="s">
        <v>1525</v>
      </c>
      <c r="B75" s="220" t="s">
        <v>1526</v>
      </c>
      <c r="C75" s="134" t="s">
        <v>1528</v>
      </c>
      <c r="D75" s="223"/>
      <c r="E75" s="222"/>
      <c r="F75" s="134" t="s">
        <v>1530</v>
      </c>
    </row>
    <row r="76">
      <c r="A76" s="134" t="s">
        <v>1525</v>
      </c>
      <c r="B76" s="220" t="s">
        <v>1531</v>
      </c>
      <c r="C76" s="134" t="s">
        <v>1271</v>
      </c>
      <c r="D76" s="223"/>
      <c r="E76" s="222"/>
      <c r="F76" s="134" t="s">
        <v>1532</v>
      </c>
    </row>
    <row r="77">
      <c r="A77" s="134"/>
      <c r="B77" s="220"/>
      <c r="C77" s="134"/>
      <c r="D77" s="223"/>
      <c r="E77" s="222"/>
      <c r="F77" s="222"/>
    </row>
    <row r="78">
      <c r="A78" s="134" t="s">
        <v>1536</v>
      </c>
      <c r="B78" s="220" t="s">
        <v>1538</v>
      </c>
      <c r="C78" s="134" t="s">
        <v>1539</v>
      </c>
      <c r="D78" s="224" t="s">
        <v>1540</v>
      </c>
      <c r="E78" s="222"/>
      <c r="F78" s="134" t="s">
        <v>1544</v>
      </c>
    </row>
    <row r="79">
      <c r="A79" s="134" t="s">
        <v>1536</v>
      </c>
      <c r="B79" s="220" t="s">
        <v>1548</v>
      </c>
      <c r="C79" s="134" t="s">
        <v>1549</v>
      </c>
      <c r="D79" s="224" t="s">
        <v>1551</v>
      </c>
      <c r="E79" s="222"/>
      <c r="F79" s="134" t="s">
        <v>1555</v>
      </c>
    </row>
    <row r="80">
      <c r="A80" s="134"/>
      <c r="B80" s="220"/>
      <c r="C80" s="134"/>
      <c r="D80" s="223"/>
      <c r="E80" s="222"/>
      <c r="F80" s="222"/>
    </row>
    <row r="81">
      <c r="A81" s="87" t="s">
        <v>1556</v>
      </c>
      <c r="B81" s="242" t="s">
        <v>1557</v>
      </c>
      <c r="C81" s="87" t="s">
        <v>224</v>
      </c>
      <c r="D81" s="136" t="s">
        <v>1558</v>
      </c>
      <c r="F81" s="87" t="s">
        <v>1560</v>
      </c>
    </row>
    <row r="82">
      <c r="A82" s="87" t="s">
        <v>1556</v>
      </c>
      <c r="B82" s="242" t="s">
        <v>1562</v>
      </c>
      <c r="C82" s="87" t="s">
        <v>1563</v>
      </c>
      <c r="D82" s="136" t="s">
        <v>1564</v>
      </c>
      <c r="F82" s="87" t="s">
        <v>1570</v>
      </c>
      <c r="G82" s="87" t="s">
        <v>1571</v>
      </c>
    </row>
    <row r="83">
      <c r="A83" s="87" t="s">
        <v>1556</v>
      </c>
      <c r="B83" s="242" t="s">
        <v>1575</v>
      </c>
      <c r="C83" s="87" t="s">
        <v>51</v>
      </c>
      <c r="D83" s="136" t="s">
        <v>1576</v>
      </c>
      <c r="F83" s="87" t="s">
        <v>1578</v>
      </c>
    </row>
    <row r="84">
      <c r="A84" s="87" t="s">
        <v>1556</v>
      </c>
      <c r="B84" s="242" t="s">
        <v>1579</v>
      </c>
      <c r="C84" s="87" t="s">
        <v>1296</v>
      </c>
      <c r="D84" s="136" t="s">
        <v>1580</v>
      </c>
      <c r="F84" s="87" t="s">
        <v>1585</v>
      </c>
    </row>
    <row r="85">
      <c r="A85" s="87" t="s">
        <v>1556</v>
      </c>
      <c r="B85" s="189" t="s">
        <v>1587</v>
      </c>
      <c r="C85" s="87" t="s">
        <v>1588</v>
      </c>
      <c r="D85" s="136" t="s">
        <v>1589</v>
      </c>
      <c r="F85" s="87" t="s">
        <v>1594</v>
      </c>
    </row>
    <row r="86">
      <c r="A86" s="87" t="s">
        <v>1596</v>
      </c>
      <c r="B86" s="132"/>
      <c r="C86" s="134"/>
      <c r="D86" s="223"/>
      <c r="F86" s="134"/>
    </row>
    <row r="87">
      <c r="A87" s="87" t="s">
        <v>1556</v>
      </c>
      <c r="B87" s="244" t="s">
        <v>1598</v>
      </c>
      <c r="C87" s="134" t="s">
        <v>1599</v>
      </c>
      <c r="D87" s="224" t="s">
        <v>1600</v>
      </c>
      <c r="F87" s="134" t="s">
        <v>1603</v>
      </c>
    </row>
    <row r="88">
      <c r="A88" s="87" t="s">
        <v>1556</v>
      </c>
      <c r="B88" s="244" t="s">
        <v>1605</v>
      </c>
      <c r="C88" s="134" t="s">
        <v>1607</v>
      </c>
      <c r="D88" s="224" t="s">
        <v>1609</v>
      </c>
      <c r="F88" s="134" t="s">
        <v>1614</v>
      </c>
    </row>
    <row r="89">
      <c r="A89" s="87" t="s">
        <v>1556</v>
      </c>
      <c r="B89" s="244" t="s">
        <v>1615</v>
      </c>
      <c r="C89" s="134" t="s">
        <v>1617</v>
      </c>
      <c r="D89" s="224" t="s">
        <v>1618</v>
      </c>
      <c r="F89" s="134" t="s">
        <v>1624</v>
      </c>
    </row>
    <row r="90">
      <c r="A90" s="87" t="s">
        <v>1556</v>
      </c>
      <c r="B90" s="244" t="s">
        <v>1625</v>
      </c>
      <c r="C90" s="134" t="s">
        <v>1626</v>
      </c>
      <c r="D90" s="224" t="s">
        <v>1627</v>
      </c>
      <c r="F90" s="134" t="s">
        <v>1629</v>
      </c>
    </row>
    <row r="91">
      <c r="A91" s="87" t="s">
        <v>1556</v>
      </c>
      <c r="B91" s="244" t="s">
        <v>1632</v>
      </c>
      <c r="C91" s="134" t="s">
        <v>1635</v>
      </c>
      <c r="D91" s="224" t="s">
        <v>1636</v>
      </c>
      <c r="F91" s="134" t="s">
        <v>1639</v>
      </c>
    </row>
    <row r="92">
      <c r="B92" s="132"/>
      <c r="C92" s="134"/>
      <c r="D92" s="223"/>
      <c r="F92" s="134"/>
    </row>
    <row r="93">
      <c r="B93" s="132"/>
      <c r="C93" s="134"/>
      <c r="D93" s="223"/>
      <c r="F93" s="134"/>
    </row>
    <row r="94">
      <c r="B94" s="132" t="s">
        <v>1646</v>
      </c>
      <c r="C94" s="134" t="s">
        <v>1240</v>
      </c>
      <c r="D94" s="223"/>
      <c r="F94" s="134" t="s">
        <v>1648</v>
      </c>
    </row>
    <row r="95">
      <c r="A95" s="134" t="s">
        <v>1649</v>
      </c>
      <c r="B95" s="132" t="s">
        <v>1650</v>
      </c>
      <c r="C95" s="134" t="s">
        <v>1651</v>
      </c>
      <c r="D95" s="223"/>
      <c r="F95" s="87" t="s">
        <v>1652</v>
      </c>
    </row>
    <row r="96">
      <c r="A96" s="134"/>
      <c r="B96" s="132"/>
      <c r="C96" s="134"/>
      <c r="D96" s="223"/>
      <c r="E96" s="222"/>
      <c r="F96" s="222"/>
    </row>
    <row r="97">
      <c r="A97" s="134" t="s">
        <v>1654</v>
      </c>
      <c r="B97" s="220" t="s">
        <v>1656</v>
      </c>
      <c r="C97" s="134" t="s">
        <v>147</v>
      </c>
      <c r="D97" s="224" t="s">
        <v>1658</v>
      </c>
      <c r="E97" s="222"/>
      <c r="F97" s="134" t="s">
        <v>1662</v>
      </c>
    </row>
    <row r="98">
      <c r="A98" s="134" t="s">
        <v>1654</v>
      </c>
      <c r="B98" s="220" t="s">
        <v>1666</v>
      </c>
      <c r="C98" s="134" t="s">
        <v>1296</v>
      </c>
      <c r="D98" s="224" t="s">
        <v>1667</v>
      </c>
      <c r="E98" s="222"/>
      <c r="F98" s="134" t="s">
        <v>1672</v>
      </c>
    </row>
    <row r="99">
      <c r="A99" s="134" t="s">
        <v>1654</v>
      </c>
      <c r="B99" s="132" t="s">
        <v>1673</v>
      </c>
      <c r="C99" s="134" t="s">
        <v>1674</v>
      </c>
      <c r="D99" s="247" t="s">
        <v>1675</v>
      </c>
      <c r="E99" s="222"/>
      <c r="F99" s="134" t="s">
        <v>1678</v>
      </c>
    </row>
    <row r="100">
      <c r="A100" s="134" t="s">
        <v>1654</v>
      </c>
      <c r="B100" s="220" t="s">
        <v>1684</v>
      </c>
      <c r="C100" s="134" t="s">
        <v>1296</v>
      </c>
      <c r="D100" s="224" t="s">
        <v>1685</v>
      </c>
      <c r="E100" s="222"/>
      <c r="F100" s="134" t="s">
        <v>1689</v>
      </c>
    </row>
    <row r="101">
      <c r="A101" s="134" t="s">
        <v>1654</v>
      </c>
      <c r="B101" s="220" t="s">
        <v>1690</v>
      </c>
      <c r="C101" s="134" t="s">
        <v>1296</v>
      </c>
      <c r="D101" s="248" t="s">
        <v>1691</v>
      </c>
      <c r="E101" s="222"/>
      <c r="F101" s="134" t="s">
        <v>1696</v>
      </c>
    </row>
    <row r="102">
      <c r="A102" s="134" t="s">
        <v>1654</v>
      </c>
      <c r="B102" s="220" t="s">
        <v>1697</v>
      </c>
      <c r="C102" s="134" t="s">
        <v>1698</v>
      </c>
      <c r="D102" s="248" t="s">
        <v>1700</v>
      </c>
      <c r="E102" s="222"/>
      <c r="F102" s="134" t="s">
        <v>1704</v>
      </c>
    </row>
    <row r="103">
      <c r="A103" s="134" t="s">
        <v>1654</v>
      </c>
      <c r="B103" s="132" t="s">
        <v>1705</v>
      </c>
      <c r="C103" s="134" t="s">
        <v>1706</v>
      </c>
      <c r="D103" s="248" t="s">
        <v>1707</v>
      </c>
      <c r="E103" s="222">
        <f>919820192152</f>
        <v>919820192152</v>
      </c>
      <c r="F103" s="134" t="s">
        <v>1713</v>
      </c>
    </row>
    <row r="104">
      <c r="A104" s="134"/>
      <c r="B104" s="132"/>
      <c r="C104" s="134"/>
      <c r="D104" s="134"/>
      <c r="E104" s="222"/>
      <c r="F104" s="134"/>
    </row>
    <row r="105">
      <c r="A105" s="134"/>
      <c r="B105" s="132"/>
      <c r="C105" s="134"/>
      <c r="D105" s="134"/>
      <c r="E105" s="222"/>
      <c r="F105" s="134"/>
    </row>
    <row r="106">
      <c r="A106" s="134" t="s">
        <v>1718</v>
      </c>
      <c r="B106" s="132" t="s">
        <v>1719</v>
      </c>
      <c r="C106" s="134" t="s">
        <v>1213</v>
      </c>
      <c r="D106" s="248" t="s">
        <v>1720</v>
      </c>
      <c r="E106" s="222"/>
      <c r="F106" s="134" t="s">
        <v>1293</v>
      </c>
    </row>
    <row r="107">
      <c r="A107" s="134" t="s">
        <v>1718</v>
      </c>
      <c r="B107" s="132" t="s">
        <v>1729</v>
      </c>
      <c r="C107" s="134" t="s">
        <v>1730</v>
      </c>
      <c r="D107" s="223"/>
      <c r="E107" s="222"/>
      <c r="F107" s="222"/>
    </row>
    <row r="108">
      <c r="A108" s="134"/>
      <c r="B108" s="132"/>
      <c r="C108" s="134"/>
      <c r="D108" s="223"/>
      <c r="E108" s="222"/>
      <c r="F108" s="222"/>
    </row>
    <row r="109">
      <c r="A109" s="134" t="s">
        <v>1734</v>
      </c>
      <c r="B109" s="220" t="s">
        <v>1735</v>
      </c>
      <c r="C109" s="134" t="s">
        <v>1474</v>
      </c>
      <c r="D109" s="224" t="s">
        <v>1737</v>
      </c>
      <c r="E109" s="222"/>
      <c r="F109" s="134" t="s">
        <v>1739</v>
      </c>
    </row>
    <row r="110">
      <c r="A110" s="134" t="s">
        <v>1740</v>
      </c>
      <c r="B110" s="220" t="s">
        <v>1741</v>
      </c>
      <c r="C110" s="134" t="s">
        <v>1296</v>
      </c>
      <c r="D110" s="224" t="s">
        <v>1743</v>
      </c>
      <c r="E110" s="222"/>
      <c r="F110" s="134" t="s">
        <v>1747</v>
      </c>
    </row>
    <row r="111">
      <c r="A111" s="134" t="s">
        <v>1734</v>
      </c>
      <c r="B111" s="220" t="s">
        <v>1748</v>
      </c>
      <c r="C111" s="134" t="s">
        <v>1296</v>
      </c>
      <c r="D111" s="224" t="s">
        <v>1751</v>
      </c>
      <c r="E111" s="222"/>
      <c r="F111" s="134" t="s">
        <v>1755</v>
      </c>
    </row>
    <row r="112">
      <c r="A112" s="134" t="s">
        <v>1740</v>
      </c>
      <c r="B112" s="220" t="s">
        <v>1756</v>
      </c>
      <c r="C112" s="134" t="s">
        <v>1757</v>
      </c>
      <c r="D112" s="224" t="s">
        <v>1758</v>
      </c>
      <c r="E112" s="222"/>
      <c r="F112" s="134" t="s">
        <v>1763</v>
      </c>
    </row>
    <row r="113">
      <c r="A113" s="134" t="s">
        <v>1734</v>
      </c>
      <c r="B113" s="220" t="s">
        <v>1764</v>
      </c>
      <c r="C113" s="134" t="s">
        <v>1765</v>
      </c>
      <c r="D113" s="224" t="s">
        <v>1766</v>
      </c>
      <c r="E113" s="222"/>
      <c r="F113" s="134" t="s">
        <v>1771</v>
      </c>
    </row>
    <row r="114">
      <c r="A114" s="134" t="s">
        <v>1734</v>
      </c>
      <c r="B114" s="220" t="s">
        <v>1772</v>
      </c>
      <c r="C114" s="134" t="s">
        <v>1774</v>
      </c>
      <c r="D114" s="224" t="s">
        <v>1775</v>
      </c>
      <c r="E114" s="222">
        <f>19175453974</f>
        <v>19175453974</v>
      </c>
      <c r="F114" s="134" t="s">
        <v>1776</v>
      </c>
    </row>
    <row r="115">
      <c r="A115" s="134" t="s">
        <v>1740</v>
      </c>
      <c r="B115" s="220" t="s">
        <v>1778</v>
      </c>
      <c r="C115" s="84" t="s">
        <v>1780</v>
      </c>
      <c r="D115" s="224" t="s">
        <v>1782</v>
      </c>
      <c r="E115" s="222"/>
      <c r="F115" s="134" t="s">
        <v>1784</v>
      </c>
    </row>
    <row r="116">
      <c r="A116" s="134"/>
      <c r="B116" s="132"/>
      <c r="C116" s="134"/>
      <c r="D116" s="223"/>
      <c r="E116" s="222"/>
      <c r="F116" s="134"/>
    </row>
    <row r="117">
      <c r="A117" s="134"/>
      <c r="B117" s="132"/>
      <c r="C117" s="134"/>
      <c r="D117" s="223"/>
      <c r="E117" s="222"/>
      <c r="F117" s="134"/>
    </row>
    <row r="118">
      <c r="A118" s="134" t="s">
        <v>1785</v>
      </c>
      <c r="B118" s="132" t="s">
        <v>1786</v>
      </c>
      <c r="C118" s="134" t="s">
        <v>1240</v>
      </c>
      <c r="D118" s="224" t="s">
        <v>1787</v>
      </c>
      <c r="E118" s="222"/>
      <c r="F118" s="134" t="s">
        <v>1793</v>
      </c>
      <c r="L118" s="26"/>
    </row>
    <row r="119">
      <c r="A119" s="134" t="s">
        <v>1785</v>
      </c>
      <c r="B119" s="132" t="s">
        <v>1794</v>
      </c>
      <c r="C119" s="134" t="s">
        <v>1351</v>
      </c>
      <c r="D119" s="224" t="s">
        <v>1795</v>
      </c>
      <c r="E119" s="222"/>
      <c r="F119" s="134" t="s">
        <v>1798</v>
      </c>
      <c r="L119" s="26"/>
    </row>
    <row r="120">
      <c r="A120" s="134"/>
      <c r="B120" s="132"/>
      <c r="C120" s="134"/>
      <c r="D120" s="223"/>
      <c r="E120" s="222"/>
      <c r="F120" s="222"/>
      <c r="L120" s="26"/>
    </row>
    <row r="121">
      <c r="A121" s="134" t="s">
        <v>1803</v>
      </c>
      <c r="B121" s="132" t="s">
        <v>1804</v>
      </c>
      <c r="C121" s="134" t="s">
        <v>51</v>
      </c>
      <c r="D121" s="224" t="s">
        <v>1805</v>
      </c>
      <c r="E121" s="222"/>
      <c r="F121" s="222"/>
      <c r="L121" s="249"/>
    </row>
    <row r="122">
      <c r="A122" s="134" t="s">
        <v>1803</v>
      </c>
      <c r="B122" s="132" t="s">
        <v>1810</v>
      </c>
      <c r="C122" s="134" t="s">
        <v>1811</v>
      </c>
      <c r="D122" s="223"/>
      <c r="E122" s="222"/>
      <c r="F122" s="222"/>
      <c r="L122" s="249"/>
    </row>
    <row r="123">
      <c r="A123" s="134"/>
      <c r="B123" s="132"/>
      <c r="C123" s="134"/>
      <c r="D123" s="223"/>
      <c r="E123" s="222"/>
      <c r="F123" s="222"/>
      <c r="L123" s="249"/>
    </row>
    <row r="124">
      <c r="A124" s="134" t="s">
        <v>1812</v>
      </c>
      <c r="B124" s="220" t="s">
        <v>1813</v>
      </c>
      <c r="C124" s="134" t="s">
        <v>1338</v>
      </c>
      <c r="D124" s="223"/>
      <c r="E124" s="222"/>
      <c r="F124" s="134" t="s">
        <v>1814</v>
      </c>
      <c r="L124" s="250"/>
    </row>
    <row r="125">
      <c r="A125" s="134" t="s">
        <v>1812</v>
      </c>
      <c r="B125" s="132" t="s">
        <v>1819</v>
      </c>
      <c r="C125" s="134" t="s">
        <v>1380</v>
      </c>
      <c r="D125" s="223"/>
      <c r="E125" s="222"/>
      <c r="F125" s="222"/>
      <c r="L125" s="249"/>
    </row>
    <row r="126">
      <c r="A126" s="134"/>
      <c r="B126" s="132"/>
      <c r="C126" s="134"/>
      <c r="D126" s="223"/>
      <c r="E126" s="222"/>
      <c r="F126" s="222"/>
      <c r="L126" s="249"/>
    </row>
    <row r="127">
      <c r="A127" s="134" t="s">
        <v>1823</v>
      </c>
      <c r="B127" s="132" t="s">
        <v>1824</v>
      </c>
      <c r="C127" s="134" t="s">
        <v>1213</v>
      </c>
      <c r="D127" s="223"/>
      <c r="E127" s="222"/>
      <c r="F127" s="222"/>
      <c r="L127" s="249"/>
    </row>
    <row r="128">
      <c r="A128" s="134" t="s">
        <v>1823</v>
      </c>
      <c r="B128" s="220" t="s">
        <v>1827</v>
      </c>
      <c r="C128" s="134" t="s">
        <v>1296</v>
      </c>
      <c r="D128" s="224" t="s">
        <v>1829</v>
      </c>
      <c r="E128" s="222"/>
      <c r="F128" s="134" t="s">
        <v>1831</v>
      </c>
      <c r="L128" s="249"/>
    </row>
    <row r="129">
      <c r="A129" s="134" t="s">
        <v>1823</v>
      </c>
      <c r="B129" s="220" t="s">
        <v>1832</v>
      </c>
      <c r="C129" s="134" t="s">
        <v>1833</v>
      </c>
      <c r="D129" s="224" t="s">
        <v>1834</v>
      </c>
      <c r="E129" s="222"/>
      <c r="F129" s="134" t="s">
        <v>1839</v>
      </c>
      <c r="L129" s="249"/>
    </row>
    <row r="130">
      <c r="A130" s="134" t="s">
        <v>1823</v>
      </c>
      <c r="B130" s="220" t="s">
        <v>1842</v>
      </c>
      <c r="C130" s="134" t="s">
        <v>1843</v>
      </c>
      <c r="D130" s="224" t="s">
        <v>1844</v>
      </c>
      <c r="E130" s="222"/>
      <c r="F130" s="134" t="s">
        <v>1847</v>
      </c>
      <c r="L130" s="249"/>
    </row>
    <row r="131">
      <c r="A131" s="134"/>
      <c r="B131" s="132"/>
      <c r="C131" s="134"/>
      <c r="D131" s="223"/>
      <c r="E131" s="222"/>
      <c r="F131" s="222"/>
      <c r="L131" s="249"/>
    </row>
    <row r="132">
      <c r="A132" s="134" t="s">
        <v>1850</v>
      </c>
      <c r="B132" s="132" t="s">
        <v>1719</v>
      </c>
      <c r="C132" s="134" t="s">
        <v>1213</v>
      </c>
      <c r="D132" s="224" t="s">
        <v>1720</v>
      </c>
      <c r="E132" s="222"/>
      <c r="F132" s="134" t="s">
        <v>1293</v>
      </c>
      <c r="L132" s="249"/>
    </row>
    <row r="133">
      <c r="A133" s="134" t="s">
        <v>1850</v>
      </c>
      <c r="B133" s="220" t="s">
        <v>1851</v>
      </c>
      <c r="C133" s="134" t="s">
        <v>1852</v>
      </c>
      <c r="D133" s="224" t="s">
        <v>1853</v>
      </c>
      <c r="E133" s="222"/>
      <c r="F133" s="134" t="s">
        <v>1858</v>
      </c>
      <c r="L133" s="249"/>
    </row>
    <row r="134">
      <c r="A134" s="134"/>
      <c r="B134" s="132"/>
      <c r="C134" s="134"/>
      <c r="D134" s="223"/>
      <c r="E134" s="222"/>
      <c r="F134" s="222"/>
      <c r="L134" s="249"/>
    </row>
    <row r="135">
      <c r="A135" s="134" t="s">
        <v>1861</v>
      </c>
      <c r="B135" s="132" t="s">
        <v>1862</v>
      </c>
      <c r="C135" s="134" t="s">
        <v>1296</v>
      </c>
      <c r="D135" s="223"/>
      <c r="E135" s="222"/>
      <c r="F135" s="134" t="s">
        <v>1866</v>
      </c>
      <c r="L135" s="249"/>
    </row>
    <row r="136">
      <c r="A136" s="134" t="s">
        <v>1861</v>
      </c>
      <c r="B136" s="220" t="s">
        <v>1867</v>
      </c>
      <c r="C136" s="134" t="s">
        <v>1868</v>
      </c>
      <c r="D136" s="223"/>
      <c r="E136" s="222"/>
      <c r="F136" s="134" t="s">
        <v>1869</v>
      </c>
      <c r="L136" s="249"/>
    </row>
    <row r="137">
      <c r="A137" s="134"/>
      <c r="B137" s="132"/>
      <c r="C137" s="134"/>
      <c r="D137" s="223"/>
      <c r="E137" s="222"/>
      <c r="F137" s="222"/>
      <c r="L137" s="249"/>
    </row>
    <row r="138">
      <c r="A138" s="134" t="s">
        <v>1871</v>
      </c>
      <c r="B138" s="220" t="s">
        <v>1872</v>
      </c>
      <c r="C138" s="134" t="s">
        <v>1873</v>
      </c>
      <c r="D138" s="224" t="s">
        <v>1874</v>
      </c>
      <c r="E138" s="222"/>
      <c r="F138" s="134" t="s">
        <v>1880</v>
      </c>
      <c r="L138" s="249"/>
    </row>
    <row r="139">
      <c r="A139" s="134" t="s">
        <v>1871</v>
      </c>
      <c r="B139" s="220" t="s">
        <v>1882</v>
      </c>
      <c r="C139" s="134" t="s">
        <v>1883</v>
      </c>
      <c r="D139" s="224" t="s">
        <v>1884</v>
      </c>
      <c r="E139" s="222"/>
      <c r="F139" s="134" t="s">
        <v>1887</v>
      </c>
      <c r="L139" s="249"/>
    </row>
    <row r="140">
      <c r="A140" s="134"/>
      <c r="B140" s="132"/>
      <c r="C140" s="134"/>
      <c r="D140" s="223"/>
      <c r="E140" s="222"/>
      <c r="F140" s="222"/>
      <c r="L140" s="249"/>
    </row>
    <row r="141">
      <c r="A141" s="134" t="s">
        <v>1892</v>
      </c>
      <c r="B141" s="132" t="s">
        <v>1893</v>
      </c>
      <c r="C141" s="134" t="s">
        <v>1894</v>
      </c>
      <c r="D141" s="224" t="s">
        <v>1895</v>
      </c>
      <c r="E141" s="222"/>
      <c r="L141" s="249"/>
    </row>
    <row r="142">
      <c r="A142" s="134" t="s">
        <v>1892</v>
      </c>
      <c r="B142" s="220" t="s">
        <v>1896</v>
      </c>
      <c r="C142" s="134" t="s">
        <v>1897</v>
      </c>
      <c r="D142" s="224" t="s">
        <v>1899</v>
      </c>
      <c r="E142" s="222"/>
      <c r="F142" s="134" t="s">
        <v>1906</v>
      </c>
      <c r="L142" s="249"/>
    </row>
    <row r="143">
      <c r="A143" s="134"/>
      <c r="B143" s="132"/>
      <c r="C143" s="134"/>
      <c r="D143" s="223"/>
      <c r="E143" s="222"/>
      <c r="F143" s="222"/>
      <c r="L143" s="249"/>
    </row>
    <row r="144">
      <c r="A144" s="134" t="s">
        <v>1908</v>
      </c>
      <c r="B144" s="220" t="s">
        <v>1909</v>
      </c>
      <c r="C144" s="134" t="s">
        <v>1296</v>
      </c>
      <c r="D144" s="223"/>
      <c r="E144" s="222"/>
      <c r="F144" s="134" t="s">
        <v>1910</v>
      </c>
      <c r="L144" s="249"/>
    </row>
    <row r="145">
      <c r="A145" s="134" t="s">
        <v>1908</v>
      </c>
      <c r="B145" s="132"/>
      <c r="C145" s="134"/>
      <c r="D145" s="224" t="s">
        <v>1912</v>
      </c>
      <c r="E145" s="222"/>
      <c r="F145" s="134" t="s">
        <v>1919</v>
      </c>
      <c r="L145" s="249"/>
    </row>
    <row r="146">
      <c r="A146" s="134" t="s">
        <v>1908</v>
      </c>
      <c r="B146" s="132" t="s">
        <v>1920</v>
      </c>
      <c r="C146" s="134" t="s">
        <v>1921</v>
      </c>
      <c r="D146" s="224" t="s">
        <v>1922</v>
      </c>
      <c r="E146" s="222"/>
      <c r="F146" s="134" t="s">
        <v>1926</v>
      </c>
      <c r="L146" s="249"/>
    </row>
    <row r="147">
      <c r="A147" s="134" t="s">
        <v>1908</v>
      </c>
      <c r="B147" s="220" t="s">
        <v>1927</v>
      </c>
      <c r="C147" s="134" t="s">
        <v>1296</v>
      </c>
      <c r="D147" s="224" t="s">
        <v>1928</v>
      </c>
      <c r="E147" s="222"/>
      <c r="F147" s="134" t="s">
        <v>1932</v>
      </c>
      <c r="L147" s="249"/>
    </row>
    <row r="148">
      <c r="A148" s="134" t="s">
        <v>1908</v>
      </c>
      <c r="B148" s="242" t="s">
        <v>1934</v>
      </c>
      <c r="C148" s="134" t="s">
        <v>1296</v>
      </c>
      <c r="D148" s="224" t="s">
        <v>1935</v>
      </c>
      <c r="E148" s="222"/>
      <c r="F148" s="134" t="s">
        <v>1937</v>
      </c>
      <c r="L148" s="249"/>
    </row>
    <row r="149">
      <c r="A149" s="134" t="s">
        <v>1908</v>
      </c>
      <c r="B149" s="189" t="s">
        <v>1938</v>
      </c>
      <c r="C149" s="134" t="s">
        <v>1939</v>
      </c>
      <c r="D149" s="224" t="s">
        <v>1940</v>
      </c>
      <c r="E149" s="222"/>
      <c r="F149" s="134" t="s">
        <v>1947</v>
      </c>
      <c r="L149" s="249"/>
    </row>
    <row r="150">
      <c r="A150" s="134" t="s">
        <v>1908</v>
      </c>
      <c r="B150" s="189" t="s">
        <v>1948</v>
      </c>
      <c r="C150" s="134" t="s">
        <v>1949</v>
      </c>
      <c r="D150" s="224" t="s">
        <v>1950</v>
      </c>
      <c r="E150" s="222"/>
      <c r="F150" s="134" t="s">
        <v>1951</v>
      </c>
      <c r="L150" s="249"/>
    </row>
    <row r="151">
      <c r="A151" s="134"/>
      <c r="B151" s="252"/>
      <c r="C151" s="134"/>
      <c r="D151" s="223"/>
      <c r="E151" s="222"/>
      <c r="F151" s="222"/>
      <c r="L151" s="249"/>
    </row>
    <row r="152">
      <c r="A152" s="134" t="s">
        <v>1954</v>
      </c>
      <c r="B152" s="132" t="s">
        <v>1956</v>
      </c>
      <c r="C152" s="134" t="s">
        <v>1213</v>
      </c>
      <c r="D152" s="223"/>
      <c r="E152" s="222"/>
      <c r="F152" s="222"/>
      <c r="L152" s="249"/>
    </row>
    <row r="153">
      <c r="A153" s="134" t="s">
        <v>1954</v>
      </c>
      <c r="B153" s="220" t="s">
        <v>1958</v>
      </c>
      <c r="C153" s="134" t="s">
        <v>1338</v>
      </c>
      <c r="D153" s="224" t="s">
        <v>1959</v>
      </c>
      <c r="E153" s="222"/>
      <c r="F153" s="134" t="s">
        <v>1965</v>
      </c>
      <c r="L153" s="249"/>
    </row>
    <row r="154">
      <c r="A154" s="134"/>
      <c r="B154" s="132"/>
      <c r="C154" s="134"/>
      <c r="D154" s="223"/>
      <c r="E154" s="222"/>
      <c r="F154" s="134" t="s">
        <v>1966</v>
      </c>
      <c r="L154" s="249"/>
    </row>
    <row r="155">
      <c r="A155" s="134"/>
      <c r="B155" s="132"/>
      <c r="C155" s="134"/>
      <c r="D155" s="223"/>
      <c r="E155" s="222"/>
      <c r="F155" s="134" t="s">
        <v>1968</v>
      </c>
      <c r="L155" s="249"/>
    </row>
    <row r="156">
      <c r="A156" s="134" t="s">
        <v>1969</v>
      </c>
      <c r="B156" s="220" t="s">
        <v>1971</v>
      </c>
      <c r="C156" s="134" t="s">
        <v>1240</v>
      </c>
      <c r="D156" s="224" t="s">
        <v>1974</v>
      </c>
      <c r="E156" s="222"/>
      <c r="F156" s="134" t="s">
        <v>1977</v>
      </c>
      <c r="L156" s="249"/>
    </row>
    <row r="157">
      <c r="A157" s="134"/>
      <c r="B157" s="132"/>
      <c r="C157" s="134"/>
      <c r="D157" s="223"/>
      <c r="E157" s="222"/>
      <c r="F157" s="134" t="s">
        <v>1979</v>
      </c>
      <c r="L157" s="249"/>
    </row>
    <row r="158">
      <c r="A158" s="134" t="s">
        <v>1969</v>
      </c>
      <c r="B158" s="220" t="s">
        <v>1981</v>
      </c>
      <c r="C158" s="134" t="s">
        <v>1982</v>
      </c>
      <c r="D158" s="224" t="s">
        <v>1983</v>
      </c>
      <c r="E158" s="222"/>
      <c r="F158" s="134" t="s">
        <v>1985</v>
      </c>
      <c r="L158" s="26"/>
    </row>
    <row r="159">
      <c r="A159" s="134"/>
      <c r="B159" s="132"/>
      <c r="C159" s="134"/>
      <c r="D159" s="223"/>
      <c r="E159" s="222"/>
      <c r="F159" s="222"/>
      <c r="L159" s="26"/>
    </row>
    <row r="160">
      <c r="A160" s="134" t="s">
        <v>1989</v>
      </c>
      <c r="B160" s="220" t="s">
        <v>1990</v>
      </c>
      <c r="C160" s="134" t="s">
        <v>1992</v>
      </c>
      <c r="D160" s="223"/>
      <c r="E160" s="222"/>
      <c r="F160" s="222"/>
      <c r="L160" s="26"/>
    </row>
    <row r="161">
      <c r="A161" s="134" t="s">
        <v>1989</v>
      </c>
      <c r="B161" s="132" t="s">
        <v>1994</v>
      </c>
      <c r="C161" s="134" t="s">
        <v>1213</v>
      </c>
      <c r="D161" s="223"/>
      <c r="E161" s="222"/>
      <c r="F161" s="222"/>
    </row>
    <row r="162">
      <c r="A162" s="134"/>
      <c r="B162" s="132"/>
      <c r="C162" s="134"/>
      <c r="D162" s="223"/>
      <c r="E162" s="222"/>
      <c r="F162" s="222"/>
    </row>
    <row r="163">
      <c r="A163" s="134" t="s">
        <v>1996</v>
      </c>
      <c r="B163" s="220" t="s">
        <v>1997</v>
      </c>
      <c r="C163" s="134" t="s">
        <v>1286</v>
      </c>
      <c r="D163" s="224" t="s">
        <v>1998</v>
      </c>
      <c r="E163" s="222"/>
      <c r="F163" s="134" t="s">
        <v>2001</v>
      </c>
    </row>
    <row r="164">
      <c r="A164" s="134"/>
      <c r="B164" s="132"/>
      <c r="C164" s="134"/>
      <c r="D164" s="223"/>
      <c r="E164" s="222"/>
      <c r="F164" s="134" t="s">
        <v>2003</v>
      </c>
    </row>
    <row r="165">
      <c r="A165" s="134"/>
      <c r="B165" s="132"/>
      <c r="C165" s="134"/>
      <c r="D165" s="223"/>
      <c r="E165" s="222"/>
      <c r="F165" s="134" t="s">
        <v>2004</v>
      </c>
    </row>
    <row r="166">
      <c r="A166" s="134" t="s">
        <v>2005</v>
      </c>
      <c r="B166" s="220" t="s">
        <v>2006</v>
      </c>
      <c r="C166" s="134" t="s">
        <v>1240</v>
      </c>
      <c r="D166" s="223"/>
      <c r="E166" s="222"/>
      <c r="F166" s="134" t="s">
        <v>2008</v>
      </c>
    </row>
    <row r="167">
      <c r="A167" s="134" t="s">
        <v>2005</v>
      </c>
      <c r="B167" s="132" t="s">
        <v>2011</v>
      </c>
      <c r="C167" s="134" t="s">
        <v>2012</v>
      </c>
      <c r="D167" s="223"/>
      <c r="E167" s="222"/>
      <c r="F167" s="222"/>
    </row>
    <row r="168">
      <c r="A168" s="134"/>
      <c r="B168" s="132"/>
      <c r="C168" s="134"/>
      <c r="D168" s="223"/>
      <c r="E168" s="222"/>
      <c r="F168" s="222"/>
    </row>
    <row r="169">
      <c r="A169" s="134" t="s">
        <v>2013</v>
      </c>
      <c r="B169" s="220" t="s">
        <v>2014</v>
      </c>
      <c r="C169" s="134" t="s">
        <v>147</v>
      </c>
      <c r="D169" s="224" t="s">
        <v>2016</v>
      </c>
      <c r="E169" s="134"/>
      <c r="F169" s="134" t="s">
        <v>2019</v>
      </c>
    </row>
    <row r="170">
      <c r="A170" s="134" t="s">
        <v>2013</v>
      </c>
      <c r="B170" s="220" t="s">
        <v>2020</v>
      </c>
      <c r="C170" s="134" t="s">
        <v>1296</v>
      </c>
      <c r="D170" s="224" t="s">
        <v>2021</v>
      </c>
      <c r="E170" s="134"/>
      <c r="F170" s="134" t="s">
        <v>2029</v>
      </c>
    </row>
    <row r="171">
      <c r="B171" s="220" t="s">
        <v>2030</v>
      </c>
      <c r="C171" s="134" t="s">
        <v>1019</v>
      </c>
      <c r="D171" s="224" t="s">
        <v>2031</v>
      </c>
      <c r="E171" s="134"/>
      <c r="F171" s="134" t="s">
        <v>2035</v>
      </c>
    </row>
    <row r="172">
      <c r="A172" s="134" t="s">
        <v>2013</v>
      </c>
      <c r="B172" s="132" t="s">
        <v>2037</v>
      </c>
      <c r="C172" s="134" t="s">
        <v>2038</v>
      </c>
      <c r="D172" s="224" t="s">
        <v>2039</v>
      </c>
      <c r="E172" s="134"/>
      <c r="F172" s="134" t="s">
        <v>2043</v>
      </c>
    </row>
    <row r="173">
      <c r="A173" s="134" t="s">
        <v>2013</v>
      </c>
      <c r="B173" s="220" t="s">
        <v>2045</v>
      </c>
      <c r="C173" s="134" t="s">
        <v>51</v>
      </c>
      <c r="D173" s="224" t="s">
        <v>2046</v>
      </c>
      <c r="E173" s="134"/>
      <c r="F173" s="134" t="s">
        <v>2048</v>
      </c>
    </row>
    <row r="174">
      <c r="A174" s="134" t="s">
        <v>2013</v>
      </c>
      <c r="B174" s="132" t="s">
        <v>2049</v>
      </c>
      <c r="C174" s="134" t="s">
        <v>2050</v>
      </c>
      <c r="D174" s="256" t="s">
        <v>2051</v>
      </c>
      <c r="E174" s="134"/>
      <c r="F174" s="134" t="s">
        <v>2057</v>
      </c>
    </row>
    <row r="175">
      <c r="A175" s="134" t="s">
        <v>2013</v>
      </c>
      <c r="B175" s="132" t="s">
        <v>2058</v>
      </c>
      <c r="C175" s="134" t="s">
        <v>2060</v>
      </c>
      <c r="D175" s="224" t="s">
        <v>2061</v>
      </c>
      <c r="E175" s="134">
        <f>14158461715</f>
        <v>14158461715</v>
      </c>
      <c r="F175" s="134" t="s">
        <v>2066</v>
      </c>
    </row>
    <row r="176">
      <c r="A176" s="134" t="s">
        <v>2013</v>
      </c>
      <c r="B176" s="220" t="s">
        <v>2068</v>
      </c>
      <c r="C176" s="134" t="s">
        <v>2069</v>
      </c>
      <c r="D176" s="224" t="s">
        <v>2070</v>
      </c>
      <c r="E176" s="134">
        <f>14155722595</f>
        <v>14155722595</v>
      </c>
      <c r="F176" s="134" t="s">
        <v>2072</v>
      </c>
    </row>
    <row r="177">
      <c r="A177" s="134"/>
      <c r="B177" s="132"/>
      <c r="C177" s="134"/>
      <c r="D177" s="223"/>
      <c r="E177" s="134"/>
      <c r="F177" s="134"/>
    </row>
    <row r="178">
      <c r="A178" s="134" t="s">
        <v>2078</v>
      </c>
      <c r="B178" s="132"/>
      <c r="C178" s="134"/>
      <c r="D178" s="223"/>
      <c r="E178" s="134"/>
      <c r="F178" s="134"/>
    </row>
    <row r="179">
      <c r="A179" s="134"/>
      <c r="B179" s="132"/>
      <c r="C179" s="134"/>
      <c r="D179" s="223"/>
      <c r="E179" s="134"/>
      <c r="F179" s="134"/>
    </row>
    <row r="180">
      <c r="A180" s="134" t="s">
        <v>2081</v>
      </c>
      <c r="B180" s="220" t="s">
        <v>2082</v>
      </c>
      <c r="C180" s="134" t="s">
        <v>147</v>
      </c>
      <c r="D180" s="224" t="s">
        <v>2084</v>
      </c>
      <c r="E180" s="134"/>
      <c r="F180" s="134" t="s">
        <v>2089</v>
      </c>
    </row>
    <row r="181">
      <c r="A181" s="134" t="s">
        <v>2081</v>
      </c>
      <c r="B181" s="220" t="s">
        <v>2090</v>
      </c>
      <c r="C181" s="134" t="s">
        <v>51</v>
      </c>
      <c r="D181" s="224" t="s">
        <v>2091</v>
      </c>
      <c r="E181" s="134"/>
      <c r="F181" s="134" t="s">
        <v>2094</v>
      </c>
    </row>
    <row r="182">
      <c r="A182" s="134" t="s">
        <v>2081</v>
      </c>
      <c r="B182" s="220" t="s">
        <v>2097</v>
      </c>
      <c r="C182" s="134" t="s">
        <v>1296</v>
      </c>
      <c r="D182" s="224" t="s">
        <v>2098</v>
      </c>
      <c r="E182" s="134"/>
      <c r="F182" s="223" t="s">
        <v>2100</v>
      </c>
    </row>
    <row r="183">
      <c r="A183" s="134" t="s">
        <v>2081</v>
      </c>
      <c r="B183" s="220" t="s">
        <v>2102</v>
      </c>
      <c r="C183" s="134" t="s">
        <v>1296</v>
      </c>
      <c r="D183" s="224" t="s">
        <v>2104</v>
      </c>
      <c r="E183" s="134"/>
      <c r="F183" s="134" t="s">
        <v>2105</v>
      </c>
    </row>
    <row r="184">
      <c r="A184" s="134" t="s">
        <v>2081</v>
      </c>
      <c r="B184" s="132" t="s">
        <v>2106</v>
      </c>
      <c r="C184" s="134" t="s">
        <v>2107</v>
      </c>
      <c r="D184" s="224" t="s">
        <v>2108</v>
      </c>
      <c r="E184" s="134"/>
      <c r="F184" s="134" t="s">
        <v>2112</v>
      </c>
    </row>
    <row r="185">
      <c r="A185" s="134" t="s">
        <v>2081</v>
      </c>
      <c r="B185" s="132" t="s">
        <v>2113</v>
      </c>
      <c r="C185" s="134" t="s">
        <v>2114</v>
      </c>
      <c r="D185" s="224" t="s">
        <v>2115</v>
      </c>
      <c r="E185" s="134"/>
      <c r="F185" s="134" t="s">
        <v>2117</v>
      </c>
    </row>
    <row r="186">
      <c r="A186" s="134" t="s">
        <v>2081</v>
      </c>
      <c r="B186" s="220" t="s">
        <v>2119</v>
      </c>
      <c r="C186" s="84" t="s">
        <v>1698</v>
      </c>
      <c r="D186" s="224" t="s">
        <v>2121</v>
      </c>
      <c r="E186" s="134"/>
      <c r="F186" s="134" t="s">
        <v>2122</v>
      </c>
    </row>
    <row r="187">
      <c r="A187" s="134"/>
      <c r="B187" s="132"/>
      <c r="C187" s="134"/>
      <c r="D187" s="223"/>
      <c r="E187" s="134"/>
      <c r="F187" s="134"/>
    </row>
    <row r="188">
      <c r="A188" s="134" t="s">
        <v>2123</v>
      </c>
      <c r="B188" s="220" t="s">
        <v>2124</v>
      </c>
      <c r="C188" s="134" t="s">
        <v>2125</v>
      </c>
      <c r="D188" s="224" t="s">
        <v>2126</v>
      </c>
      <c r="E188" s="134"/>
      <c r="F188" s="134" t="s">
        <v>2128</v>
      </c>
      <c r="G188" s="87" t="s">
        <v>2129</v>
      </c>
    </row>
    <row r="189">
      <c r="A189" s="134" t="s">
        <v>2123</v>
      </c>
      <c r="B189" s="220" t="s">
        <v>2130</v>
      </c>
      <c r="C189" s="134" t="s">
        <v>1296</v>
      </c>
      <c r="D189" s="224" t="s">
        <v>2131</v>
      </c>
      <c r="E189" s="134"/>
      <c r="F189" s="134" t="s">
        <v>2133</v>
      </c>
    </row>
    <row r="190">
      <c r="A190" s="134" t="s">
        <v>2123</v>
      </c>
      <c r="B190" s="220" t="s">
        <v>2135</v>
      </c>
      <c r="C190" s="134" t="s">
        <v>1296</v>
      </c>
      <c r="D190" s="224" t="s">
        <v>2136</v>
      </c>
      <c r="E190" s="134"/>
      <c r="F190" s="134" t="s">
        <v>2137</v>
      </c>
    </row>
    <row r="191">
      <c r="A191" s="134" t="s">
        <v>2123</v>
      </c>
      <c r="B191" s="220" t="s">
        <v>2138</v>
      </c>
      <c r="C191" s="134" t="s">
        <v>1296</v>
      </c>
      <c r="D191" s="224" t="s">
        <v>2139</v>
      </c>
      <c r="E191" s="134"/>
      <c r="F191" s="134" t="s">
        <v>2143</v>
      </c>
    </row>
    <row r="192">
      <c r="A192" s="134" t="s">
        <v>2123</v>
      </c>
      <c r="B192" s="220" t="s">
        <v>2144</v>
      </c>
      <c r="C192" s="134" t="s">
        <v>1296</v>
      </c>
      <c r="D192" s="224" t="s">
        <v>2146</v>
      </c>
      <c r="E192" s="134"/>
      <c r="F192" s="134" t="s">
        <v>2147</v>
      </c>
    </row>
    <row r="193">
      <c r="A193" s="134" t="s">
        <v>2123</v>
      </c>
      <c r="B193" s="220" t="s">
        <v>2148</v>
      </c>
      <c r="C193" s="134" t="s">
        <v>1296</v>
      </c>
      <c r="D193" s="224" t="s">
        <v>2149</v>
      </c>
      <c r="E193" s="134"/>
      <c r="F193" s="134" t="s">
        <v>2153</v>
      </c>
    </row>
    <row r="194">
      <c r="A194" s="134" t="s">
        <v>2123</v>
      </c>
      <c r="B194" s="220" t="s">
        <v>2154</v>
      </c>
      <c r="C194" s="134" t="s">
        <v>1296</v>
      </c>
      <c r="D194" s="224" t="s">
        <v>2155</v>
      </c>
      <c r="E194" s="134"/>
      <c r="F194" s="134" t="s">
        <v>2157</v>
      </c>
    </row>
    <row r="195">
      <c r="A195" s="134" t="s">
        <v>2123</v>
      </c>
      <c r="B195" s="220" t="s">
        <v>2158</v>
      </c>
      <c r="C195" s="134" t="s">
        <v>2159</v>
      </c>
      <c r="D195" s="224" t="s">
        <v>2160</v>
      </c>
      <c r="E195" s="134"/>
      <c r="F195" s="134" t="s">
        <v>2162</v>
      </c>
    </row>
    <row r="196">
      <c r="A196" s="134" t="s">
        <v>2123</v>
      </c>
      <c r="B196" s="220" t="s">
        <v>2165</v>
      </c>
      <c r="C196" s="134" t="s">
        <v>1626</v>
      </c>
      <c r="D196" s="224" t="s">
        <v>2166</v>
      </c>
      <c r="E196" s="134"/>
      <c r="F196" s="134" t="s">
        <v>2169</v>
      </c>
    </row>
    <row r="197">
      <c r="A197" s="134" t="s">
        <v>2123</v>
      </c>
      <c r="B197" s="132" t="s">
        <v>2171</v>
      </c>
      <c r="C197" s="134" t="s">
        <v>2172</v>
      </c>
      <c r="D197" s="224" t="s">
        <v>2173</v>
      </c>
      <c r="E197" s="134"/>
      <c r="F197" s="134" t="s">
        <v>2174</v>
      </c>
    </row>
    <row r="198">
      <c r="A198" s="134" t="s">
        <v>2123</v>
      </c>
      <c r="B198" s="132" t="s">
        <v>2175</v>
      </c>
      <c r="C198" s="134" t="s">
        <v>2176</v>
      </c>
      <c r="D198" s="224" t="s">
        <v>2177</v>
      </c>
      <c r="E198" s="134"/>
      <c r="F198" s="134" t="s">
        <v>2181</v>
      </c>
    </row>
    <row r="199">
      <c r="A199" s="134"/>
      <c r="B199" s="132"/>
      <c r="C199" s="134"/>
      <c r="D199" s="223"/>
      <c r="E199" s="134"/>
      <c r="F199" s="134"/>
    </row>
    <row r="200">
      <c r="A200" s="134" t="s">
        <v>2183</v>
      </c>
      <c r="B200" s="220" t="s">
        <v>2184</v>
      </c>
      <c r="C200" s="134" t="s">
        <v>2125</v>
      </c>
      <c r="D200" s="224" t="s">
        <v>2185</v>
      </c>
      <c r="E200" s="134"/>
      <c r="F200" s="134" t="s">
        <v>2188</v>
      </c>
    </row>
    <row r="201">
      <c r="A201" s="134" t="s">
        <v>2183</v>
      </c>
      <c r="B201" s="220" t="s">
        <v>2189</v>
      </c>
      <c r="C201" s="134" t="s">
        <v>1296</v>
      </c>
      <c r="D201" s="224" t="s">
        <v>2190</v>
      </c>
      <c r="E201" s="134"/>
      <c r="F201" s="134" t="s">
        <v>2194</v>
      </c>
    </row>
    <row r="202">
      <c r="A202" s="134" t="s">
        <v>2183</v>
      </c>
      <c r="B202" s="220" t="s">
        <v>2195</v>
      </c>
      <c r="C202" s="134" t="s">
        <v>1296</v>
      </c>
      <c r="D202" s="224" t="s">
        <v>2196</v>
      </c>
      <c r="E202" s="134"/>
      <c r="F202" s="134" t="s">
        <v>2199</v>
      </c>
    </row>
    <row r="203">
      <c r="A203" s="134" t="s">
        <v>2183</v>
      </c>
      <c r="B203" s="220" t="s">
        <v>2201</v>
      </c>
      <c r="C203" s="258" t="s">
        <v>1296</v>
      </c>
      <c r="D203" s="224" t="s">
        <v>2202</v>
      </c>
      <c r="E203" s="134"/>
      <c r="F203" s="134" t="s">
        <v>2203</v>
      </c>
    </row>
    <row r="204">
      <c r="A204" s="134" t="s">
        <v>2183</v>
      </c>
      <c r="B204" s="220" t="s">
        <v>2204</v>
      </c>
      <c r="C204" s="258" t="s">
        <v>1296</v>
      </c>
      <c r="D204" s="224" t="s">
        <v>2205</v>
      </c>
      <c r="E204" s="134"/>
      <c r="F204" s="134" t="s">
        <v>2206</v>
      </c>
    </row>
    <row r="205">
      <c r="A205" s="134" t="s">
        <v>2183</v>
      </c>
      <c r="B205" s="220" t="s">
        <v>2207</v>
      </c>
      <c r="C205" s="134" t="s">
        <v>1296</v>
      </c>
      <c r="D205" s="224" t="s">
        <v>2209</v>
      </c>
      <c r="E205" s="222"/>
      <c r="F205" s="134" t="s">
        <v>2212</v>
      </c>
    </row>
    <row r="206">
      <c r="A206" s="134" t="s">
        <v>2183</v>
      </c>
      <c r="B206" s="220" t="s">
        <v>2213</v>
      </c>
      <c r="C206" s="134" t="s">
        <v>2214</v>
      </c>
      <c r="D206" s="224" t="s">
        <v>2215</v>
      </c>
      <c r="E206" s="222"/>
      <c r="F206" s="134" t="s">
        <v>2218</v>
      </c>
    </row>
    <row r="207">
      <c r="A207" s="134" t="s">
        <v>2183</v>
      </c>
      <c r="B207" s="220" t="s">
        <v>2219</v>
      </c>
      <c r="C207" s="134" t="s">
        <v>2220</v>
      </c>
      <c r="D207" s="224" t="s">
        <v>2221</v>
      </c>
      <c r="E207" s="222"/>
      <c r="F207" s="134" t="s">
        <v>2222</v>
      </c>
    </row>
    <row r="208">
      <c r="A208" s="134" t="s">
        <v>2183</v>
      </c>
      <c r="B208" s="132" t="s">
        <v>2226</v>
      </c>
      <c r="C208" s="134" t="s">
        <v>2227</v>
      </c>
      <c r="D208" s="224" t="s">
        <v>2228</v>
      </c>
      <c r="E208" s="222"/>
      <c r="F208" s="134" t="s">
        <v>2230</v>
      </c>
    </row>
    <row r="209">
      <c r="A209" s="134" t="s">
        <v>2183</v>
      </c>
      <c r="B209" s="132" t="s">
        <v>2232</v>
      </c>
      <c r="C209" s="134" t="s">
        <v>2234</v>
      </c>
      <c r="D209" s="224" t="s">
        <v>2235</v>
      </c>
      <c r="E209" s="222"/>
      <c r="F209" s="134" t="s">
        <v>2236</v>
      </c>
    </row>
    <row r="210">
      <c r="A210" s="134"/>
      <c r="B210" s="132"/>
      <c r="C210" s="134"/>
      <c r="D210" s="223"/>
      <c r="E210" s="222"/>
      <c r="F210" s="222"/>
    </row>
    <row r="211">
      <c r="A211" s="134" t="s">
        <v>2237</v>
      </c>
      <c r="B211" s="220" t="s">
        <v>2238</v>
      </c>
      <c r="C211" s="134" t="s">
        <v>2239</v>
      </c>
      <c r="D211" s="224" t="s">
        <v>2240</v>
      </c>
      <c r="E211" s="134"/>
      <c r="F211" s="134" t="s">
        <v>2244</v>
      </c>
    </row>
    <row r="212">
      <c r="A212" s="134"/>
      <c r="B212" s="132"/>
      <c r="C212" s="134"/>
      <c r="D212" s="223"/>
      <c r="E212" s="134"/>
      <c r="F212" s="134"/>
    </row>
    <row r="213">
      <c r="A213" s="134" t="s">
        <v>2246</v>
      </c>
      <c r="B213" s="132" t="s">
        <v>2247</v>
      </c>
      <c r="C213" s="134" t="s">
        <v>2248</v>
      </c>
      <c r="D213" s="223"/>
      <c r="E213" s="134" t="s">
        <v>2249</v>
      </c>
      <c r="F213" s="134" t="s">
        <v>2250</v>
      </c>
    </row>
    <row r="214">
      <c r="A214" s="134" t="s">
        <v>2246</v>
      </c>
      <c r="B214" s="132" t="s">
        <v>2251</v>
      </c>
      <c r="C214" s="134" t="s">
        <v>2252</v>
      </c>
      <c r="D214" s="223"/>
      <c r="E214" s="222"/>
      <c r="F214" s="222"/>
    </row>
    <row r="215">
      <c r="A215" s="134" t="s">
        <v>2255</v>
      </c>
      <c r="B215" s="132" t="s">
        <v>2256</v>
      </c>
      <c r="C215" s="134" t="s">
        <v>1338</v>
      </c>
      <c r="D215" s="136" t="s">
        <v>2258</v>
      </c>
      <c r="E215" s="222"/>
      <c r="F215" s="87" t="s">
        <v>2260</v>
      </c>
    </row>
    <row r="216">
      <c r="A216" s="134" t="s">
        <v>2255</v>
      </c>
      <c r="B216" s="132" t="s">
        <v>2261</v>
      </c>
      <c r="C216" s="134" t="s">
        <v>1213</v>
      </c>
      <c r="D216" s="224" t="s">
        <v>2264</v>
      </c>
      <c r="E216" s="222"/>
      <c r="F216" s="134" t="s">
        <v>2265</v>
      </c>
    </row>
    <row r="217">
      <c r="A217" s="134" t="s">
        <v>2266</v>
      </c>
      <c r="B217" s="132" t="s">
        <v>2267</v>
      </c>
      <c r="C217" s="134" t="s">
        <v>1213</v>
      </c>
      <c r="D217" s="223"/>
      <c r="E217" s="222"/>
      <c r="F217" s="222"/>
    </row>
    <row r="218">
      <c r="A218" s="134" t="s">
        <v>2266</v>
      </c>
      <c r="B218" s="132" t="s">
        <v>2268</v>
      </c>
      <c r="C218" s="134" t="s">
        <v>1271</v>
      </c>
      <c r="D218" s="223"/>
      <c r="E218" s="222"/>
      <c r="F218" s="222"/>
    </row>
    <row r="219">
      <c r="A219" s="134" t="s">
        <v>2269</v>
      </c>
      <c r="B219" s="132" t="s">
        <v>1719</v>
      </c>
      <c r="C219" s="134" t="s">
        <v>1213</v>
      </c>
      <c r="D219" s="223"/>
      <c r="E219" s="222"/>
      <c r="F219" s="222"/>
    </row>
    <row r="220">
      <c r="A220" s="134" t="s">
        <v>2269</v>
      </c>
      <c r="B220" s="132" t="s">
        <v>2273</v>
      </c>
      <c r="C220" s="134" t="s">
        <v>2274</v>
      </c>
      <c r="D220" s="224" t="s">
        <v>2275</v>
      </c>
      <c r="E220" s="222"/>
      <c r="F220" s="134" t="s">
        <v>2277</v>
      </c>
    </row>
    <row r="221">
      <c r="A221" s="134"/>
      <c r="B221" s="132"/>
      <c r="C221" s="134"/>
      <c r="D221" s="223"/>
      <c r="E221" s="222"/>
      <c r="F221" s="134" t="s">
        <v>2278</v>
      </c>
    </row>
    <row r="222">
      <c r="A222" s="134" t="s">
        <v>2279</v>
      </c>
      <c r="B222" s="132" t="s">
        <v>2280</v>
      </c>
      <c r="C222" s="134" t="s">
        <v>147</v>
      </c>
      <c r="D222" s="224" t="s">
        <v>2281</v>
      </c>
      <c r="E222" s="222"/>
      <c r="F222" s="134" t="s">
        <v>2285</v>
      </c>
    </row>
    <row r="223">
      <c r="A223" s="134" t="s">
        <v>2279</v>
      </c>
      <c r="B223" s="132" t="s">
        <v>2286</v>
      </c>
      <c r="C223" s="134" t="s">
        <v>2288</v>
      </c>
      <c r="D223" s="223"/>
      <c r="E223" s="222"/>
      <c r="F223" s="134" t="s">
        <v>2289</v>
      </c>
    </row>
    <row r="224">
      <c r="A224" s="134"/>
      <c r="B224" s="132"/>
      <c r="C224" s="134"/>
      <c r="D224" s="223"/>
      <c r="E224" s="222"/>
      <c r="F224" s="134" t="s">
        <v>2291</v>
      </c>
    </row>
    <row r="225">
      <c r="A225" s="134" t="s">
        <v>2293</v>
      </c>
      <c r="B225" s="132" t="s">
        <v>2294</v>
      </c>
      <c r="C225" s="134" t="s">
        <v>1338</v>
      </c>
      <c r="D225" s="223"/>
      <c r="E225" s="222"/>
      <c r="F225" s="222"/>
    </row>
    <row r="226">
      <c r="A226" s="134" t="s">
        <v>2293</v>
      </c>
      <c r="B226" s="132" t="s">
        <v>2295</v>
      </c>
      <c r="C226" s="134" t="s">
        <v>1205</v>
      </c>
      <c r="D226" s="223"/>
      <c r="E226" s="222"/>
      <c r="F226" s="222"/>
    </row>
    <row r="227">
      <c r="A227" s="134" t="s">
        <v>2296</v>
      </c>
      <c r="B227" s="132" t="s">
        <v>2297</v>
      </c>
      <c r="C227" s="134" t="s">
        <v>1213</v>
      </c>
      <c r="D227" s="224" t="s">
        <v>2298</v>
      </c>
      <c r="E227" s="222"/>
      <c r="F227" s="134" t="s">
        <v>2301</v>
      </c>
    </row>
    <row r="228">
      <c r="A228" s="134" t="s">
        <v>2296</v>
      </c>
      <c r="B228" s="132" t="s">
        <v>2303</v>
      </c>
      <c r="C228" s="134" t="s">
        <v>2304</v>
      </c>
      <c r="D228" s="224" t="s">
        <v>2305</v>
      </c>
      <c r="E228" s="222"/>
      <c r="F228" s="134" t="s">
        <v>2307</v>
      </c>
    </row>
    <row r="229">
      <c r="A229" s="134" t="s">
        <v>2308</v>
      </c>
      <c r="B229" s="132" t="s">
        <v>2309</v>
      </c>
      <c r="C229" s="134" t="s">
        <v>1528</v>
      </c>
      <c r="D229" s="223"/>
      <c r="E229" s="222"/>
      <c r="F229" s="222"/>
    </row>
    <row r="230">
      <c r="A230" s="134" t="s">
        <v>2308</v>
      </c>
      <c r="B230" s="132" t="s">
        <v>2312</v>
      </c>
      <c r="C230" s="134" t="s">
        <v>1296</v>
      </c>
      <c r="D230" s="224" t="s">
        <v>2313</v>
      </c>
      <c r="E230" s="222"/>
      <c r="F230" s="134" t="s">
        <v>2314</v>
      </c>
    </row>
    <row r="231">
      <c r="A231" s="134" t="s">
        <v>2315</v>
      </c>
      <c r="B231" s="132" t="s">
        <v>2316</v>
      </c>
      <c r="C231" s="134" t="s">
        <v>1240</v>
      </c>
      <c r="D231" s="223"/>
      <c r="E231" s="222"/>
      <c r="F231" s="222"/>
    </row>
    <row r="232">
      <c r="A232" s="134" t="s">
        <v>2315</v>
      </c>
      <c r="B232" s="132" t="s">
        <v>2320</v>
      </c>
      <c r="C232" s="134" t="s">
        <v>1296</v>
      </c>
      <c r="D232" s="224" t="s">
        <v>2321</v>
      </c>
      <c r="E232" s="222"/>
      <c r="F232" s="134" t="s">
        <v>2324</v>
      </c>
    </row>
    <row r="233">
      <c r="A233" s="134" t="s">
        <v>2326</v>
      </c>
      <c r="B233" s="132" t="s">
        <v>2267</v>
      </c>
      <c r="C233" s="134" t="s">
        <v>1213</v>
      </c>
      <c r="D233" s="223"/>
      <c r="E233" s="222"/>
      <c r="F233" s="222"/>
    </row>
    <row r="234">
      <c r="A234" s="134" t="s">
        <v>2326</v>
      </c>
      <c r="B234" s="132" t="s">
        <v>2327</v>
      </c>
      <c r="C234" s="134" t="s">
        <v>1296</v>
      </c>
      <c r="D234" s="224" t="s">
        <v>2328</v>
      </c>
      <c r="E234" s="222"/>
      <c r="F234" s="134" t="s">
        <v>1411</v>
      </c>
    </row>
    <row r="235">
      <c r="A235" s="134"/>
      <c r="B235" s="132"/>
      <c r="C235" s="134"/>
      <c r="D235" s="223"/>
      <c r="E235" s="222"/>
      <c r="F235" s="134" t="s">
        <v>2332</v>
      </c>
    </row>
    <row r="236">
      <c r="A236" s="134" t="s">
        <v>2333</v>
      </c>
      <c r="B236" s="132" t="s">
        <v>2334</v>
      </c>
      <c r="C236" s="134" t="s">
        <v>1213</v>
      </c>
      <c r="D236" s="223"/>
      <c r="E236" s="222"/>
      <c r="F236" s="222"/>
    </row>
    <row r="237">
      <c r="A237" s="134" t="s">
        <v>2333</v>
      </c>
      <c r="B237" s="132" t="s">
        <v>2335</v>
      </c>
      <c r="C237" s="134" t="s">
        <v>1286</v>
      </c>
      <c r="D237" s="223"/>
      <c r="E237" s="222"/>
      <c r="F237" s="222"/>
    </row>
    <row r="238">
      <c r="A238" s="134" t="s">
        <v>2336</v>
      </c>
      <c r="B238" s="132" t="s">
        <v>2337</v>
      </c>
      <c r="C238" s="134" t="s">
        <v>2338</v>
      </c>
      <c r="D238" s="224" t="s">
        <v>2339</v>
      </c>
      <c r="E238" s="222"/>
      <c r="F238" s="134" t="s">
        <v>2342</v>
      </c>
    </row>
    <row r="239">
      <c r="A239" s="134" t="s">
        <v>2336</v>
      </c>
      <c r="B239" s="132" t="s">
        <v>2343</v>
      </c>
      <c r="C239" s="134" t="s">
        <v>147</v>
      </c>
      <c r="D239" s="224" t="s">
        <v>2345</v>
      </c>
      <c r="E239" s="222"/>
      <c r="F239" s="134" t="s">
        <v>2348</v>
      </c>
    </row>
    <row r="240">
      <c r="A240" s="134" t="s">
        <v>2349</v>
      </c>
      <c r="B240" s="132" t="s">
        <v>2350</v>
      </c>
      <c r="C240" s="87" t="s">
        <v>1213</v>
      </c>
      <c r="D240" s="224" t="s">
        <v>2351</v>
      </c>
      <c r="E240" s="222"/>
      <c r="F240" s="134" t="s">
        <v>2352</v>
      </c>
    </row>
    <row r="241">
      <c r="A241" s="134" t="s">
        <v>2349</v>
      </c>
      <c r="B241" s="132" t="s">
        <v>2355</v>
      </c>
      <c r="C241" s="134" t="s">
        <v>1240</v>
      </c>
      <c r="D241" s="224" t="s">
        <v>2357</v>
      </c>
      <c r="E241" s="222"/>
      <c r="F241" s="134" t="s">
        <v>2359</v>
      </c>
    </row>
    <row r="242">
      <c r="A242" s="134"/>
      <c r="B242" s="132"/>
      <c r="C242" s="134"/>
      <c r="D242" s="223"/>
      <c r="E242" s="222"/>
      <c r="F242" s="134" t="s">
        <v>2360</v>
      </c>
    </row>
    <row r="243">
      <c r="A243" s="134"/>
      <c r="B243" s="132"/>
      <c r="C243" s="134"/>
      <c r="D243" s="223"/>
      <c r="E243" s="222"/>
      <c r="F243" s="134" t="s">
        <v>2364</v>
      </c>
    </row>
    <row r="244">
      <c r="A244" s="134" t="s">
        <v>2365</v>
      </c>
      <c r="B244" s="132" t="s">
        <v>2366</v>
      </c>
      <c r="C244" s="134" t="s">
        <v>1213</v>
      </c>
      <c r="D244" s="223"/>
      <c r="E244" s="222"/>
      <c r="F244" s="222"/>
    </row>
    <row r="245">
      <c r="A245" s="134" t="s">
        <v>2365</v>
      </c>
      <c r="B245" s="132" t="s">
        <v>2367</v>
      </c>
      <c r="C245" s="134" t="s">
        <v>2368</v>
      </c>
      <c r="D245" s="223"/>
      <c r="E245" s="222"/>
      <c r="F245" s="222"/>
    </row>
    <row r="246">
      <c r="A246" s="134" t="s">
        <v>2369</v>
      </c>
      <c r="B246" s="132" t="s">
        <v>2370</v>
      </c>
      <c r="C246" s="134" t="s">
        <v>1240</v>
      </c>
      <c r="D246" s="223"/>
      <c r="E246" s="222"/>
      <c r="F246" s="222"/>
    </row>
    <row r="247">
      <c r="A247" s="134" t="s">
        <v>2369</v>
      </c>
      <c r="B247" s="132" t="s">
        <v>2374</v>
      </c>
      <c r="C247" s="134" t="s">
        <v>2375</v>
      </c>
      <c r="D247" s="223"/>
      <c r="E247" s="222"/>
      <c r="F247" s="222"/>
    </row>
    <row r="248">
      <c r="A248" s="134" t="s">
        <v>2376</v>
      </c>
      <c r="B248" s="132" t="s">
        <v>2378</v>
      </c>
      <c r="C248" s="134" t="s">
        <v>2252</v>
      </c>
      <c r="D248" s="224" t="s">
        <v>2379</v>
      </c>
      <c r="E248" s="222"/>
      <c r="F248" s="134" t="s">
        <v>2382</v>
      </c>
    </row>
    <row r="249">
      <c r="A249" s="134" t="s">
        <v>2383</v>
      </c>
      <c r="B249" s="132" t="s">
        <v>2384</v>
      </c>
      <c r="C249" s="134" t="s">
        <v>2385</v>
      </c>
      <c r="D249" s="224" t="s">
        <v>2386</v>
      </c>
      <c r="E249" s="222"/>
      <c r="F249" s="134" t="s">
        <v>2387</v>
      </c>
    </row>
    <row r="250">
      <c r="A250" s="134" t="s">
        <v>2383</v>
      </c>
      <c r="B250" s="132" t="s">
        <v>2388</v>
      </c>
      <c r="C250" s="134" t="s">
        <v>2389</v>
      </c>
      <c r="D250" s="224" t="s">
        <v>2390</v>
      </c>
      <c r="E250" s="222"/>
      <c r="F250" s="134" t="s">
        <v>2394</v>
      </c>
    </row>
    <row r="251">
      <c r="A251" s="134" t="s">
        <v>2395</v>
      </c>
      <c r="B251" s="132" t="s">
        <v>2397</v>
      </c>
      <c r="C251" s="134" t="s">
        <v>1338</v>
      </c>
      <c r="D251" s="224" t="s">
        <v>2398</v>
      </c>
      <c r="E251" s="222"/>
      <c r="F251" s="134" t="s">
        <v>2401</v>
      </c>
    </row>
    <row r="252">
      <c r="A252" s="134"/>
      <c r="B252" s="132"/>
      <c r="C252" s="134"/>
      <c r="D252" s="223"/>
      <c r="E252" s="222"/>
      <c r="F252" s="134" t="s">
        <v>2402</v>
      </c>
    </row>
    <row r="253">
      <c r="A253" s="134" t="s">
        <v>2403</v>
      </c>
      <c r="B253" s="132" t="s">
        <v>2404</v>
      </c>
      <c r="C253" s="134" t="s">
        <v>1240</v>
      </c>
      <c r="D253" s="223"/>
      <c r="E253" s="222"/>
      <c r="F253" s="222"/>
    </row>
    <row r="254">
      <c r="A254" s="134" t="s">
        <v>2403</v>
      </c>
      <c r="B254" s="132" t="s">
        <v>2405</v>
      </c>
      <c r="C254" s="134" t="s">
        <v>2406</v>
      </c>
      <c r="D254" s="224" t="s">
        <v>2408</v>
      </c>
      <c r="E254" s="222"/>
      <c r="F254" s="134" t="s">
        <v>2411</v>
      </c>
    </row>
    <row r="255">
      <c r="A255" s="134" t="s">
        <v>2412</v>
      </c>
      <c r="B255" s="132" t="s">
        <v>2404</v>
      </c>
      <c r="C255" s="134" t="s">
        <v>1213</v>
      </c>
      <c r="D255" s="223"/>
      <c r="E255" s="222"/>
      <c r="F255" s="222"/>
    </row>
    <row r="256">
      <c r="A256" s="134" t="s">
        <v>2412</v>
      </c>
      <c r="B256" s="132" t="s">
        <v>2415</v>
      </c>
      <c r="C256" s="134" t="s">
        <v>2406</v>
      </c>
      <c r="D256" s="224" t="s">
        <v>2416</v>
      </c>
      <c r="E256" s="222"/>
      <c r="F256" s="134" t="s">
        <v>2417</v>
      </c>
    </row>
    <row r="257">
      <c r="A257" s="134"/>
      <c r="B257" s="132"/>
      <c r="C257" s="134"/>
      <c r="D257" s="223"/>
      <c r="E257" s="222"/>
      <c r="F257" s="134" t="s">
        <v>2418</v>
      </c>
    </row>
    <row r="258">
      <c r="A258" s="134" t="s">
        <v>2419</v>
      </c>
      <c r="B258" s="132" t="s">
        <v>2404</v>
      </c>
      <c r="C258" s="134" t="s">
        <v>1213</v>
      </c>
      <c r="D258" s="223"/>
      <c r="E258" s="222"/>
      <c r="F258" s="222"/>
    </row>
    <row r="259">
      <c r="A259" s="134" t="s">
        <v>2419</v>
      </c>
      <c r="B259" s="132" t="s">
        <v>2423</v>
      </c>
      <c r="C259" s="134" t="s">
        <v>2424</v>
      </c>
      <c r="D259" s="224" t="s">
        <v>2425</v>
      </c>
      <c r="E259" s="222"/>
      <c r="F259" s="134" t="s">
        <v>2428</v>
      </c>
    </row>
    <row r="260">
      <c r="A260" s="134" t="s">
        <v>2430</v>
      </c>
      <c r="B260" s="132" t="s">
        <v>2431</v>
      </c>
      <c r="C260" s="134" t="s">
        <v>2432</v>
      </c>
      <c r="D260" s="223"/>
      <c r="E260" s="222"/>
      <c r="F260" s="222"/>
    </row>
    <row r="261">
      <c r="A261" s="134" t="s">
        <v>2430</v>
      </c>
      <c r="B261" s="132" t="s">
        <v>2433</v>
      </c>
      <c r="C261" s="134" t="s">
        <v>1019</v>
      </c>
      <c r="D261" s="223"/>
      <c r="E261" s="222"/>
      <c r="F261" s="222"/>
    </row>
    <row r="262">
      <c r="A262" s="134" t="s">
        <v>2434</v>
      </c>
      <c r="B262" s="132" t="s">
        <v>2435</v>
      </c>
      <c r="C262" s="134" t="s">
        <v>1391</v>
      </c>
      <c r="D262" s="223"/>
      <c r="E262" s="222"/>
      <c r="F262" s="222"/>
    </row>
    <row r="263">
      <c r="A263" s="134" t="s">
        <v>2434</v>
      </c>
      <c r="B263" s="132" t="s">
        <v>2436</v>
      </c>
      <c r="C263" s="134" t="s">
        <v>1338</v>
      </c>
      <c r="D263" s="223"/>
      <c r="E263" s="222"/>
      <c r="F263" s="222"/>
    </row>
    <row r="264">
      <c r="A264" s="134" t="s">
        <v>2437</v>
      </c>
      <c r="B264" s="132" t="s">
        <v>2267</v>
      </c>
      <c r="C264" s="134" t="s">
        <v>1213</v>
      </c>
      <c r="D264" s="223"/>
      <c r="E264" s="222"/>
      <c r="F264" s="222"/>
    </row>
    <row r="265">
      <c r="A265" s="134" t="s">
        <v>2437</v>
      </c>
      <c r="B265" s="132" t="s">
        <v>2440</v>
      </c>
      <c r="C265" s="134" t="s">
        <v>1338</v>
      </c>
      <c r="D265" s="224" t="s">
        <v>2442</v>
      </c>
      <c r="E265" s="222"/>
      <c r="F265" s="134" t="s">
        <v>2445</v>
      </c>
    </row>
    <row r="266">
      <c r="A266" s="134"/>
      <c r="B266" s="132"/>
      <c r="C266" s="134"/>
      <c r="D266" s="223"/>
      <c r="E266" s="222"/>
      <c r="F266" s="134" t="s">
        <v>2448</v>
      </c>
    </row>
    <row r="267">
      <c r="A267" s="134" t="s">
        <v>2449</v>
      </c>
      <c r="B267" s="132" t="s">
        <v>2450</v>
      </c>
      <c r="C267" s="134" t="s">
        <v>1213</v>
      </c>
      <c r="D267" s="223"/>
      <c r="E267" s="222"/>
      <c r="F267" s="222"/>
    </row>
    <row r="268">
      <c r="A268" s="134" t="s">
        <v>2449</v>
      </c>
      <c r="B268" s="132" t="s">
        <v>1538</v>
      </c>
      <c r="C268" s="134" t="s">
        <v>1286</v>
      </c>
      <c r="D268" s="224" t="s">
        <v>2451</v>
      </c>
      <c r="E268" s="222"/>
      <c r="F268" s="134" t="s">
        <v>1544</v>
      </c>
    </row>
    <row r="269">
      <c r="A269" s="134"/>
      <c r="B269" s="132"/>
      <c r="C269" s="134"/>
      <c r="D269" s="223"/>
      <c r="E269" s="222"/>
      <c r="F269" s="134" t="s">
        <v>2455</v>
      </c>
    </row>
    <row r="270">
      <c r="A270" s="134" t="s">
        <v>2456</v>
      </c>
      <c r="B270" s="132" t="s">
        <v>2457</v>
      </c>
      <c r="C270" s="134" t="s">
        <v>2385</v>
      </c>
      <c r="D270" s="223"/>
      <c r="E270" s="222"/>
      <c r="F270" s="134" t="s">
        <v>2459</v>
      </c>
    </row>
    <row r="271">
      <c r="A271" s="134" t="s">
        <v>2456</v>
      </c>
      <c r="B271" s="132" t="s">
        <v>2460</v>
      </c>
      <c r="C271" s="134" t="s">
        <v>2461</v>
      </c>
      <c r="D271" s="223"/>
      <c r="E271" s="222"/>
      <c r="F271" s="134" t="s">
        <v>2462</v>
      </c>
    </row>
    <row r="272">
      <c r="A272" s="134" t="s">
        <v>2463</v>
      </c>
      <c r="B272" s="132" t="s">
        <v>2464</v>
      </c>
      <c r="C272" s="134" t="s">
        <v>1240</v>
      </c>
      <c r="D272" s="223"/>
      <c r="E272" s="222"/>
      <c r="F272" s="222"/>
    </row>
    <row r="273">
      <c r="A273" s="134" t="s">
        <v>2463</v>
      </c>
      <c r="B273" s="132" t="s">
        <v>2465</v>
      </c>
      <c r="C273" s="134" t="s">
        <v>1205</v>
      </c>
      <c r="D273" s="223"/>
      <c r="E273" s="222"/>
      <c r="F273" s="222"/>
    </row>
    <row r="274">
      <c r="A274" s="134" t="s">
        <v>2469</v>
      </c>
      <c r="B274" s="132" t="s">
        <v>2470</v>
      </c>
      <c r="C274" s="134" t="s">
        <v>1240</v>
      </c>
      <c r="D274" s="224" t="s">
        <v>2471</v>
      </c>
      <c r="E274" s="222"/>
      <c r="F274" s="134" t="s">
        <v>2473</v>
      </c>
    </row>
    <row r="275">
      <c r="A275" s="134"/>
      <c r="B275" s="132"/>
      <c r="C275" s="134"/>
      <c r="D275" s="223"/>
      <c r="E275" s="222"/>
      <c r="F275" s="134" t="s">
        <v>2474</v>
      </c>
    </row>
    <row r="276">
      <c r="A276" s="134" t="s">
        <v>2469</v>
      </c>
      <c r="B276" s="132" t="s">
        <v>2475</v>
      </c>
      <c r="C276" s="134" t="s">
        <v>2476</v>
      </c>
      <c r="D276" s="223"/>
      <c r="E276" s="222"/>
      <c r="F276" s="222"/>
    </row>
    <row r="277">
      <c r="A277" s="134" t="s">
        <v>2481</v>
      </c>
      <c r="B277" s="132" t="s">
        <v>1346</v>
      </c>
      <c r="C277" s="134" t="s">
        <v>1213</v>
      </c>
      <c r="D277" s="224" t="s">
        <v>2482</v>
      </c>
      <c r="E277" s="222"/>
      <c r="F277" s="134" t="s">
        <v>2484</v>
      </c>
    </row>
    <row r="278">
      <c r="A278" s="134" t="s">
        <v>2481</v>
      </c>
      <c r="B278" s="132" t="s">
        <v>2485</v>
      </c>
      <c r="C278" s="134" t="s">
        <v>1019</v>
      </c>
      <c r="D278" s="223"/>
      <c r="E278" s="222"/>
      <c r="F278" s="222"/>
    </row>
    <row r="279">
      <c r="A279" s="134" t="s">
        <v>2486</v>
      </c>
      <c r="B279" s="132" t="s">
        <v>2487</v>
      </c>
      <c r="C279" s="134" t="s">
        <v>1213</v>
      </c>
      <c r="D279" s="224" t="s">
        <v>2488</v>
      </c>
      <c r="E279" s="222"/>
      <c r="F279" s="134" t="s">
        <v>2491</v>
      </c>
    </row>
    <row r="280">
      <c r="A280" s="134"/>
      <c r="B280" s="132"/>
      <c r="C280" s="134"/>
      <c r="D280" s="223"/>
      <c r="E280" s="222"/>
      <c r="F280" s="134" t="s">
        <v>2493</v>
      </c>
    </row>
    <row r="281">
      <c r="A281" s="134" t="s">
        <v>2486</v>
      </c>
      <c r="B281" s="132" t="s">
        <v>2494</v>
      </c>
      <c r="C281" s="134" t="s">
        <v>2495</v>
      </c>
      <c r="D281" s="223"/>
      <c r="E281" s="222"/>
      <c r="F281" s="222"/>
    </row>
    <row r="282">
      <c r="A282" s="134" t="s">
        <v>2497</v>
      </c>
      <c r="B282" s="132" t="s">
        <v>2312</v>
      </c>
      <c r="C282" s="134" t="s">
        <v>1213</v>
      </c>
      <c r="D282" s="223"/>
      <c r="E282" s="222"/>
      <c r="F282" s="222"/>
    </row>
    <row r="283">
      <c r="A283" s="134" t="s">
        <v>2497</v>
      </c>
      <c r="B283" s="132" t="s">
        <v>2498</v>
      </c>
      <c r="C283" s="134" t="s">
        <v>1271</v>
      </c>
      <c r="D283" s="224" t="s">
        <v>2499</v>
      </c>
      <c r="E283" s="222"/>
      <c r="F283" s="134" t="s">
        <v>2500</v>
      </c>
    </row>
    <row r="284">
      <c r="A284" s="134"/>
      <c r="B284" s="132"/>
      <c r="C284" s="134"/>
      <c r="D284" s="223"/>
      <c r="E284" s="222"/>
      <c r="F284" s="134" t="s">
        <v>2503</v>
      </c>
    </row>
    <row r="285">
      <c r="A285" s="134" t="s">
        <v>2504</v>
      </c>
      <c r="B285" s="132" t="s">
        <v>2450</v>
      </c>
      <c r="C285" s="134" t="s">
        <v>1240</v>
      </c>
      <c r="D285" s="223"/>
      <c r="E285" s="222"/>
      <c r="F285" s="222"/>
    </row>
    <row r="286">
      <c r="A286" s="134" t="s">
        <v>2504</v>
      </c>
      <c r="B286" s="132" t="s">
        <v>2506</v>
      </c>
      <c r="C286" s="134" t="s">
        <v>2507</v>
      </c>
      <c r="D286" s="224" t="s">
        <v>2508</v>
      </c>
      <c r="E286" s="222"/>
      <c r="F286" s="134" t="s">
        <v>2512</v>
      </c>
    </row>
    <row r="287">
      <c r="A287" s="134"/>
      <c r="B287" s="132"/>
      <c r="C287" s="134"/>
      <c r="D287" s="223"/>
      <c r="E287" s="222"/>
      <c r="F287" s="134" t="s">
        <v>2514</v>
      </c>
    </row>
    <row r="288">
      <c r="A288" s="134" t="s">
        <v>2515</v>
      </c>
      <c r="B288" s="132" t="s">
        <v>2516</v>
      </c>
      <c r="C288" s="134" t="s">
        <v>2517</v>
      </c>
      <c r="D288" s="223"/>
      <c r="E288" s="222"/>
      <c r="F288" s="222"/>
    </row>
    <row r="289">
      <c r="A289" s="134" t="s">
        <v>2515</v>
      </c>
      <c r="B289" s="132" t="s">
        <v>2518</v>
      </c>
      <c r="C289" s="134" t="s">
        <v>1351</v>
      </c>
      <c r="D289" s="224" t="s">
        <v>2519</v>
      </c>
      <c r="E289" s="222"/>
      <c r="F289" s="134" t="s">
        <v>2520</v>
      </c>
    </row>
    <row r="290">
      <c r="A290" s="134" t="s">
        <v>2521</v>
      </c>
      <c r="B290" s="132" t="s">
        <v>2522</v>
      </c>
      <c r="C290" s="134" t="s">
        <v>1213</v>
      </c>
      <c r="D290" s="223"/>
      <c r="E290" s="222"/>
      <c r="F290" s="222"/>
    </row>
    <row r="291">
      <c r="A291" s="134" t="s">
        <v>2521</v>
      </c>
      <c r="B291" s="132" t="s">
        <v>2526</v>
      </c>
      <c r="C291" s="134" t="s">
        <v>2527</v>
      </c>
      <c r="D291" s="224" t="s">
        <v>2528</v>
      </c>
      <c r="E291" s="222"/>
      <c r="F291" s="134" t="s">
        <v>2530</v>
      </c>
    </row>
    <row r="292">
      <c r="A292" s="134"/>
      <c r="B292" s="132"/>
      <c r="C292" s="134"/>
      <c r="D292" s="223"/>
      <c r="E292" s="222"/>
      <c r="F292" s="134" t="s">
        <v>2532</v>
      </c>
    </row>
    <row r="293">
      <c r="A293" s="134"/>
      <c r="B293" s="132"/>
      <c r="C293" s="134"/>
      <c r="D293" s="223"/>
      <c r="E293" s="222"/>
      <c r="F293" s="134" t="s">
        <v>2533</v>
      </c>
    </row>
    <row r="294">
      <c r="A294" s="134"/>
      <c r="B294" s="132"/>
      <c r="C294" s="134"/>
      <c r="D294" s="223"/>
      <c r="E294" s="222"/>
      <c r="F294" s="134" t="s">
        <v>2535</v>
      </c>
    </row>
    <row r="295">
      <c r="A295" s="134" t="s">
        <v>2536</v>
      </c>
      <c r="B295" s="132" t="s">
        <v>2537</v>
      </c>
      <c r="C295" s="134" t="s">
        <v>1528</v>
      </c>
      <c r="E295" s="222"/>
    </row>
    <row r="296">
      <c r="A296" s="134" t="s">
        <v>2536</v>
      </c>
      <c r="B296" s="132" t="s">
        <v>2538</v>
      </c>
      <c r="C296" s="134" t="s">
        <v>147</v>
      </c>
      <c r="D296" s="224" t="s">
        <v>2539</v>
      </c>
      <c r="E296" s="222"/>
      <c r="F296" s="134" t="s">
        <v>2543</v>
      </c>
    </row>
    <row r="297">
      <c r="A297" s="134" t="s">
        <v>2544</v>
      </c>
      <c r="B297" s="132" t="s">
        <v>2545</v>
      </c>
      <c r="C297" s="134" t="s">
        <v>1883</v>
      </c>
      <c r="D297" s="223"/>
      <c r="E297" s="222"/>
      <c r="F297" s="222"/>
    </row>
    <row r="298">
      <c r="A298" s="134" t="s">
        <v>2547</v>
      </c>
      <c r="B298" s="132" t="s">
        <v>2548</v>
      </c>
      <c r="C298" s="134" t="s">
        <v>527</v>
      </c>
      <c r="D298" s="223"/>
      <c r="E298" s="222"/>
      <c r="F298" s="222"/>
    </row>
    <row r="299">
      <c r="A299" s="134" t="s">
        <v>2549</v>
      </c>
      <c r="B299" s="132" t="s">
        <v>2550</v>
      </c>
      <c r="C299" s="134" t="s">
        <v>1240</v>
      </c>
      <c r="D299" s="224" t="s">
        <v>2551</v>
      </c>
      <c r="E299" s="222"/>
      <c r="F299" s="134" t="s">
        <v>2552</v>
      </c>
    </row>
    <row r="300">
      <c r="A300" s="134" t="s">
        <v>2549</v>
      </c>
      <c r="B300" s="132" t="s">
        <v>2556</v>
      </c>
      <c r="C300" s="134" t="s">
        <v>1380</v>
      </c>
      <c r="D300" s="223"/>
      <c r="E300" s="222"/>
      <c r="F300" s="222"/>
    </row>
    <row r="301">
      <c r="A301" s="134" t="s">
        <v>2557</v>
      </c>
      <c r="B301" s="132" t="s">
        <v>2558</v>
      </c>
      <c r="C301" s="134" t="s">
        <v>1338</v>
      </c>
      <c r="D301" s="224" t="s">
        <v>2559</v>
      </c>
      <c r="E301" s="222"/>
      <c r="F301" s="134" t="s">
        <v>2561</v>
      </c>
    </row>
    <row r="302">
      <c r="A302" s="134" t="s">
        <v>2557</v>
      </c>
      <c r="B302" s="132" t="s">
        <v>2562</v>
      </c>
      <c r="C302" s="134" t="s">
        <v>1205</v>
      </c>
      <c r="D302" s="223"/>
      <c r="E302" s="222"/>
      <c r="F302" s="222"/>
    </row>
    <row r="303">
      <c r="A303" s="134" t="s">
        <v>2563</v>
      </c>
      <c r="B303" s="132" t="s">
        <v>2564</v>
      </c>
      <c r="C303" s="134" t="s">
        <v>1338</v>
      </c>
      <c r="E303" s="222"/>
      <c r="F303" s="222"/>
    </row>
    <row r="304">
      <c r="A304" s="134" t="s">
        <v>2563</v>
      </c>
      <c r="B304" s="132" t="s">
        <v>2565</v>
      </c>
      <c r="C304" s="134" t="s">
        <v>1205</v>
      </c>
      <c r="E304" s="222"/>
      <c r="F304" s="222"/>
    </row>
    <row r="305">
      <c r="A305" s="134" t="s">
        <v>2566</v>
      </c>
      <c r="B305" s="132" t="s">
        <v>2567</v>
      </c>
      <c r="C305" s="134" t="s">
        <v>1286</v>
      </c>
      <c r="D305" s="136" t="s">
        <v>2568</v>
      </c>
      <c r="E305" s="222"/>
      <c r="F305" s="134" t="s">
        <v>2572</v>
      </c>
    </row>
    <row r="306">
      <c r="A306" s="134" t="s">
        <v>2566</v>
      </c>
      <c r="B306" s="132" t="s">
        <v>2574</v>
      </c>
      <c r="C306" s="134" t="s">
        <v>1205</v>
      </c>
      <c r="D306" s="136" t="s">
        <v>2576</v>
      </c>
      <c r="E306" s="222"/>
      <c r="F306" s="134" t="s">
        <v>2577</v>
      </c>
    </row>
    <row r="307">
      <c r="A307" s="134" t="s">
        <v>2578</v>
      </c>
      <c r="B307" s="132" t="s">
        <v>2579</v>
      </c>
      <c r="C307" s="134" t="s">
        <v>1338</v>
      </c>
      <c r="E307" s="222"/>
      <c r="F307" s="222"/>
    </row>
    <row r="308">
      <c r="A308" s="134" t="s">
        <v>2578</v>
      </c>
      <c r="B308" s="132" t="s">
        <v>2580</v>
      </c>
      <c r="C308" s="134" t="s">
        <v>1205</v>
      </c>
      <c r="D308" s="136" t="s">
        <v>2583</v>
      </c>
      <c r="E308" s="222"/>
      <c r="F308" s="134" t="s">
        <v>2585</v>
      </c>
    </row>
    <row r="309">
      <c r="B309" s="132"/>
      <c r="E309" s="222"/>
      <c r="F309" s="134" t="s">
        <v>2587</v>
      </c>
    </row>
    <row r="310">
      <c r="A310" s="134" t="s">
        <v>2588</v>
      </c>
      <c r="B310" s="132" t="s">
        <v>2589</v>
      </c>
      <c r="C310" s="134" t="s">
        <v>2432</v>
      </c>
      <c r="E310" s="222"/>
      <c r="F310" s="222"/>
    </row>
    <row r="311">
      <c r="A311" s="134" t="s">
        <v>2588</v>
      </c>
      <c r="B311" s="132" t="s">
        <v>2590</v>
      </c>
      <c r="C311" s="134" t="s">
        <v>147</v>
      </c>
      <c r="E311" s="222"/>
      <c r="F311" s="134" t="s">
        <v>2592</v>
      </c>
    </row>
    <row r="312">
      <c r="A312" s="134" t="s">
        <v>2594</v>
      </c>
      <c r="B312" s="132" t="s">
        <v>2595</v>
      </c>
      <c r="C312" s="134" t="s">
        <v>1213</v>
      </c>
      <c r="E312" s="222"/>
      <c r="F312" s="222"/>
    </row>
    <row r="313">
      <c r="A313" s="134" t="s">
        <v>2594</v>
      </c>
      <c r="B313" s="132" t="s">
        <v>2596</v>
      </c>
      <c r="C313" s="134" t="s">
        <v>1296</v>
      </c>
      <c r="E313" s="222"/>
      <c r="F313" s="134" t="s">
        <v>2597</v>
      </c>
    </row>
    <row r="314">
      <c r="A314" s="134" t="s">
        <v>2598</v>
      </c>
      <c r="B314" s="132" t="s">
        <v>2599</v>
      </c>
      <c r="C314" s="134" t="s">
        <v>1240</v>
      </c>
      <c r="E314" s="222"/>
      <c r="F314" s="222"/>
    </row>
    <row r="315">
      <c r="A315" s="134" t="s">
        <v>2598</v>
      </c>
      <c r="B315" s="132" t="s">
        <v>2600</v>
      </c>
      <c r="C315" s="134" t="s">
        <v>1894</v>
      </c>
      <c r="E315" s="222"/>
      <c r="F315" s="222"/>
    </row>
    <row r="316">
      <c r="A316" s="134" t="s">
        <v>2601</v>
      </c>
      <c r="B316" s="132" t="s">
        <v>2602</v>
      </c>
      <c r="C316" s="134" t="s">
        <v>1286</v>
      </c>
      <c r="E316" s="222"/>
      <c r="F316" s="222"/>
    </row>
    <row r="317">
      <c r="A317" s="134" t="s">
        <v>2601</v>
      </c>
      <c r="B317" s="132" t="s">
        <v>2605</v>
      </c>
      <c r="C317" s="134" t="s">
        <v>1894</v>
      </c>
      <c r="E317" s="222"/>
      <c r="F317" s="222"/>
    </row>
    <row r="318">
      <c r="A318" s="134" t="s">
        <v>1861</v>
      </c>
      <c r="B318" s="132" t="s">
        <v>1862</v>
      </c>
      <c r="C318" s="134" t="s">
        <v>1296</v>
      </c>
      <c r="E318" s="222"/>
      <c r="F318" s="222"/>
    </row>
    <row r="319">
      <c r="A319" s="134" t="s">
        <v>1861</v>
      </c>
      <c r="B319" s="132" t="s">
        <v>2607</v>
      </c>
      <c r="C319" s="134" t="s">
        <v>1213</v>
      </c>
      <c r="E319" s="222"/>
      <c r="F319" s="222"/>
    </row>
    <row r="320">
      <c r="A320" s="134" t="s">
        <v>2456</v>
      </c>
      <c r="B320" s="132" t="s">
        <v>2457</v>
      </c>
      <c r="C320" s="134" t="s">
        <v>2385</v>
      </c>
      <c r="E320" s="222"/>
      <c r="F320" s="134" t="s">
        <v>2459</v>
      </c>
    </row>
    <row r="321">
      <c r="A321" s="134" t="s">
        <v>2456</v>
      </c>
      <c r="B321" s="132" t="s">
        <v>2460</v>
      </c>
      <c r="C321" s="134" t="s">
        <v>2461</v>
      </c>
      <c r="E321" s="222"/>
      <c r="F321" s="134" t="s">
        <v>2462</v>
      </c>
    </row>
    <row r="322">
      <c r="A322" s="134" t="s">
        <v>2610</v>
      </c>
      <c r="B322" s="132" t="s">
        <v>1994</v>
      </c>
      <c r="C322" s="134" t="s">
        <v>1213</v>
      </c>
      <c r="E322" s="222"/>
      <c r="F322" s="222"/>
    </row>
    <row r="323">
      <c r="A323" s="134" t="s">
        <v>2610</v>
      </c>
      <c r="B323" s="132" t="s">
        <v>2612</v>
      </c>
      <c r="C323" s="134" t="s">
        <v>1296</v>
      </c>
      <c r="E323" s="222"/>
      <c r="F323" s="134" t="s">
        <v>2613</v>
      </c>
    </row>
    <row r="324">
      <c r="A324" s="134"/>
      <c r="B324" s="132"/>
      <c r="C324" s="134"/>
      <c r="E324" s="222"/>
      <c r="F324" s="222"/>
    </row>
    <row r="325">
      <c r="A325" s="134"/>
      <c r="B325" s="132"/>
      <c r="C325" s="134"/>
      <c r="E325" s="222"/>
      <c r="F325" s="222"/>
    </row>
    <row r="326">
      <c r="A326" s="134" t="s">
        <v>2614</v>
      </c>
      <c r="B326" s="132" t="s">
        <v>2615</v>
      </c>
      <c r="C326" s="134" t="s">
        <v>2616</v>
      </c>
      <c r="E326" s="222"/>
      <c r="F326" s="134" t="s">
        <v>2617</v>
      </c>
    </row>
    <row r="327">
      <c r="A327" s="134" t="s">
        <v>2620</v>
      </c>
      <c r="B327" s="132" t="s">
        <v>2622</v>
      </c>
      <c r="C327" s="134" t="s">
        <v>2623</v>
      </c>
      <c r="E327" s="222"/>
      <c r="F327" s="222"/>
    </row>
    <row r="328">
      <c r="B328" s="252"/>
    </row>
    <row r="329">
      <c r="A329" s="259" t="s">
        <v>2624</v>
      </c>
      <c r="B329" s="259"/>
    </row>
    <row r="330">
      <c r="A330" s="87" t="s">
        <v>2625</v>
      </c>
      <c r="B330" s="260" t="s">
        <v>2627</v>
      </c>
      <c r="D330" s="136" t="s">
        <v>2628</v>
      </c>
      <c r="F330" s="87" t="s">
        <v>2629</v>
      </c>
      <c r="G330" s="87" t="s">
        <v>2630</v>
      </c>
      <c r="H330" s="87" t="s">
        <v>2631</v>
      </c>
    </row>
    <row r="331">
      <c r="A331" s="87" t="s">
        <v>2632</v>
      </c>
      <c r="B331" s="260" t="s">
        <v>2633</v>
      </c>
      <c r="C331" s="261" t="s">
        <v>2634</v>
      </c>
      <c r="D331" s="136" t="s">
        <v>2637</v>
      </c>
      <c r="F331" s="87" t="s">
        <v>2639</v>
      </c>
      <c r="G331" s="87" t="s">
        <v>2640</v>
      </c>
    </row>
    <row r="332">
      <c r="A332" s="87" t="s">
        <v>2641</v>
      </c>
      <c r="B332" s="260" t="s">
        <v>2642</v>
      </c>
      <c r="D332" s="136" t="s">
        <v>2644</v>
      </c>
      <c r="F332" s="168" t="s">
        <v>2645</v>
      </c>
    </row>
    <row r="333">
      <c r="A333" s="87" t="s">
        <v>1640</v>
      </c>
      <c r="B333" s="260" t="s">
        <v>1641</v>
      </c>
      <c r="C333" s="261" t="s">
        <v>2646</v>
      </c>
      <c r="D333" s="136" t="s">
        <v>2647</v>
      </c>
      <c r="F333" s="87" t="s">
        <v>2651</v>
      </c>
      <c r="G333" s="87" t="s">
        <v>2652</v>
      </c>
    </row>
    <row r="334">
      <c r="A334" s="87" t="s">
        <v>2653</v>
      </c>
      <c r="B334" s="260" t="s">
        <v>2654</v>
      </c>
      <c r="D334" s="136" t="s">
        <v>2655</v>
      </c>
      <c r="F334" s="168" t="s">
        <v>2657</v>
      </c>
    </row>
    <row r="335">
      <c r="A335" s="87" t="s">
        <v>2658</v>
      </c>
      <c r="B335" s="260" t="s">
        <v>2659</v>
      </c>
      <c r="D335" s="262" t="s">
        <v>2660</v>
      </c>
      <c r="F335" s="87" t="s">
        <v>2664</v>
      </c>
    </row>
    <row r="336">
      <c r="A336" s="87" t="s">
        <v>2665</v>
      </c>
      <c r="B336" s="242" t="s">
        <v>2666</v>
      </c>
      <c r="C336" s="87" t="s">
        <v>2667</v>
      </c>
      <c r="D336" s="136" t="s">
        <v>2668</v>
      </c>
      <c r="F336" s="87" t="s">
        <v>2670</v>
      </c>
    </row>
    <row r="337">
      <c r="A337" s="87" t="s">
        <v>2671</v>
      </c>
      <c r="B337" s="242" t="s">
        <v>2672</v>
      </c>
      <c r="C337" s="87" t="s">
        <v>2673</v>
      </c>
      <c r="D337" s="136" t="s">
        <v>2674</v>
      </c>
      <c r="F337" s="87" t="s">
        <v>2675</v>
      </c>
    </row>
    <row r="338">
      <c r="A338" s="87" t="s">
        <v>2676</v>
      </c>
      <c r="B338" s="242" t="s">
        <v>2677</v>
      </c>
      <c r="C338" s="87" t="s">
        <v>2678</v>
      </c>
      <c r="D338" s="136" t="s">
        <v>2679</v>
      </c>
      <c r="F338" s="87" t="s">
        <v>2680</v>
      </c>
    </row>
    <row r="339">
      <c r="A339" s="134" t="s">
        <v>2681</v>
      </c>
      <c r="B339" s="220" t="s">
        <v>2682</v>
      </c>
      <c r="C339" s="134" t="s">
        <v>2683</v>
      </c>
      <c r="D339" s="136" t="s">
        <v>2684</v>
      </c>
      <c r="E339" s="222"/>
      <c r="F339" s="134" t="s">
        <v>2685</v>
      </c>
    </row>
    <row r="340">
      <c r="A340" s="87" t="s">
        <v>2686</v>
      </c>
      <c r="B340" s="242" t="s">
        <v>2687</v>
      </c>
      <c r="C340" s="87" t="s">
        <v>2688</v>
      </c>
      <c r="D340" s="136" t="s">
        <v>2689</v>
      </c>
      <c r="F340" s="87" t="s">
        <v>2694</v>
      </c>
    </row>
    <row r="341">
      <c r="A341" s="87" t="s">
        <v>2695</v>
      </c>
      <c r="B341" s="242" t="s">
        <v>2696</v>
      </c>
      <c r="C341" s="87" t="s">
        <v>192</v>
      </c>
      <c r="D341" s="136" t="s">
        <v>2698</v>
      </c>
      <c r="F341" s="87" t="s">
        <v>2700</v>
      </c>
    </row>
    <row r="342">
      <c r="A342" s="87" t="s">
        <v>165</v>
      </c>
      <c r="B342" s="242" t="s">
        <v>2701</v>
      </c>
      <c r="C342" s="87" t="s">
        <v>2702</v>
      </c>
      <c r="D342" s="136" t="s">
        <v>2703</v>
      </c>
      <c r="F342" s="87" t="s">
        <v>2707</v>
      </c>
    </row>
    <row r="343">
      <c r="A343" s="87" t="s">
        <v>2407</v>
      </c>
      <c r="B343" s="242" t="s">
        <v>2409</v>
      </c>
      <c r="C343" s="87" t="s">
        <v>147</v>
      </c>
      <c r="D343" s="136" t="s">
        <v>2708</v>
      </c>
      <c r="F343" s="87" t="s">
        <v>2710</v>
      </c>
    </row>
    <row r="344">
      <c r="A344" s="87" t="s">
        <v>2711</v>
      </c>
      <c r="B344" s="242" t="s">
        <v>2712</v>
      </c>
      <c r="C344" s="87" t="s">
        <v>253</v>
      </c>
      <c r="D344" s="136" t="s">
        <v>2713</v>
      </c>
      <c r="F344" s="87" t="s">
        <v>2717</v>
      </c>
    </row>
    <row r="345">
      <c r="A345" s="87" t="s">
        <v>2719</v>
      </c>
      <c r="B345" s="242" t="s">
        <v>2720</v>
      </c>
      <c r="C345" s="87" t="s">
        <v>2721</v>
      </c>
      <c r="D345" s="136" t="s">
        <v>2722</v>
      </c>
      <c r="F345" s="87" t="s">
        <v>2725</v>
      </c>
    </row>
    <row r="346">
      <c r="A346" s="87" t="s">
        <v>2726</v>
      </c>
      <c r="B346" s="242" t="s">
        <v>2727</v>
      </c>
      <c r="C346" s="87" t="s">
        <v>237</v>
      </c>
      <c r="D346" s="136" t="s">
        <v>2728</v>
      </c>
      <c r="F346" s="87" t="s">
        <v>2729</v>
      </c>
    </row>
    <row r="347">
      <c r="A347" s="87" t="s">
        <v>2730</v>
      </c>
      <c r="B347" s="242" t="s">
        <v>2731</v>
      </c>
      <c r="C347" s="87" t="s">
        <v>237</v>
      </c>
      <c r="D347" s="136" t="s">
        <v>2732</v>
      </c>
      <c r="F347" s="87" t="s">
        <v>2737</v>
      </c>
    </row>
    <row r="348">
      <c r="A348" s="87" t="s">
        <v>2739</v>
      </c>
      <c r="B348" s="242" t="s">
        <v>2740</v>
      </c>
      <c r="C348" s="87" t="s">
        <v>2741</v>
      </c>
      <c r="D348" s="136" t="s">
        <v>2742</v>
      </c>
      <c r="F348" s="87" t="s">
        <v>2743</v>
      </c>
    </row>
    <row r="349">
      <c r="A349" s="87" t="s">
        <v>965</v>
      </c>
      <c r="B349" s="242" t="s">
        <v>2744</v>
      </c>
      <c r="C349" s="87" t="s">
        <v>417</v>
      </c>
      <c r="F349" s="87" t="s">
        <v>2745</v>
      </c>
    </row>
    <row r="350">
      <c r="A350" s="87" t="s">
        <v>2746</v>
      </c>
      <c r="B350" s="242" t="s">
        <v>2747</v>
      </c>
      <c r="C350" s="87" t="s">
        <v>253</v>
      </c>
      <c r="F350" s="87" t="s">
        <v>2748</v>
      </c>
    </row>
    <row r="351">
      <c r="A351" s="136" t="s">
        <v>2749</v>
      </c>
      <c r="B351" s="242" t="s">
        <v>2753</v>
      </c>
      <c r="C351" s="87" t="s">
        <v>93</v>
      </c>
      <c r="F351" s="87" t="s">
        <v>2755</v>
      </c>
    </row>
    <row r="352">
      <c r="A352" s="87" t="s">
        <v>2757</v>
      </c>
      <c r="B352" s="242" t="s">
        <v>549</v>
      </c>
      <c r="C352" s="87" t="s">
        <v>2758</v>
      </c>
      <c r="F352" s="87" t="s">
        <v>2759</v>
      </c>
    </row>
    <row r="353">
      <c r="A353" s="87" t="s">
        <v>946</v>
      </c>
      <c r="B353" s="242" t="s">
        <v>2760</v>
      </c>
      <c r="C353" s="87" t="s">
        <v>2761</v>
      </c>
      <c r="F353" s="87" t="s">
        <v>2762</v>
      </c>
    </row>
    <row r="354">
      <c r="A354" s="87" t="s">
        <v>946</v>
      </c>
      <c r="B354" s="242" t="s">
        <v>2763</v>
      </c>
      <c r="C354" s="87" t="s">
        <v>147</v>
      </c>
      <c r="F354" s="87" t="s">
        <v>2764</v>
      </c>
    </row>
    <row r="355">
      <c r="A355" s="87" t="s">
        <v>132</v>
      </c>
      <c r="B355" s="242" t="s">
        <v>1207</v>
      </c>
      <c r="C355" s="87" t="s">
        <v>237</v>
      </c>
      <c r="F355" s="87" t="s">
        <v>156</v>
      </c>
    </row>
    <row r="356">
      <c r="A356" s="87" t="s">
        <v>2768</v>
      </c>
      <c r="B356" s="242" t="s">
        <v>2769</v>
      </c>
      <c r="C356" s="87" t="s">
        <v>782</v>
      </c>
      <c r="F356" s="87" t="s">
        <v>2770</v>
      </c>
    </row>
    <row r="357">
      <c r="A357" s="87" t="s">
        <v>2773</v>
      </c>
      <c r="B357" s="242" t="s">
        <v>2774</v>
      </c>
      <c r="C357" s="87" t="s">
        <v>1205</v>
      </c>
      <c r="F357" s="87" t="s">
        <v>2775</v>
      </c>
    </row>
    <row r="358">
      <c r="A358" s="87" t="s">
        <v>1339</v>
      </c>
      <c r="B358" s="242" t="s">
        <v>1340</v>
      </c>
      <c r="C358" s="87" t="s">
        <v>93</v>
      </c>
      <c r="F358" s="87" t="s">
        <v>1347</v>
      </c>
    </row>
    <row r="359">
      <c r="A359" s="87" t="s">
        <v>1111</v>
      </c>
      <c r="B359" s="242" t="s">
        <v>2776</v>
      </c>
      <c r="C359" s="87" t="s">
        <v>1011</v>
      </c>
      <c r="F359" s="87" t="s">
        <v>2777</v>
      </c>
    </row>
    <row r="360">
      <c r="A360" s="87" t="s">
        <v>2123</v>
      </c>
      <c r="B360" s="242" t="s">
        <v>2778</v>
      </c>
      <c r="C360" s="87" t="s">
        <v>2125</v>
      </c>
      <c r="F360" s="87" t="s">
        <v>2781</v>
      </c>
    </row>
    <row r="361">
      <c r="A361" s="87" t="s">
        <v>2123</v>
      </c>
      <c r="B361" s="242" t="s">
        <v>2148</v>
      </c>
      <c r="C361" s="87" t="s">
        <v>1296</v>
      </c>
      <c r="F361" s="87" t="s">
        <v>2153</v>
      </c>
    </row>
    <row r="362">
      <c r="A362" s="87" t="s">
        <v>2123</v>
      </c>
      <c r="B362" s="242" t="s">
        <v>2130</v>
      </c>
      <c r="C362" s="87" t="s">
        <v>1296</v>
      </c>
      <c r="F362" s="87" t="s">
        <v>2783</v>
      </c>
    </row>
    <row r="363">
      <c r="A363" s="16" t="s">
        <v>2123</v>
      </c>
      <c r="B363" s="242" t="s">
        <v>2785</v>
      </c>
      <c r="C363" s="87" t="s">
        <v>2786</v>
      </c>
      <c r="F363" s="87" t="s">
        <v>2787</v>
      </c>
    </row>
    <row r="364">
      <c r="A364" s="87" t="s">
        <v>2123</v>
      </c>
      <c r="B364" s="242" t="s">
        <v>2788</v>
      </c>
      <c r="C364" s="87" t="s">
        <v>1296</v>
      </c>
      <c r="F364" s="87" t="s">
        <v>2143</v>
      </c>
    </row>
    <row r="365">
      <c r="A365" s="87" t="s">
        <v>2123</v>
      </c>
      <c r="B365" s="242" t="s">
        <v>2791</v>
      </c>
      <c r="C365" s="87" t="s">
        <v>2792</v>
      </c>
      <c r="F365" s="87" t="s">
        <v>2793</v>
      </c>
    </row>
    <row r="366">
      <c r="A366" s="87" t="s">
        <v>2123</v>
      </c>
      <c r="B366" s="242" t="s">
        <v>2794</v>
      </c>
      <c r="C366" s="87" t="s">
        <v>1296</v>
      </c>
      <c r="F366" s="87" t="s">
        <v>2795</v>
      </c>
    </row>
    <row r="367">
      <c r="A367" s="87" t="s">
        <v>1734</v>
      </c>
      <c r="B367" s="242" t="s">
        <v>2796</v>
      </c>
      <c r="C367" s="87" t="s">
        <v>2797</v>
      </c>
      <c r="F367" s="87" t="s">
        <v>2798</v>
      </c>
    </row>
    <row r="368">
      <c r="A368" s="87" t="s">
        <v>1734</v>
      </c>
      <c r="B368" s="242" t="s">
        <v>2799</v>
      </c>
      <c r="C368" s="87" t="s">
        <v>1019</v>
      </c>
      <c r="F368" s="87" t="s">
        <v>2800</v>
      </c>
    </row>
    <row r="369">
      <c r="A369" s="87" t="s">
        <v>1734</v>
      </c>
      <c r="B369" s="242" t="s">
        <v>2801</v>
      </c>
      <c r="C369" s="87" t="s">
        <v>2802</v>
      </c>
      <c r="F369" s="87" t="s">
        <v>2803</v>
      </c>
    </row>
    <row r="370">
      <c r="A370" s="87" t="s">
        <v>2806</v>
      </c>
      <c r="B370" s="242" t="s">
        <v>2807</v>
      </c>
      <c r="C370" s="87" t="s">
        <v>2809</v>
      </c>
      <c r="F370" s="87" t="s">
        <v>2810</v>
      </c>
    </row>
    <row r="371">
      <c r="A371" s="87" t="s">
        <v>2811</v>
      </c>
      <c r="B371" s="242" t="s">
        <v>1958</v>
      </c>
      <c r="C371" s="87" t="s">
        <v>2159</v>
      </c>
      <c r="F371" s="87" t="s">
        <v>2812</v>
      </c>
    </row>
    <row r="372">
      <c r="A372" s="87" t="s">
        <v>2813</v>
      </c>
      <c r="B372" s="242" t="s">
        <v>2814</v>
      </c>
      <c r="C372" s="87" t="s">
        <v>2702</v>
      </c>
      <c r="F372" s="87" t="s">
        <v>2816</v>
      </c>
    </row>
    <row r="373">
      <c r="A373" s="87" t="s">
        <v>2817</v>
      </c>
      <c r="B373" s="242" t="s">
        <v>2818</v>
      </c>
      <c r="C373" s="87" t="s">
        <v>172</v>
      </c>
      <c r="F373" s="87" t="s">
        <v>2819</v>
      </c>
    </row>
    <row r="374">
      <c r="A374" s="87" t="s">
        <v>2817</v>
      </c>
      <c r="B374" s="242" t="s">
        <v>2820</v>
      </c>
      <c r="C374" s="87" t="s">
        <v>172</v>
      </c>
      <c r="F374" s="87" t="s">
        <v>2819</v>
      </c>
    </row>
    <row r="375">
      <c r="A375" s="87" t="s">
        <v>2821</v>
      </c>
      <c r="B375" s="242" t="s">
        <v>2822</v>
      </c>
      <c r="C375" s="87" t="s">
        <v>172</v>
      </c>
      <c r="F375" s="87" t="s">
        <v>2823</v>
      </c>
    </row>
    <row r="376">
      <c r="A376" s="87" t="s">
        <v>2821</v>
      </c>
      <c r="B376" s="242" t="s">
        <v>2825</v>
      </c>
      <c r="C376" s="87" t="s">
        <v>172</v>
      </c>
      <c r="F376" s="87" t="s">
        <v>2823</v>
      </c>
    </row>
    <row r="377">
      <c r="A377" s="87" t="s">
        <v>2821</v>
      </c>
      <c r="B377" s="242" t="s">
        <v>2828</v>
      </c>
      <c r="C377" s="87" t="s">
        <v>2829</v>
      </c>
      <c r="F377" s="87" t="s">
        <v>2823</v>
      </c>
    </row>
    <row r="378">
      <c r="A378" s="87" t="s">
        <v>1231</v>
      </c>
      <c r="B378" s="242" t="s">
        <v>1232</v>
      </c>
      <c r="C378" s="87" t="s">
        <v>172</v>
      </c>
      <c r="F378" s="87" t="s">
        <v>1234</v>
      </c>
    </row>
    <row r="379">
      <c r="A379" s="87" t="s">
        <v>2831</v>
      </c>
      <c r="B379" s="242" t="s">
        <v>2832</v>
      </c>
      <c r="C379" s="87" t="s">
        <v>172</v>
      </c>
      <c r="F379" s="87" t="s">
        <v>2833</v>
      </c>
    </row>
    <row r="380">
      <c r="A380" s="87" t="s">
        <v>1533</v>
      </c>
      <c r="B380" s="242" t="s">
        <v>1534</v>
      </c>
      <c r="C380" s="87" t="s">
        <v>2829</v>
      </c>
      <c r="F380" s="87" t="s">
        <v>2834</v>
      </c>
    </row>
    <row r="381">
      <c r="A381" s="87" t="s">
        <v>548</v>
      </c>
      <c r="B381" s="189" t="s">
        <v>2837</v>
      </c>
      <c r="C381" s="87" t="s">
        <v>2829</v>
      </c>
      <c r="F381" s="87" t="s">
        <v>2838</v>
      </c>
    </row>
    <row r="382">
      <c r="A382" s="87" t="s">
        <v>2839</v>
      </c>
      <c r="B382" s="189" t="s">
        <v>549</v>
      </c>
      <c r="C382" s="87" t="s">
        <v>172</v>
      </c>
      <c r="F382" s="87" t="s">
        <v>2759</v>
      </c>
    </row>
    <row r="383">
      <c r="A383" s="87" t="s">
        <v>1111</v>
      </c>
      <c r="B383" s="189" t="s">
        <v>1112</v>
      </c>
      <c r="C383" s="87" t="s">
        <v>2829</v>
      </c>
      <c r="F383" s="87" t="s">
        <v>2840</v>
      </c>
    </row>
    <row r="384">
      <c r="A384" s="87" t="s">
        <v>1111</v>
      </c>
      <c r="B384" s="189" t="s">
        <v>1125</v>
      </c>
      <c r="C384" s="87" t="s">
        <v>2842</v>
      </c>
      <c r="F384" s="87" t="s">
        <v>2844</v>
      </c>
    </row>
    <row r="385">
      <c r="A385" s="87" t="s">
        <v>1111</v>
      </c>
      <c r="B385" s="189" t="s">
        <v>1118</v>
      </c>
      <c r="C385" s="87" t="s">
        <v>172</v>
      </c>
      <c r="F385" s="87" t="s">
        <v>2845</v>
      </c>
    </row>
    <row r="386">
      <c r="A386" s="134" t="s">
        <v>2846</v>
      </c>
      <c r="B386" s="232" t="s">
        <v>2847</v>
      </c>
      <c r="C386" s="87" t="s">
        <v>172</v>
      </c>
      <c r="D386" s="136" t="s">
        <v>2848</v>
      </c>
      <c r="F386" s="87" t="s">
        <v>2849</v>
      </c>
    </row>
    <row r="387">
      <c r="A387" s="134" t="s">
        <v>2851</v>
      </c>
      <c r="B387" s="232" t="s">
        <v>2853</v>
      </c>
      <c r="C387" s="87" t="s">
        <v>172</v>
      </c>
      <c r="D387" s="136" t="s">
        <v>2855</v>
      </c>
      <c r="E387" s="168"/>
      <c r="F387" s="168" t="s">
        <v>2857</v>
      </c>
    </row>
    <row r="388">
      <c r="A388" s="134" t="s">
        <v>589</v>
      </c>
      <c r="B388" s="232" t="s">
        <v>591</v>
      </c>
      <c r="C388" s="87" t="s">
        <v>172</v>
      </c>
      <c r="D388" s="136" t="s">
        <v>596</v>
      </c>
      <c r="E388" s="178">
        <f>+919530284335</f>
        <v>919530284335</v>
      </c>
      <c r="F388" s="168" t="s">
        <v>602</v>
      </c>
    </row>
    <row r="389">
      <c r="A389" s="134" t="s">
        <v>2714</v>
      </c>
      <c r="B389" s="232" t="s">
        <v>2863</v>
      </c>
      <c r="C389" s="87" t="s">
        <v>172</v>
      </c>
      <c r="D389" s="136" t="s">
        <v>2864</v>
      </c>
      <c r="F389" s="168" t="s">
        <v>2868</v>
      </c>
    </row>
    <row r="390">
      <c r="A390" s="134" t="s">
        <v>1505</v>
      </c>
      <c r="B390" s="232" t="s">
        <v>2869</v>
      </c>
      <c r="C390" s="87" t="s">
        <v>172</v>
      </c>
      <c r="D390" s="136" t="s">
        <v>2870</v>
      </c>
      <c r="F390" s="87" t="s">
        <v>2871</v>
      </c>
    </row>
    <row r="391">
      <c r="A391" s="134" t="s">
        <v>2872</v>
      </c>
      <c r="B391" s="232" t="s">
        <v>2873</v>
      </c>
      <c r="C391" s="87" t="s">
        <v>172</v>
      </c>
      <c r="D391" s="136" t="s">
        <v>2876</v>
      </c>
      <c r="F391" s="168" t="s">
        <v>2878</v>
      </c>
    </row>
    <row r="392">
      <c r="A392" s="134" t="s">
        <v>2879</v>
      </c>
      <c r="B392" s="232" t="s">
        <v>2880</v>
      </c>
      <c r="C392" s="87" t="s">
        <v>172</v>
      </c>
      <c r="D392" s="136" t="s">
        <v>2881</v>
      </c>
      <c r="F392" s="168" t="s">
        <v>2883</v>
      </c>
    </row>
    <row r="393">
      <c r="A393" s="134" t="s">
        <v>2884</v>
      </c>
      <c r="B393" s="232" t="s">
        <v>2885</v>
      </c>
      <c r="C393" s="87" t="s">
        <v>172</v>
      </c>
      <c r="D393" s="136" t="s">
        <v>2886</v>
      </c>
      <c r="F393" s="87" t="s">
        <v>2890</v>
      </c>
    </row>
    <row r="394">
      <c r="A394" s="134" t="s">
        <v>2581</v>
      </c>
      <c r="B394" s="232" t="s">
        <v>2891</v>
      </c>
      <c r="C394" s="87" t="s">
        <v>172</v>
      </c>
      <c r="D394" s="136" t="s">
        <v>2892</v>
      </c>
      <c r="F394" s="87" t="s">
        <v>2895</v>
      </c>
    </row>
    <row r="395">
      <c r="A395" s="134" t="s">
        <v>2896</v>
      </c>
      <c r="B395" s="232" t="s">
        <v>2897</v>
      </c>
      <c r="C395" s="87" t="s">
        <v>172</v>
      </c>
      <c r="D395" s="136" t="s">
        <v>2898</v>
      </c>
      <c r="F395" s="87" t="s">
        <v>2899</v>
      </c>
      <c r="G395" s="87" t="s">
        <v>2901</v>
      </c>
    </row>
    <row r="396">
      <c r="A396" s="134" t="s">
        <v>2902</v>
      </c>
      <c r="B396" s="232" t="s">
        <v>2904</v>
      </c>
      <c r="C396" s="87" t="s">
        <v>172</v>
      </c>
      <c r="D396" s="136" t="s">
        <v>2905</v>
      </c>
      <c r="F396" s="87" t="s">
        <v>2906</v>
      </c>
    </row>
    <row r="397">
      <c r="A397" s="134" t="s">
        <v>625</v>
      </c>
      <c r="B397" s="232" t="s">
        <v>626</v>
      </c>
      <c r="C397" s="87" t="s">
        <v>172</v>
      </c>
      <c r="D397" s="136" t="s">
        <v>628</v>
      </c>
      <c r="E397" s="178">
        <f>+19088480262</f>
        <v>19088480262</v>
      </c>
      <c r="F397" s="168" t="s">
        <v>635</v>
      </c>
    </row>
    <row r="398">
      <c r="A398" s="134" t="s">
        <v>2093</v>
      </c>
      <c r="B398" s="232" t="s">
        <v>2911</v>
      </c>
      <c r="C398" s="87" t="s">
        <v>172</v>
      </c>
      <c r="D398" s="136" t="s">
        <v>2912</v>
      </c>
      <c r="F398" s="168" t="s">
        <v>2914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134" t="s">
        <v>608</v>
      </c>
      <c r="B399" s="232" t="s">
        <v>610</v>
      </c>
      <c r="C399" s="87" t="s">
        <v>2842</v>
      </c>
      <c r="D399" s="136" t="s">
        <v>612</v>
      </c>
      <c r="F399" s="168" t="s">
        <v>617</v>
      </c>
      <c r="K399" s="107"/>
      <c r="L399" s="107"/>
      <c r="M399" s="107"/>
      <c r="N399" s="102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</row>
    <row r="400">
      <c r="A400" s="134" t="s">
        <v>2923</v>
      </c>
      <c r="B400" s="232" t="s">
        <v>2924</v>
      </c>
      <c r="C400" s="87" t="s">
        <v>2842</v>
      </c>
      <c r="D400" s="136" t="s">
        <v>2925</v>
      </c>
      <c r="F400" s="168" t="s">
        <v>2927</v>
      </c>
    </row>
    <row r="401">
      <c r="A401" s="134" t="s">
        <v>2929</v>
      </c>
      <c r="B401" s="232" t="s">
        <v>2931</v>
      </c>
      <c r="C401" s="87" t="s">
        <v>2842</v>
      </c>
      <c r="D401" s="136" t="s">
        <v>2932</v>
      </c>
      <c r="F401" s="168" t="s">
        <v>2934</v>
      </c>
    </row>
    <row r="402">
      <c r="A402" s="134" t="s">
        <v>2935</v>
      </c>
      <c r="B402" s="232" t="s">
        <v>2936</v>
      </c>
      <c r="C402" s="87" t="s">
        <v>2842</v>
      </c>
      <c r="D402" s="136" t="s">
        <v>2937</v>
      </c>
      <c r="F402" s="168" t="s">
        <v>2943</v>
      </c>
    </row>
    <row r="403">
      <c r="A403" s="134" t="s">
        <v>2944</v>
      </c>
      <c r="B403" s="232" t="s">
        <v>2945</v>
      </c>
      <c r="C403" s="87" t="s">
        <v>2842</v>
      </c>
      <c r="D403" s="136" t="s">
        <v>2946</v>
      </c>
      <c r="F403" s="168" t="s">
        <v>2950</v>
      </c>
    </row>
    <row r="404">
      <c r="A404" s="134" t="s">
        <v>2951</v>
      </c>
      <c r="B404" s="232" t="s">
        <v>2952</v>
      </c>
      <c r="C404" s="87" t="s">
        <v>2842</v>
      </c>
      <c r="D404" s="136" t="s">
        <v>2954</v>
      </c>
      <c r="F404" s="87" t="s">
        <v>2956</v>
      </c>
    </row>
    <row r="405">
      <c r="A405" s="134" t="s">
        <v>2957</v>
      </c>
      <c r="B405" s="232" t="s">
        <v>2958</v>
      </c>
      <c r="C405" s="87" t="s">
        <v>2842</v>
      </c>
      <c r="D405" s="136" t="s">
        <v>2959</v>
      </c>
      <c r="E405" s="87" t="s">
        <v>2963</v>
      </c>
      <c r="F405" s="87" t="s">
        <v>2964</v>
      </c>
      <c r="G405" s="87" t="s">
        <v>2965</v>
      </c>
    </row>
    <row r="406">
      <c r="A406" s="134" t="s">
        <v>2966</v>
      </c>
      <c r="B406" s="232" t="s">
        <v>2968</v>
      </c>
      <c r="C406" s="87" t="s">
        <v>2842</v>
      </c>
      <c r="D406" s="136" t="s">
        <v>2969</v>
      </c>
      <c r="E406" s="178">
        <f>+919845665413</f>
        <v>919845665413</v>
      </c>
      <c r="F406" s="168" t="s">
        <v>2972</v>
      </c>
    </row>
    <row r="407">
      <c r="A407" s="134" t="s">
        <v>2569</v>
      </c>
      <c r="B407" s="263" t="s">
        <v>2973</v>
      </c>
      <c r="C407" s="87" t="s">
        <v>2842</v>
      </c>
      <c r="D407" s="136" t="s">
        <v>2974</v>
      </c>
      <c r="F407" s="87" t="s">
        <v>2976</v>
      </c>
    </row>
    <row r="408">
      <c r="A408" s="134" t="s">
        <v>2977</v>
      </c>
      <c r="B408" s="232" t="s">
        <v>2978</v>
      </c>
      <c r="C408" s="87" t="s">
        <v>2842</v>
      </c>
      <c r="D408" s="262" t="s">
        <v>2979</v>
      </c>
      <c r="F408" s="168" t="s">
        <v>2985</v>
      </c>
    </row>
    <row r="409">
      <c r="A409" s="134" t="s">
        <v>2986</v>
      </c>
      <c r="B409" s="232" t="s">
        <v>2987</v>
      </c>
      <c r="C409" s="87" t="s">
        <v>2842</v>
      </c>
      <c r="D409" s="136" t="s">
        <v>2988</v>
      </c>
      <c r="F409" s="168" t="s">
        <v>2992</v>
      </c>
    </row>
    <row r="410">
      <c r="A410" s="134" t="s">
        <v>2993</v>
      </c>
      <c r="B410" s="232" t="s">
        <v>2994</v>
      </c>
      <c r="C410" s="87" t="s">
        <v>2842</v>
      </c>
      <c r="D410" s="136" t="s">
        <v>2995</v>
      </c>
      <c r="F410" s="87" t="s">
        <v>2997</v>
      </c>
    </row>
    <row r="411">
      <c r="A411" s="134" t="s">
        <v>2998</v>
      </c>
      <c r="B411" s="232" t="s">
        <v>2999</v>
      </c>
      <c r="C411" s="87" t="s">
        <v>2842</v>
      </c>
      <c r="D411" s="136" t="s">
        <v>3000</v>
      </c>
      <c r="F411" s="168" t="s">
        <v>3005</v>
      </c>
    </row>
    <row r="412">
      <c r="A412" s="134" t="s">
        <v>2074</v>
      </c>
      <c r="B412" s="232" t="s">
        <v>3007</v>
      </c>
      <c r="C412" s="87" t="s">
        <v>2842</v>
      </c>
      <c r="D412" s="136" t="s">
        <v>3008</v>
      </c>
      <c r="F412" s="168" t="s">
        <v>3009</v>
      </c>
      <c r="G412" s="168" t="s">
        <v>3010</v>
      </c>
    </row>
    <row r="413">
      <c r="A413" s="134" t="s">
        <v>2053</v>
      </c>
      <c r="B413" s="232" t="s">
        <v>3011</v>
      </c>
      <c r="C413" s="87" t="s">
        <v>2842</v>
      </c>
      <c r="D413" s="136" t="s">
        <v>3014</v>
      </c>
      <c r="F413" s="87" t="s">
        <v>3016</v>
      </c>
    </row>
    <row r="414">
      <c r="A414" s="134" t="s">
        <v>2253</v>
      </c>
      <c r="B414" s="232" t="s">
        <v>3018</v>
      </c>
      <c r="C414" s="87" t="s">
        <v>2842</v>
      </c>
      <c r="D414" s="136" t="s">
        <v>3019</v>
      </c>
      <c r="F414" s="84" t="s">
        <v>3020</v>
      </c>
    </row>
    <row r="415">
      <c r="A415" s="134" t="s">
        <v>3023</v>
      </c>
      <c r="B415" s="232" t="s">
        <v>3026</v>
      </c>
      <c r="C415" s="87" t="s">
        <v>2842</v>
      </c>
      <c r="D415" s="136" t="s">
        <v>3027</v>
      </c>
      <c r="F415" s="168" t="s">
        <v>3029</v>
      </c>
    </row>
    <row r="416">
      <c r="A416" s="87" t="s">
        <v>3030</v>
      </c>
      <c r="B416" s="189" t="s">
        <v>3031</v>
      </c>
      <c r="C416" s="87" t="s">
        <v>172</v>
      </c>
      <c r="D416" s="136" t="s">
        <v>3032</v>
      </c>
      <c r="F416" s="87" t="s">
        <v>3038</v>
      </c>
    </row>
    <row r="417">
      <c r="A417" s="87" t="s">
        <v>485</v>
      </c>
      <c r="B417" s="189" t="s">
        <v>487</v>
      </c>
      <c r="C417" s="87" t="s">
        <v>172</v>
      </c>
      <c r="D417" s="136" t="s">
        <v>3039</v>
      </c>
      <c r="F417" s="87" t="s">
        <v>3045</v>
      </c>
    </row>
    <row r="418">
      <c r="A418" s="87" t="s">
        <v>132</v>
      </c>
      <c r="B418" s="189" t="s">
        <v>3046</v>
      </c>
      <c r="C418" s="87" t="s">
        <v>237</v>
      </c>
      <c r="D418" s="136" t="s">
        <v>3047</v>
      </c>
      <c r="F418" s="87" t="s">
        <v>3048</v>
      </c>
    </row>
    <row r="419">
      <c r="A419" s="87" t="s">
        <v>965</v>
      </c>
      <c r="B419" s="189" t="s">
        <v>3050</v>
      </c>
      <c r="C419" s="87" t="s">
        <v>451</v>
      </c>
      <c r="D419" s="136" t="s">
        <v>3052</v>
      </c>
      <c r="F419" s="87" t="s">
        <v>3055</v>
      </c>
    </row>
    <row r="420">
      <c r="A420" s="87" t="s">
        <v>91</v>
      </c>
      <c r="B420" s="189" t="s">
        <v>92</v>
      </c>
      <c r="C420" s="87" t="s">
        <v>3056</v>
      </c>
      <c r="D420" s="136" t="s">
        <v>3057</v>
      </c>
      <c r="F420" s="87" t="s">
        <v>96</v>
      </c>
    </row>
    <row r="421">
      <c r="A421" s="87" t="s">
        <v>3061</v>
      </c>
      <c r="B421" s="189" t="s">
        <v>3062</v>
      </c>
      <c r="C421" s="87" t="s">
        <v>3063</v>
      </c>
      <c r="D421" s="136" t="s">
        <v>3064</v>
      </c>
      <c r="F421" s="87" t="s">
        <v>3066</v>
      </c>
    </row>
    <row r="422">
      <c r="A422" s="87" t="s">
        <v>67</v>
      </c>
      <c r="B422" s="189" t="s">
        <v>68</v>
      </c>
      <c r="C422" s="87" t="s">
        <v>237</v>
      </c>
      <c r="D422" s="136" t="s">
        <v>3067</v>
      </c>
      <c r="F422" s="87" t="s">
        <v>77</v>
      </c>
    </row>
    <row r="423">
      <c r="A423" s="87" t="s">
        <v>13</v>
      </c>
      <c r="B423" s="189" t="s">
        <v>3072</v>
      </c>
      <c r="C423" s="87" t="s">
        <v>997</v>
      </c>
      <c r="D423" s="136" t="s">
        <v>3073</v>
      </c>
      <c r="F423" s="87" t="s">
        <v>3075</v>
      </c>
    </row>
    <row r="424">
      <c r="A424" s="87" t="s">
        <v>3076</v>
      </c>
      <c r="B424" s="189" t="s">
        <v>3077</v>
      </c>
      <c r="C424" s="87" t="s">
        <v>237</v>
      </c>
      <c r="D424" s="136" t="s">
        <v>3078</v>
      </c>
      <c r="F424" s="87" t="s">
        <v>3080</v>
      </c>
    </row>
    <row r="425">
      <c r="A425" s="87" t="s">
        <v>3081</v>
      </c>
      <c r="B425" s="189" t="s">
        <v>933</v>
      </c>
      <c r="C425" s="87" t="s">
        <v>237</v>
      </c>
      <c r="D425" s="136" t="s">
        <v>3082</v>
      </c>
      <c r="F425" s="87" t="s">
        <v>936</v>
      </c>
    </row>
    <row r="426">
      <c r="A426" s="87" t="s">
        <v>3083</v>
      </c>
      <c r="B426" s="189" t="s">
        <v>1149</v>
      </c>
      <c r="C426" s="87" t="s">
        <v>172</v>
      </c>
      <c r="D426" s="136" t="s">
        <v>3084</v>
      </c>
      <c r="F426" s="87" t="s">
        <v>1592</v>
      </c>
    </row>
    <row r="427">
      <c r="A427" s="87" t="s">
        <v>1132</v>
      </c>
      <c r="B427" s="189" t="s">
        <v>1139</v>
      </c>
      <c r="C427" s="87" t="s">
        <v>172</v>
      </c>
      <c r="D427" s="136" t="s">
        <v>3087</v>
      </c>
      <c r="F427" s="87" t="s">
        <v>1143</v>
      </c>
    </row>
    <row r="428">
      <c r="A428" s="87" t="s">
        <v>3089</v>
      </c>
      <c r="B428" s="189" t="s">
        <v>3090</v>
      </c>
      <c r="C428" s="87" t="s">
        <v>3091</v>
      </c>
      <c r="D428" s="136" t="s">
        <v>3092</v>
      </c>
      <c r="F428" s="87" t="s">
        <v>3096</v>
      </c>
    </row>
    <row r="429">
      <c r="A429" s="87" t="s">
        <v>3097</v>
      </c>
      <c r="B429" s="189" t="s">
        <v>3098</v>
      </c>
      <c r="C429" s="87" t="s">
        <v>172</v>
      </c>
      <c r="D429" s="136" t="s">
        <v>3099</v>
      </c>
      <c r="F429" s="87" t="s">
        <v>3101</v>
      </c>
    </row>
    <row r="430">
      <c r="A430" s="87" t="s">
        <v>3102</v>
      </c>
      <c r="B430" s="189" t="s">
        <v>3103</v>
      </c>
      <c r="C430" s="87" t="s">
        <v>172</v>
      </c>
      <c r="D430" s="136" t="s">
        <v>3104</v>
      </c>
      <c r="F430" s="87" t="s">
        <v>3105</v>
      </c>
    </row>
    <row r="431">
      <c r="A431" s="87" t="s">
        <v>3081</v>
      </c>
      <c r="B431" s="189" t="s">
        <v>3106</v>
      </c>
      <c r="C431" s="87" t="s">
        <v>93</v>
      </c>
      <c r="D431" s="136" t="s">
        <v>3107</v>
      </c>
      <c r="F431" s="87" t="s">
        <v>3111</v>
      </c>
    </row>
    <row r="432">
      <c r="A432" s="87" t="s">
        <v>3112</v>
      </c>
      <c r="B432" s="189" t="s">
        <v>3113</v>
      </c>
      <c r="C432" s="87" t="s">
        <v>237</v>
      </c>
      <c r="D432" s="136" t="s">
        <v>3114</v>
      </c>
      <c r="F432" s="87" t="s">
        <v>3116</v>
      </c>
    </row>
    <row r="433">
      <c r="A433" s="87" t="s">
        <v>3117</v>
      </c>
      <c r="B433" s="189" t="s">
        <v>3118</v>
      </c>
      <c r="C433" s="87" t="s">
        <v>172</v>
      </c>
      <c r="D433" s="136" t="s">
        <v>3119</v>
      </c>
      <c r="F433" s="87" t="s">
        <v>3123</v>
      </c>
    </row>
    <row r="434">
      <c r="B434" s="252"/>
    </row>
    <row r="435">
      <c r="A435" s="102" t="s">
        <v>3124</v>
      </c>
      <c r="B435" s="102" t="s">
        <v>3125</v>
      </c>
      <c r="C435" s="102" t="s">
        <v>3126</v>
      </c>
      <c r="E435" s="102"/>
      <c r="F435" s="102" t="s">
        <v>3128</v>
      </c>
    </row>
    <row r="436">
      <c r="A436" s="102"/>
      <c r="B436" s="102"/>
      <c r="C436" s="102"/>
      <c r="E436" s="102"/>
      <c r="F436" s="102" t="s">
        <v>3129</v>
      </c>
    </row>
    <row r="437">
      <c r="A437" s="102"/>
      <c r="B437" s="102"/>
      <c r="C437" s="102"/>
      <c r="E437" s="102"/>
      <c r="F437" s="102" t="s">
        <v>3130</v>
      </c>
    </row>
    <row r="438">
      <c r="A438" s="102" t="s">
        <v>3131</v>
      </c>
      <c r="B438" s="102" t="s">
        <v>3132</v>
      </c>
      <c r="C438" s="102" t="s">
        <v>3133</v>
      </c>
      <c r="D438" s="206" t="s">
        <v>3134</v>
      </c>
      <c r="E438" s="172">
        <v>9.830005417E9</v>
      </c>
      <c r="F438" s="102" t="s">
        <v>3138</v>
      </c>
    </row>
    <row r="439">
      <c r="A439" s="102"/>
      <c r="B439" s="102" t="s">
        <v>3132</v>
      </c>
      <c r="C439" s="102"/>
      <c r="D439" s="206" t="s">
        <v>3139</v>
      </c>
      <c r="E439" s="102"/>
      <c r="F439" s="102" t="s">
        <v>3141</v>
      </c>
    </row>
    <row r="440">
      <c r="A440" s="102" t="s">
        <v>3142</v>
      </c>
      <c r="B440" s="102" t="s">
        <v>3143</v>
      </c>
      <c r="C440" s="102" t="s">
        <v>1883</v>
      </c>
      <c r="D440" s="102"/>
      <c r="E440" s="172">
        <v>7.50659678E9</v>
      </c>
      <c r="F440" s="102" t="s">
        <v>3144</v>
      </c>
    </row>
    <row r="441">
      <c r="A441" s="102"/>
      <c r="B441" s="102" t="s">
        <v>3143</v>
      </c>
      <c r="C441" s="102"/>
      <c r="D441" s="102"/>
      <c r="E441" s="102"/>
      <c r="F441" s="102" t="s">
        <v>3145</v>
      </c>
    </row>
    <row r="442">
      <c r="A442" s="102" t="s">
        <v>3146</v>
      </c>
      <c r="B442" s="102" t="s">
        <v>1077</v>
      </c>
      <c r="C442" s="102" t="s">
        <v>3147</v>
      </c>
      <c r="D442" s="102"/>
      <c r="E442" s="102"/>
      <c r="F442" s="102" t="s">
        <v>1079</v>
      </c>
    </row>
    <row r="443">
      <c r="A443" s="102"/>
      <c r="B443" s="102" t="s">
        <v>1077</v>
      </c>
      <c r="C443" s="102"/>
      <c r="D443" s="102"/>
      <c r="E443" s="102"/>
      <c r="F443" s="102" t="s">
        <v>3150</v>
      </c>
    </row>
    <row r="444">
      <c r="A444" s="102" t="s">
        <v>3151</v>
      </c>
      <c r="B444" s="102" t="s">
        <v>3152</v>
      </c>
      <c r="C444" s="102" t="s">
        <v>1391</v>
      </c>
      <c r="E444" s="102"/>
      <c r="F444" s="102" t="s">
        <v>3153</v>
      </c>
    </row>
    <row r="445">
      <c r="A445" s="264" t="s">
        <v>3154</v>
      </c>
      <c r="B445" s="264" t="s">
        <v>3155</v>
      </c>
      <c r="C445" s="264" t="s">
        <v>147</v>
      </c>
      <c r="E445" s="102"/>
      <c r="F445" s="264" t="s">
        <v>3156</v>
      </c>
    </row>
    <row r="446">
      <c r="A446" s="264" t="s">
        <v>3157</v>
      </c>
      <c r="B446" s="264" t="s">
        <v>3158</v>
      </c>
      <c r="C446" s="264" t="s">
        <v>3159</v>
      </c>
      <c r="E446" s="264" t="s">
        <v>3161</v>
      </c>
      <c r="F446" s="264" t="s">
        <v>3162</v>
      </c>
    </row>
    <row r="447">
      <c r="A447" s="252"/>
      <c r="C447" s="102"/>
      <c r="E447" s="102"/>
      <c r="F447" s="264" t="s">
        <v>3163</v>
      </c>
    </row>
    <row r="448">
      <c r="A448" s="264" t="s">
        <v>3164</v>
      </c>
      <c r="B448" s="264" t="s">
        <v>3165</v>
      </c>
      <c r="C448" s="102" t="s">
        <v>1205</v>
      </c>
      <c r="E448" s="102" t="s">
        <v>3166</v>
      </c>
      <c r="F448" s="102" t="s">
        <v>3167</v>
      </c>
      <c r="G448" s="102"/>
      <c r="H448" s="102"/>
    </row>
    <row r="449">
      <c r="A449" s="102"/>
      <c r="B449" s="102"/>
      <c r="C449" s="102"/>
      <c r="E449" s="102" t="s">
        <v>3168</v>
      </c>
      <c r="F449" s="102" t="s">
        <v>3169</v>
      </c>
      <c r="G449" s="102"/>
      <c r="H449" s="102"/>
    </row>
    <row r="450">
      <c r="A450" s="102"/>
      <c r="B450" s="102"/>
      <c r="C450" s="102"/>
      <c r="E450" s="102" t="s">
        <v>3170</v>
      </c>
      <c r="F450" s="102"/>
      <c r="G450" s="102"/>
      <c r="H450" s="102"/>
    </row>
    <row r="451">
      <c r="A451" s="102" t="s">
        <v>3171</v>
      </c>
      <c r="B451" s="102" t="s">
        <v>3172</v>
      </c>
      <c r="C451" s="102" t="s">
        <v>1883</v>
      </c>
      <c r="E451" s="102" t="s">
        <v>3175</v>
      </c>
      <c r="F451" s="102" t="s">
        <v>3176</v>
      </c>
      <c r="G451" s="102"/>
      <c r="H451" s="102"/>
    </row>
    <row r="452">
      <c r="A452" s="102"/>
      <c r="B452" s="102"/>
      <c r="C452" s="102"/>
      <c r="E452" s="102" t="s">
        <v>3178</v>
      </c>
      <c r="F452" s="102" t="s">
        <v>3179</v>
      </c>
      <c r="G452" s="102"/>
      <c r="H452" s="102"/>
    </row>
    <row r="453">
      <c r="A453" s="102"/>
      <c r="B453" s="102"/>
      <c r="C453" s="102"/>
      <c r="E453" s="102" t="s">
        <v>3180</v>
      </c>
      <c r="F453" s="102" t="s">
        <v>3181</v>
      </c>
      <c r="G453" s="102"/>
      <c r="H453" s="102"/>
    </row>
    <row r="454">
      <c r="A454" s="102"/>
      <c r="B454" s="102"/>
      <c r="C454" s="102"/>
      <c r="E454" s="102" t="s">
        <v>3182</v>
      </c>
      <c r="F454" s="102"/>
      <c r="G454" s="102"/>
      <c r="H454" s="102"/>
    </row>
    <row r="455">
      <c r="A455" s="102" t="s">
        <v>3184</v>
      </c>
      <c r="B455" s="102" t="s">
        <v>3185</v>
      </c>
      <c r="C455" s="102" t="s">
        <v>3186</v>
      </c>
      <c r="E455" s="102"/>
      <c r="F455" s="102" t="s">
        <v>3187</v>
      </c>
      <c r="G455" s="102"/>
      <c r="H455" s="102"/>
    </row>
    <row r="456">
      <c r="A456" s="102" t="s">
        <v>3188</v>
      </c>
      <c r="B456" s="102" t="s">
        <v>3189</v>
      </c>
      <c r="C456" s="102" t="s">
        <v>1213</v>
      </c>
      <c r="E456" s="102"/>
      <c r="F456" s="102" t="s">
        <v>3190</v>
      </c>
      <c r="G456" s="102"/>
      <c r="H456" s="102"/>
    </row>
    <row r="457">
      <c r="A457" s="102"/>
      <c r="B457" s="102"/>
      <c r="C457" s="102"/>
      <c r="E457" s="102"/>
      <c r="F457" s="102" t="s">
        <v>3191</v>
      </c>
      <c r="G457" s="102"/>
      <c r="H457" s="102"/>
    </row>
    <row r="458">
      <c r="A458" s="102" t="s">
        <v>3192</v>
      </c>
      <c r="B458" s="102" t="s">
        <v>3193</v>
      </c>
      <c r="C458" s="102" t="s">
        <v>1338</v>
      </c>
      <c r="E458" s="102"/>
      <c r="F458" s="102" t="s">
        <v>3194</v>
      </c>
      <c r="G458" s="102"/>
      <c r="H458" s="102"/>
    </row>
    <row r="459">
      <c r="A459" s="102"/>
      <c r="B459" s="102"/>
      <c r="C459" s="102"/>
      <c r="E459" s="102"/>
      <c r="F459" s="102" t="s">
        <v>3198</v>
      </c>
      <c r="G459" s="102"/>
      <c r="H459" s="102"/>
    </row>
    <row r="460">
      <c r="A460" s="102" t="s">
        <v>3199</v>
      </c>
      <c r="B460" s="102" t="s">
        <v>3200</v>
      </c>
      <c r="C460" s="102" t="s">
        <v>93</v>
      </c>
      <c r="E460" s="102"/>
      <c r="F460" s="102" t="s">
        <v>3201</v>
      </c>
      <c r="G460" s="102"/>
      <c r="H460" s="102"/>
    </row>
    <row r="461">
      <c r="A461" s="102" t="s">
        <v>3203</v>
      </c>
      <c r="B461" s="102" t="s">
        <v>3204</v>
      </c>
      <c r="C461" s="102" t="s">
        <v>3205</v>
      </c>
      <c r="E461" s="102"/>
      <c r="F461" s="102" t="s">
        <v>3206</v>
      </c>
      <c r="G461" s="102"/>
      <c r="H461" s="102"/>
    </row>
    <row r="462">
      <c r="A462" s="252"/>
      <c r="B462" s="252"/>
    </row>
    <row r="463">
      <c r="A463" s="252"/>
      <c r="B463" s="252"/>
    </row>
    <row r="464">
      <c r="A464" s="252"/>
      <c r="B464" s="252"/>
    </row>
    <row r="465">
      <c r="A465" s="189" t="s">
        <v>3207</v>
      </c>
      <c r="B465" s="189" t="s">
        <v>3208</v>
      </c>
      <c r="C465" s="87" t="s">
        <v>3209</v>
      </c>
      <c r="D465" s="136" t="s">
        <v>3210</v>
      </c>
      <c r="E465" s="87">
        <v>2.013369431E9</v>
      </c>
      <c r="F465" s="87" t="s">
        <v>3214</v>
      </c>
    </row>
    <row r="466">
      <c r="A466" s="252"/>
      <c r="B466" s="252"/>
    </row>
    <row r="467">
      <c r="B467" s="252"/>
    </row>
    <row r="468">
      <c r="A468" s="87" t="s">
        <v>3216</v>
      </c>
      <c r="B468" s="189" t="s">
        <v>3217</v>
      </c>
      <c r="C468" s="87" t="s">
        <v>3218</v>
      </c>
      <c r="D468" s="136" t="s">
        <v>1287</v>
      </c>
      <c r="E468" s="87">
        <v>9.2822224E9</v>
      </c>
      <c r="F468" s="87" t="s">
        <v>3219</v>
      </c>
      <c r="G468" s="87" t="s">
        <v>3220</v>
      </c>
    </row>
    <row r="469">
      <c r="B469" s="252"/>
    </row>
    <row r="470">
      <c r="A470" s="87" t="s">
        <v>3221</v>
      </c>
      <c r="B470" s="189" t="s">
        <v>3222</v>
      </c>
      <c r="C470" s="87" t="s">
        <v>3218</v>
      </c>
      <c r="D470" s="136" t="s">
        <v>3223</v>
      </c>
      <c r="F470" s="87" t="s">
        <v>3225</v>
      </c>
      <c r="G470" s="87" t="s">
        <v>3227</v>
      </c>
    </row>
    <row r="471">
      <c r="B471" s="189" t="s">
        <v>3229</v>
      </c>
      <c r="C471" s="87" t="s">
        <v>237</v>
      </c>
      <c r="D471" s="136" t="s">
        <v>3230</v>
      </c>
    </row>
    <row r="472">
      <c r="B472" s="189" t="s">
        <v>3232</v>
      </c>
      <c r="C472" s="87" t="s">
        <v>3233</v>
      </c>
      <c r="D472" s="136" t="s">
        <v>3234</v>
      </c>
      <c r="E472" s="87">
        <v>9.845048148E9</v>
      </c>
      <c r="F472" s="87" t="s">
        <v>3235</v>
      </c>
      <c r="G472" s="87" t="s">
        <v>3236</v>
      </c>
      <c r="H472" s="87" t="s">
        <v>3237</v>
      </c>
    </row>
    <row r="473">
      <c r="B473" s="102"/>
    </row>
    <row r="474">
      <c r="A474" s="87" t="s">
        <v>3238</v>
      </c>
    </row>
    <row r="493">
      <c r="B493" s="252"/>
    </row>
    <row r="494">
      <c r="B494" s="252"/>
    </row>
    <row r="495">
      <c r="B495" s="252"/>
    </row>
    <row r="496">
      <c r="B496" s="252"/>
    </row>
    <row r="497">
      <c r="B497" s="252"/>
    </row>
    <row r="498">
      <c r="B498" s="252"/>
    </row>
    <row r="499">
      <c r="B499" s="252"/>
    </row>
    <row r="500">
      <c r="B500" s="252"/>
    </row>
    <row r="501">
      <c r="B501" s="252"/>
    </row>
    <row r="502">
      <c r="B502" s="252"/>
    </row>
    <row r="503">
      <c r="B503" s="252"/>
    </row>
    <row r="504">
      <c r="B504" s="252"/>
    </row>
    <row r="505">
      <c r="B505" s="252"/>
    </row>
    <row r="506">
      <c r="B506" s="252"/>
    </row>
    <row r="507">
      <c r="B507" s="252"/>
    </row>
    <row r="508">
      <c r="B508" s="252"/>
    </row>
    <row r="509">
      <c r="B509" s="252"/>
    </row>
    <row r="510">
      <c r="B510" s="252"/>
    </row>
    <row r="511">
      <c r="B511" s="252"/>
    </row>
    <row r="512">
      <c r="B512" s="252"/>
    </row>
    <row r="513">
      <c r="B513" s="252"/>
    </row>
    <row r="514">
      <c r="B514" s="252"/>
    </row>
    <row r="515">
      <c r="B515" s="252"/>
    </row>
    <row r="516">
      <c r="B516" s="252"/>
    </row>
    <row r="517">
      <c r="B517" s="252"/>
    </row>
    <row r="518">
      <c r="B518" s="252"/>
    </row>
    <row r="519">
      <c r="B519" s="252"/>
    </row>
    <row r="520">
      <c r="B520" s="252"/>
    </row>
    <row r="521">
      <c r="B521" s="252"/>
    </row>
    <row r="522">
      <c r="B522" s="252"/>
    </row>
    <row r="523">
      <c r="B523" s="252"/>
    </row>
    <row r="524">
      <c r="B524" s="252"/>
    </row>
    <row r="525">
      <c r="B525" s="252"/>
    </row>
    <row r="526">
      <c r="B526" s="252"/>
    </row>
    <row r="527">
      <c r="B527" s="252"/>
    </row>
    <row r="528">
      <c r="B528" s="252"/>
    </row>
    <row r="529">
      <c r="B529" s="252"/>
    </row>
    <row r="530">
      <c r="B530" s="252"/>
    </row>
    <row r="531">
      <c r="B531" s="252"/>
    </row>
    <row r="532">
      <c r="B532" s="252"/>
    </row>
    <row r="533">
      <c r="B533" s="252"/>
    </row>
    <row r="534">
      <c r="B534" s="252"/>
    </row>
    <row r="535">
      <c r="B535" s="252"/>
    </row>
    <row r="536">
      <c r="B536" s="252"/>
    </row>
    <row r="537">
      <c r="B537" s="252"/>
    </row>
    <row r="538">
      <c r="B538" s="252"/>
    </row>
    <row r="539">
      <c r="B539" s="252"/>
    </row>
    <row r="540">
      <c r="B540" s="252"/>
    </row>
    <row r="541">
      <c r="B541" s="252"/>
    </row>
    <row r="542">
      <c r="B542" s="252"/>
    </row>
    <row r="543">
      <c r="B543" s="252"/>
    </row>
    <row r="544">
      <c r="B544" s="252"/>
    </row>
    <row r="545">
      <c r="B545" s="252"/>
    </row>
    <row r="546">
      <c r="B546" s="252"/>
    </row>
    <row r="547">
      <c r="B547" s="252"/>
    </row>
    <row r="548">
      <c r="B548" s="252"/>
    </row>
    <row r="549">
      <c r="B549" s="252"/>
    </row>
    <row r="550">
      <c r="B550" s="252"/>
    </row>
    <row r="551">
      <c r="B551" s="252"/>
    </row>
    <row r="552">
      <c r="B552" s="252"/>
    </row>
    <row r="553">
      <c r="B553" s="252"/>
    </row>
    <row r="554">
      <c r="B554" s="252"/>
    </row>
    <row r="555">
      <c r="B555" s="252"/>
    </row>
    <row r="556">
      <c r="B556" s="252"/>
    </row>
    <row r="557">
      <c r="B557" s="252"/>
    </row>
    <row r="558">
      <c r="B558" s="252"/>
    </row>
    <row r="559">
      <c r="B559" s="252"/>
    </row>
    <row r="560">
      <c r="B560" s="252"/>
    </row>
    <row r="561">
      <c r="B561" s="252"/>
    </row>
    <row r="562">
      <c r="B562" s="252"/>
    </row>
    <row r="563">
      <c r="B563" s="252"/>
    </row>
    <row r="564">
      <c r="B564" s="252"/>
    </row>
    <row r="565">
      <c r="B565" s="252"/>
    </row>
    <row r="566">
      <c r="B566" s="252"/>
    </row>
    <row r="567">
      <c r="B567" s="252"/>
    </row>
    <row r="568">
      <c r="B568" s="252"/>
    </row>
    <row r="569">
      <c r="B569" s="252"/>
    </row>
    <row r="570">
      <c r="B570" s="252"/>
    </row>
    <row r="571">
      <c r="B571" s="252"/>
    </row>
    <row r="572">
      <c r="B572" s="252"/>
    </row>
    <row r="573">
      <c r="B573" s="252"/>
    </row>
    <row r="574">
      <c r="B574" s="252"/>
    </row>
    <row r="575">
      <c r="B575" s="252"/>
    </row>
    <row r="576">
      <c r="B576" s="252"/>
    </row>
    <row r="577">
      <c r="B577" s="252"/>
    </row>
    <row r="578">
      <c r="B578" s="252"/>
    </row>
    <row r="579">
      <c r="B579" s="252"/>
    </row>
    <row r="580">
      <c r="B580" s="252"/>
    </row>
    <row r="581">
      <c r="B581" s="252"/>
    </row>
    <row r="582">
      <c r="B582" s="252"/>
    </row>
    <row r="583">
      <c r="B583" s="252"/>
    </row>
    <row r="584">
      <c r="B584" s="252"/>
    </row>
    <row r="585">
      <c r="B585" s="252"/>
    </row>
    <row r="586">
      <c r="B586" s="252"/>
    </row>
    <row r="587">
      <c r="B587" s="252"/>
    </row>
    <row r="588">
      <c r="B588" s="252"/>
    </row>
    <row r="589">
      <c r="B589" s="252"/>
    </row>
    <row r="590">
      <c r="B590" s="252"/>
    </row>
    <row r="591">
      <c r="B591" s="252"/>
    </row>
    <row r="592">
      <c r="B592" s="252"/>
    </row>
    <row r="593">
      <c r="B593" s="252"/>
    </row>
    <row r="594">
      <c r="B594" s="252"/>
    </row>
    <row r="595">
      <c r="B595" s="252"/>
    </row>
    <row r="596">
      <c r="B596" s="252"/>
    </row>
    <row r="597">
      <c r="B597" s="252"/>
    </row>
    <row r="598">
      <c r="B598" s="252"/>
    </row>
    <row r="599">
      <c r="B599" s="252"/>
    </row>
    <row r="600">
      <c r="B600" s="252"/>
    </row>
    <row r="601">
      <c r="B601" s="252"/>
    </row>
    <row r="602">
      <c r="B602" s="252"/>
    </row>
    <row r="603">
      <c r="B603" s="252"/>
    </row>
    <row r="604">
      <c r="B604" s="252"/>
    </row>
    <row r="605">
      <c r="B605" s="252"/>
    </row>
    <row r="606">
      <c r="B606" s="252"/>
    </row>
    <row r="607">
      <c r="B607" s="252"/>
    </row>
    <row r="608">
      <c r="B608" s="252"/>
    </row>
    <row r="609">
      <c r="B609" s="252"/>
    </row>
    <row r="610">
      <c r="B610" s="252"/>
    </row>
    <row r="611">
      <c r="B611" s="252"/>
    </row>
    <row r="612">
      <c r="B612" s="252"/>
    </row>
    <row r="613">
      <c r="B613" s="252"/>
    </row>
    <row r="614">
      <c r="B614" s="252"/>
    </row>
    <row r="615">
      <c r="B615" s="252"/>
    </row>
    <row r="616">
      <c r="B616" s="252"/>
    </row>
    <row r="617">
      <c r="B617" s="252"/>
    </row>
    <row r="618">
      <c r="B618" s="252"/>
    </row>
    <row r="619">
      <c r="B619" s="252"/>
    </row>
    <row r="620">
      <c r="B620" s="252"/>
    </row>
    <row r="621">
      <c r="B621" s="252"/>
    </row>
    <row r="622">
      <c r="B622" s="252"/>
    </row>
    <row r="623">
      <c r="B623" s="252"/>
    </row>
    <row r="624">
      <c r="B624" s="252"/>
    </row>
    <row r="625">
      <c r="B625" s="252"/>
    </row>
    <row r="626">
      <c r="B626" s="252"/>
    </row>
    <row r="627">
      <c r="B627" s="252"/>
    </row>
    <row r="628">
      <c r="B628" s="252"/>
    </row>
    <row r="629">
      <c r="B629" s="252"/>
    </row>
    <row r="630">
      <c r="B630" s="252"/>
    </row>
    <row r="631">
      <c r="B631" s="252"/>
    </row>
    <row r="632">
      <c r="B632" s="252"/>
    </row>
    <row r="633">
      <c r="B633" s="252"/>
    </row>
    <row r="634">
      <c r="B634" s="252"/>
    </row>
    <row r="635">
      <c r="B635" s="252"/>
    </row>
    <row r="636">
      <c r="B636" s="252"/>
    </row>
    <row r="637">
      <c r="B637" s="252"/>
    </row>
    <row r="638">
      <c r="B638" s="252"/>
    </row>
    <row r="639">
      <c r="B639" s="252"/>
    </row>
    <row r="640">
      <c r="B640" s="252"/>
    </row>
    <row r="641">
      <c r="B641" s="252"/>
    </row>
    <row r="642">
      <c r="B642" s="252"/>
    </row>
    <row r="643">
      <c r="B643" s="252"/>
    </row>
    <row r="644">
      <c r="B644" s="252"/>
    </row>
    <row r="645">
      <c r="B645" s="252"/>
    </row>
    <row r="646">
      <c r="B646" s="252"/>
    </row>
    <row r="647">
      <c r="B647" s="252"/>
    </row>
    <row r="648">
      <c r="B648" s="252"/>
    </row>
    <row r="649">
      <c r="B649" s="252"/>
    </row>
    <row r="650">
      <c r="B650" s="252"/>
    </row>
    <row r="651">
      <c r="B651" s="252"/>
    </row>
    <row r="652">
      <c r="B652" s="252"/>
    </row>
    <row r="653">
      <c r="B653" s="252"/>
    </row>
    <row r="654">
      <c r="B654" s="252"/>
    </row>
    <row r="655">
      <c r="B655" s="252"/>
    </row>
    <row r="656">
      <c r="B656" s="252"/>
    </row>
    <row r="657">
      <c r="B657" s="252"/>
    </row>
    <row r="658">
      <c r="B658" s="252"/>
    </row>
    <row r="659">
      <c r="B659" s="252"/>
    </row>
    <row r="660">
      <c r="B660" s="252"/>
    </row>
    <row r="661">
      <c r="B661" s="252"/>
    </row>
    <row r="662">
      <c r="B662" s="252"/>
    </row>
    <row r="663">
      <c r="B663" s="252"/>
    </row>
    <row r="664">
      <c r="B664" s="252"/>
    </row>
    <row r="665">
      <c r="B665" s="252"/>
    </row>
    <row r="666">
      <c r="B666" s="252"/>
    </row>
    <row r="667">
      <c r="B667" s="252"/>
    </row>
    <row r="668">
      <c r="B668" s="252"/>
    </row>
    <row r="669">
      <c r="B669" s="252"/>
    </row>
    <row r="670">
      <c r="B670" s="252"/>
    </row>
    <row r="671">
      <c r="B671" s="252"/>
    </row>
    <row r="672">
      <c r="B672" s="252"/>
    </row>
    <row r="673">
      <c r="B673" s="252"/>
    </row>
    <row r="674">
      <c r="B674" s="252"/>
    </row>
    <row r="675">
      <c r="B675" s="252"/>
    </row>
    <row r="676">
      <c r="B676" s="252"/>
    </row>
    <row r="677">
      <c r="B677" s="252"/>
    </row>
    <row r="678">
      <c r="B678" s="252"/>
    </row>
    <row r="679">
      <c r="B679" s="252"/>
    </row>
    <row r="680">
      <c r="B680" s="252"/>
    </row>
    <row r="681">
      <c r="B681" s="252"/>
    </row>
    <row r="682">
      <c r="B682" s="252"/>
    </row>
    <row r="683">
      <c r="B683" s="252"/>
    </row>
    <row r="684">
      <c r="B684" s="252"/>
    </row>
    <row r="685">
      <c r="B685" s="252"/>
    </row>
    <row r="686">
      <c r="B686" s="252"/>
    </row>
    <row r="687">
      <c r="B687" s="252"/>
    </row>
    <row r="688">
      <c r="B688" s="252"/>
    </row>
    <row r="689">
      <c r="B689" s="252"/>
    </row>
    <row r="690">
      <c r="B690" s="252"/>
    </row>
    <row r="691">
      <c r="B691" s="252"/>
    </row>
    <row r="692">
      <c r="B692" s="252"/>
    </row>
    <row r="693">
      <c r="B693" s="252"/>
    </row>
    <row r="694">
      <c r="B694" s="252"/>
    </row>
    <row r="695">
      <c r="B695" s="252"/>
    </row>
    <row r="696">
      <c r="B696" s="252"/>
    </row>
    <row r="697">
      <c r="B697" s="252"/>
    </row>
    <row r="698">
      <c r="B698" s="252"/>
    </row>
    <row r="699">
      <c r="B699" s="252"/>
    </row>
    <row r="700">
      <c r="B700" s="252"/>
    </row>
    <row r="701">
      <c r="B701" s="252"/>
    </row>
    <row r="702">
      <c r="B702" s="252"/>
    </row>
    <row r="703">
      <c r="B703" s="252"/>
    </row>
    <row r="704">
      <c r="B704" s="252"/>
    </row>
    <row r="705">
      <c r="B705" s="252"/>
    </row>
    <row r="706">
      <c r="B706" s="252"/>
    </row>
    <row r="707">
      <c r="B707" s="252"/>
    </row>
    <row r="708">
      <c r="B708" s="252"/>
    </row>
    <row r="709">
      <c r="B709" s="252"/>
    </row>
    <row r="710">
      <c r="B710" s="252"/>
    </row>
    <row r="711">
      <c r="B711" s="252"/>
    </row>
    <row r="712">
      <c r="B712" s="252"/>
    </row>
    <row r="713">
      <c r="B713" s="252"/>
    </row>
    <row r="714">
      <c r="B714" s="252"/>
    </row>
    <row r="715">
      <c r="B715" s="252"/>
    </row>
    <row r="716">
      <c r="B716" s="252"/>
    </row>
    <row r="717">
      <c r="B717" s="252"/>
    </row>
    <row r="718">
      <c r="B718" s="252"/>
    </row>
    <row r="719">
      <c r="B719" s="252"/>
    </row>
    <row r="720">
      <c r="B720" s="252"/>
    </row>
    <row r="721">
      <c r="B721" s="252"/>
    </row>
    <row r="722">
      <c r="B722" s="252"/>
    </row>
    <row r="723">
      <c r="B723" s="252"/>
    </row>
    <row r="724">
      <c r="B724" s="252"/>
    </row>
    <row r="725">
      <c r="B725" s="252"/>
    </row>
    <row r="726">
      <c r="B726" s="252"/>
    </row>
    <row r="727">
      <c r="B727" s="252"/>
    </row>
    <row r="728">
      <c r="B728" s="252"/>
    </row>
    <row r="729">
      <c r="B729" s="252"/>
    </row>
    <row r="730">
      <c r="B730" s="252"/>
    </row>
    <row r="731">
      <c r="B731" s="252"/>
    </row>
    <row r="732">
      <c r="B732" s="252"/>
    </row>
    <row r="733">
      <c r="B733" s="252"/>
    </row>
    <row r="734">
      <c r="B734" s="252"/>
    </row>
    <row r="735">
      <c r="B735" s="252"/>
    </row>
    <row r="736">
      <c r="B736" s="252"/>
    </row>
    <row r="737">
      <c r="B737" s="252"/>
    </row>
    <row r="738">
      <c r="B738" s="252"/>
    </row>
    <row r="739">
      <c r="B739" s="252"/>
    </row>
    <row r="740">
      <c r="B740" s="252"/>
    </row>
    <row r="741">
      <c r="B741" s="252"/>
    </row>
    <row r="742">
      <c r="B742" s="252"/>
    </row>
    <row r="743">
      <c r="B743" s="252"/>
    </row>
    <row r="744">
      <c r="B744" s="252"/>
    </row>
    <row r="745">
      <c r="B745" s="252"/>
    </row>
    <row r="746">
      <c r="B746" s="252"/>
    </row>
    <row r="747">
      <c r="B747" s="252"/>
    </row>
    <row r="748">
      <c r="B748" s="252"/>
    </row>
    <row r="749">
      <c r="B749" s="252"/>
    </row>
    <row r="750">
      <c r="B750" s="252"/>
    </row>
    <row r="751">
      <c r="B751" s="252"/>
    </row>
    <row r="752">
      <c r="B752" s="252"/>
    </row>
    <row r="753">
      <c r="B753" s="252"/>
    </row>
    <row r="754">
      <c r="B754" s="252"/>
    </row>
    <row r="755">
      <c r="B755" s="252"/>
    </row>
    <row r="756">
      <c r="B756" s="252"/>
    </row>
    <row r="757">
      <c r="B757" s="252"/>
    </row>
    <row r="758">
      <c r="B758" s="252"/>
    </row>
    <row r="759">
      <c r="B759" s="252"/>
    </row>
    <row r="760">
      <c r="B760" s="252"/>
    </row>
    <row r="761">
      <c r="B761" s="252"/>
    </row>
    <row r="762">
      <c r="B762" s="252"/>
    </row>
    <row r="763">
      <c r="B763" s="252"/>
    </row>
    <row r="764">
      <c r="B764" s="252"/>
    </row>
    <row r="765">
      <c r="B765" s="252"/>
    </row>
    <row r="766">
      <c r="B766" s="252"/>
    </row>
    <row r="767">
      <c r="B767" s="252"/>
    </row>
    <row r="768">
      <c r="B768" s="252"/>
    </row>
    <row r="769">
      <c r="B769" s="252"/>
    </row>
    <row r="770">
      <c r="B770" s="252"/>
    </row>
    <row r="771">
      <c r="B771" s="252"/>
    </row>
    <row r="772">
      <c r="B772" s="252"/>
    </row>
    <row r="773">
      <c r="B773" s="252"/>
    </row>
    <row r="774">
      <c r="B774" s="252"/>
    </row>
    <row r="775">
      <c r="B775" s="252"/>
    </row>
    <row r="776">
      <c r="B776" s="252"/>
    </row>
    <row r="777">
      <c r="B777" s="252"/>
    </row>
    <row r="778">
      <c r="B778" s="252"/>
    </row>
    <row r="779">
      <c r="B779" s="252"/>
    </row>
    <row r="780">
      <c r="B780" s="252"/>
    </row>
    <row r="781">
      <c r="B781" s="252"/>
    </row>
    <row r="782">
      <c r="B782" s="252"/>
    </row>
    <row r="783">
      <c r="B783" s="252"/>
    </row>
    <row r="784">
      <c r="B784" s="252"/>
    </row>
    <row r="785">
      <c r="B785" s="252"/>
    </row>
    <row r="786">
      <c r="B786" s="252"/>
    </row>
    <row r="787">
      <c r="B787" s="252"/>
    </row>
    <row r="788">
      <c r="B788" s="252"/>
    </row>
    <row r="789">
      <c r="B789" s="252"/>
    </row>
    <row r="790">
      <c r="B790" s="252"/>
    </row>
    <row r="791">
      <c r="B791" s="252"/>
    </row>
    <row r="792">
      <c r="B792" s="252"/>
    </row>
    <row r="793">
      <c r="B793" s="252"/>
    </row>
    <row r="794">
      <c r="B794" s="252"/>
    </row>
    <row r="795">
      <c r="B795" s="252"/>
    </row>
    <row r="796">
      <c r="B796" s="252"/>
    </row>
    <row r="797">
      <c r="B797" s="252"/>
    </row>
    <row r="798">
      <c r="B798" s="252"/>
    </row>
    <row r="799">
      <c r="B799" s="252"/>
    </row>
    <row r="800">
      <c r="B800" s="252"/>
    </row>
    <row r="801">
      <c r="B801" s="252"/>
    </row>
    <row r="802">
      <c r="B802" s="252"/>
    </row>
    <row r="803">
      <c r="B803" s="252"/>
    </row>
    <row r="804">
      <c r="B804" s="252"/>
    </row>
    <row r="805">
      <c r="B805" s="252"/>
    </row>
    <row r="806">
      <c r="B806" s="252"/>
    </row>
    <row r="807">
      <c r="B807" s="252"/>
    </row>
    <row r="808">
      <c r="B808" s="252"/>
    </row>
    <row r="809">
      <c r="B809" s="252"/>
    </row>
    <row r="810">
      <c r="B810" s="252"/>
    </row>
    <row r="811">
      <c r="B811" s="252"/>
    </row>
    <row r="812">
      <c r="B812" s="252"/>
    </row>
    <row r="813">
      <c r="B813" s="252"/>
    </row>
    <row r="814">
      <c r="B814" s="252"/>
    </row>
    <row r="815">
      <c r="B815" s="252"/>
    </row>
    <row r="816">
      <c r="B816" s="252"/>
    </row>
    <row r="817">
      <c r="B817" s="252"/>
    </row>
    <row r="818">
      <c r="B818" s="252"/>
    </row>
    <row r="819">
      <c r="B819" s="252"/>
    </row>
    <row r="820">
      <c r="B820" s="252"/>
    </row>
    <row r="821">
      <c r="B821" s="252"/>
    </row>
    <row r="822">
      <c r="B822" s="252"/>
    </row>
    <row r="823">
      <c r="B823" s="252"/>
    </row>
    <row r="824">
      <c r="B824" s="252"/>
    </row>
    <row r="825">
      <c r="B825" s="252"/>
    </row>
    <row r="826">
      <c r="B826" s="252"/>
    </row>
    <row r="827">
      <c r="B827" s="252"/>
    </row>
    <row r="828">
      <c r="B828" s="252"/>
    </row>
    <row r="829">
      <c r="B829" s="252"/>
    </row>
    <row r="830">
      <c r="B830" s="252"/>
    </row>
    <row r="831">
      <c r="B831" s="252"/>
    </row>
    <row r="832">
      <c r="B832" s="252"/>
    </row>
    <row r="833">
      <c r="B833" s="252"/>
    </row>
    <row r="834">
      <c r="B834" s="252"/>
    </row>
    <row r="835">
      <c r="B835" s="252"/>
    </row>
    <row r="836">
      <c r="B836" s="252"/>
    </row>
    <row r="837">
      <c r="B837" s="252"/>
    </row>
    <row r="838">
      <c r="B838" s="252"/>
    </row>
    <row r="839">
      <c r="B839" s="252"/>
    </row>
    <row r="840">
      <c r="B840" s="252"/>
    </row>
    <row r="841">
      <c r="B841" s="252"/>
    </row>
    <row r="842">
      <c r="B842" s="252"/>
    </row>
    <row r="843">
      <c r="B843" s="252"/>
    </row>
    <row r="844">
      <c r="B844" s="252"/>
    </row>
    <row r="845">
      <c r="B845" s="252"/>
    </row>
    <row r="846">
      <c r="B846" s="252"/>
    </row>
    <row r="847">
      <c r="B847" s="252"/>
    </row>
    <row r="848">
      <c r="B848" s="252"/>
    </row>
    <row r="849">
      <c r="B849" s="252"/>
    </row>
    <row r="850">
      <c r="B850" s="252"/>
    </row>
    <row r="851">
      <c r="B851" s="252"/>
    </row>
    <row r="852">
      <c r="B852" s="252"/>
    </row>
    <row r="853">
      <c r="B853" s="252"/>
    </row>
    <row r="854">
      <c r="B854" s="252"/>
    </row>
    <row r="855">
      <c r="B855" s="252"/>
    </row>
    <row r="856">
      <c r="B856" s="252"/>
    </row>
    <row r="857">
      <c r="B857" s="252"/>
    </row>
    <row r="858">
      <c r="B858" s="252"/>
    </row>
    <row r="859">
      <c r="B859" s="252"/>
    </row>
    <row r="860">
      <c r="B860" s="252"/>
    </row>
    <row r="861">
      <c r="B861" s="252"/>
    </row>
    <row r="862">
      <c r="B862" s="252"/>
    </row>
    <row r="863">
      <c r="B863" s="252"/>
    </row>
    <row r="864">
      <c r="B864" s="252"/>
    </row>
    <row r="865">
      <c r="B865" s="252"/>
    </row>
    <row r="866">
      <c r="B866" s="252"/>
    </row>
    <row r="867">
      <c r="B867" s="252"/>
    </row>
    <row r="868">
      <c r="B868" s="252"/>
    </row>
    <row r="869">
      <c r="B869" s="252"/>
    </row>
    <row r="870">
      <c r="B870" s="252"/>
    </row>
    <row r="871">
      <c r="B871" s="252"/>
    </row>
    <row r="872">
      <c r="B872" s="252"/>
    </row>
    <row r="873">
      <c r="B873" s="252"/>
    </row>
    <row r="874">
      <c r="B874" s="252"/>
    </row>
    <row r="875">
      <c r="B875" s="252"/>
    </row>
    <row r="876">
      <c r="B876" s="252"/>
    </row>
    <row r="877">
      <c r="B877" s="252"/>
    </row>
    <row r="878">
      <c r="B878" s="252"/>
    </row>
    <row r="879">
      <c r="B879" s="252"/>
    </row>
    <row r="880">
      <c r="B880" s="252"/>
    </row>
    <row r="881">
      <c r="B881" s="252"/>
    </row>
    <row r="882">
      <c r="B882" s="252"/>
    </row>
    <row r="883">
      <c r="B883" s="252"/>
    </row>
    <row r="884">
      <c r="B884" s="252"/>
    </row>
    <row r="885">
      <c r="B885" s="252"/>
    </row>
    <row r="886">
      <c r="B886" s="252"/>
    </row>
    <row r="887">
      <c r="B887" s="252"/>
    </row>
    <row r="888">
      <c r="B888" s="252"/>
    </row>
    <row r="889">
      <c r="B889" s="252"/>
    </row>
    <row r="890">
      <c r="B890" s="252"/>
    </row>
    <row r="891">
      <c r="B891" s="252"/>
    </row>
    <row r="892">
      <c r="B892" s="252"/>
    </row>
    <row r="893">
      <c r="B893" s="252"/>
    </row>
    <row r="894">
      <c r="B894" s="252"/>
    </row>
    <row r="895">
      <c r="B895" s="252"/>
    </row>
    <row r="896">
      <c r="B896" s="252"/>
    </row>
    <row r="897">
      <c r="B897" s="252"/>
    </row>
    <row r="898">
      <c r="B898" s="252"/>
    </row>
    <row r="899">
      <c r="B899" s="252"/>
    </row>
    <row r="900">
      <c r="B900" s="252"/>
    </row>
    <row r="901">
      <c r="B901" s="252"/>
    </row>
    <row r="902">
      <c r="B902" s="252"/>
    </row>
    <row r="903">
      <c r="B903" s="252"/>
    </row>
    <row r="904">
      <c r="B904" s="252"/>
    </row>
    <row r="905">
      <c r="B905" s="252"/>
    </row>
    <row r="906">
      <c r="B906" s="252"/>
    </row>
    <row r="907">
      <c r="B907" s="252"/>
    </row>
    <row r="908">
      <c r="B908" s="252"/>
    </row>
    <row r="909">
      <c r="B909" s="252"/>
    </row>
    <row r="910">
      <c r="B910" s="252"/>
    </row>
    <row r="911">
      <c r="B911" s="252"/>
    </row>
    <row r="912">
      <c r="B912" s="252"/>
    </row>
    <row r="913">
      <c r="B913" s="252"/>
    </row>
    <row r="914">
      <c r="B914" s="252"/>
    </row>
    <row r="915">
      <c r="B915" s="252"/>
    </row>
    <row r="916">
      <c r="B916" s="252"/>
    </row>
    <row r="917">
      <c r="B917" s="252"/>
    </row>
    <row r="918">
      <c r="B918" s="252"/>
    </row>
    <row r="919">
      <c r="B919" s="252"/>
    </row>
    <row r="920">
      <c r="B920" s="252"/>
    </row>
    <row r="921">
      <c r="B921" s="252"/>
    </row>
    <row r="922">
      <c r="B922" s="252"/>
    </row>
    <row r="923">
      <c r="B923" s="252"/>
    </row>
    <row r="924">
      <c r="B924" s="252"/>
    </row>
    <row r="925">
      <c r="B925" s="252"/>
    </row>
    <row r="926">
      <c r="B926" s="252"/>
    </row>
    <row r="927">
      <c r="B927" s="252"/>
    </row>
    <row r="928">
      <c r="B928" s="252"/>
    </row>
    <row r="929">
      <c r="B929" s="252"/>
    </row>
    <row r="930">
      <c r="B930" s="252"/>
    </row>
    <row r="931">
      <c r="B931" s="252"/>
    </row>
    <row r="932">
      <c r="B932" s="252"/>
    </row>
    <row r="933">
      <c r="B933" s="252"/>
    </row>
    <row r="934">
      <c r="B934" s="252"/>
    </row>
    <row r="935">
      <c r="B935" s="252"/>
    </row>
    <row r="936">
      <c r="B936" s="252"/>
    </row>
    <row r="937">
      <c r="B937" s="252"/>
    </row>
    <row r="938">
      <c r="B938" s="252"/>
    </row>
    <row r="939">
      <c r="B939" s="252"/>
    </row>
    <row r="940">
      <c r="B940" s="252"/>
    </row>
    <row r="941">
      <c r="B941" s="252"/>
    </row>
    <row r="942">
      <c r="B942" s="252"/>
    </row>
    <row r="943">
      <c r="B943" s="252"/>
    </row>
    <row r="944">
      <c r="B944" s="252"/>
    </row>
    <row r="945">
      <c r="B945" s="252"/>
    </row>
    <row r="946">
      <c r="B946" s="252"/>
    </row>
    <row r="947">
      <c r="B947" s="252"/>
    </row>
    <row r="948">
      <c r="B948" s="252"/>
    </row>
    <row r="949">
      <c r="B949" s="252"/>
    </row>
    <row r="950">
      <c r="B950" s="252"/>
    </row>
    <row r="951">
      <c r="B951" s="252"/>
    </row>
    <row r="952">
      <c r="B952" s="252"/>
    </row>
    <row r="953">
      <c r="B953" s="252"/>
    </row>
    <row r="954">
      <c r="B954" s="252"/>
    </row>
    <row r="955">
      <c r="B955" s="252"/>
    </row>
    <row r="956">
      <c r="B956" s="252"/>
    </row>
    <row r="957">
      <c r="B957" s="252"/>
    </row>
    <row r="958">
      <c r="B958" s="252"/>
    </row>
    <row r="959">
      <c r="B959" s="252"/>
    </row>
    <row r="960">
      <c r="B960" s="252"/>
    </row>
    <row r="961">
      <c r="B961" s="252"/>
    </row>
    <row r="962">
      <c r="B962" s="252"/>
    </row>
    <row r="963">
      <c r="B963" s="252"/>
    </row>
    <row r="964">
      <c r="B964" s="252"/>
    </row>
    <row r="965">
      <c r="B965" s="252"/>
    </row>
    <row r="966">
      <c r="B966" s="252"/>
    </row>
    <row r="967">
      <c r="B967" s="252"/>
    </row>
    <row r="968">
      <c r="B968" s="252"/>
    </row>
    <row r="969">
      <c r="B969" s="252"/>
    </row>
    <row r="970">
      <c r="B970" s="252"/>
    </row>
    <row r="971">
      <c r="B971" s="252"/>
    </row>
    <row r="972">
      <c r="B972" s="252"/>
    </row>
    <row r="973">
      <c r="B973" s="252"/>
    </row>
    <row r="974">
      <c r="B974" s="252"/>
    </row>
    <row r="975">
      <c r="B975" s="252"/>
    </row>
    <row r="976">
      <c r="B976" s="252"/>
    </row>
    <row r="977">
      <c r="B977" s="252"/>
    </row>
    <row r="978">
      <c r="B978" s="252"/>
    </row>
    <row r="979">
      <c r="B979" s="252"/>
    </row>
    <row r="980">
      <c r="B980" s="252"/>
    </row>
    <row r="981">
      <c r="B981" s="252"/>
    </row>
    <row r="982">
      <c r="B982" s="252"/>
    </row>
    <row r="983">
      <c r="B983" s="252"/>
    </row>
    <row r="984">
      <c r="B984" s="252"/>
    </row>
    <row r="985">
      <c r="B985" s="252"/>
    </row>
    <row r="986">
      <c r="B986" s="252"/>
    </row>
    <row r="987">
      <c r="B987" s="252"/>
    </row>
    <row r="988">
      <c r="B988" s="252"/>
    </row>
    <row r="989">
      <c r="B989" s="252"/>
    </row>
    <row r="990">
      <c r="B990" s="252"/>
    </row>
    <row r="991">
      <c r="B991" s="252"/>
    </row>
    <row r="992">
      <c r="B992" s="252"/>
    </row>
    <row r="993">
      <c r="B993" s="252"/>
    </row>
    <row r="994">
      <c r="B994" s="252"/>
    </row>
    <row r="995">
      <c r="B995" s="252"/>
    </row>
    <row r="996">
      <c r="B996" s="252"/>
    </row>
    <row r="997">
      <c r="B997" s="252"/>
    </row>
    <row r="998">
      <c r="B998" s="252"/>
    </row>
    <row r="999">
      <c r="B999" s="252"/>
    </row>
    <row r="1000">
      <c r="B1000" s="252"/>
    </row>
    <row r="1001">
      <c r="B1001" s="252"/>
    </row>
    <row r="1002">
      <c r="B1002" s="252"/>
    </row>
    <row r="1003">
      <c r="B1003" s="252"/>
    </row>
    <row r="1004">
      <c r="B1004" s="252"/>
    </row>
    <row r="1005">
      <c r="B1005" s="252"/>
    </row>
    <row r="1006">
      <c r="B1006" s="252"/>
    </row>
    <row r="1007">
      <c r="B1007" s="252"/>
    </row>
    <row r="1008">
      <c r="B1008" s="252"/>
    </row>
    <row r="1009">
      <c r="B1009" s="252"/>
    </row>
    <row r="1010">
      <c r="B1010" s="252"/>
    </row>
    <row r="1011">
      <c r="B1011" s="252"/>
    </row>
    <row r="1012">
      <c r="B1012" s="252"/>
    </row>
    <row r="1013">
      <c r="B1013" s="252"/>
    </row>
    <row r="1014">
      <c r="B1014" s="252"/>
    </row>
    <row r="1015">
      <c r="B1015" s="252"/>
    </row>
    <row r="1016">
      <c r="B1016" s="252"/>
    </row>
    <row r="1017">
      <c r="B1017" s="252"/>
    </row>
    <row r="1018">
      <c r="B1018" s="252"/>
    </row>
    <row r="1019">
      <c r="B1019" s="252"/>
    </row>
    <row r="1020">
      <c r="B1020" s="252"/>
    </row>
    <row r="1021">
      <c r="B1021" s="252"/>
    </row>
    <row r="1022">
      <c r="B1022" s="252"/>
    </row>
    <row r="1023">
      <c r="B1023" s="252"/>
    </row>
    <row r="1024">
      <c r="B1024" s="252"/>
    </row>
    <row r="1025">
      <c r="B1025" s="252"/>
    </row>
    <row r="1026">
      <c r="B1026" s="252"/>
    </row>
    <row r="1027">
      <c r="B1027" s="252"/>
    </row>
    <row r="1028">
      <c r="B1028" s="252"/>
    </row>
    <row r="1029">
      <c r="B1029" s="252"/>
    </row>
    <row r="1030">
      <c r="B1030" s="252"/>
    </row>
    <row r="1031">
      <c r="B1031" s="252"/>
    </row>
    <row r="1032">
      <c r="B1032" s="252"/>
    </row>
    <row r="1033">
      <c r="B1033" s="252"/>
    </row>
    <row r="1034">
      <c r="B1034" s="252"/>
    </row>
    <row r="1035">
      <c r="B1035" s="252"/>
    </row>
    <row r="1036">
      <c r="B1036" s="252"/>
    </row>
    <row r="1037">
      <c r="B1037" s="252"/>
    </row>
    <row r="1038">
      <c r="B1038" s="252"/>
    </row>
    <row r="1039">
      <c r="B1039" s="252"/>
    </row>
    <row r="1040">
      <c r="B1040" s="252"/>
    </row>
    <row r="1041">
      <c r="B1041" s="252"/>
    </row>
    <row r="1042">
      <c r="B1042" s="252"/>
    </row>
    <row r="1043">
      <c r="B1043" s="252"/>
    </row>
    <row r="1044">
      <c r="B1044" s="252"/>
    </row>
    <row r="1045">
      <c r="B1045" s="252"/>
    </row>
    <row r="1046">
      <c r="B1046" s="252"/>
    </row>
    <row r="1047">
      <c r="B1047" s="252"/>
    </row>
    <row r="1048">
      <c r="B1048" s="252"/>
    </row>
    <row r="1049">
      <c r="B1049" s="252"/>
    </row>
    <row r="1050">
      <c r="B1050" s="252"/>
    </row>
    <row r="1051">
      <c r="B1051" s="252"/>
    </row>
    <row r="1052">
      <c r="B1052" s="252"/>
    </row>
    <row r="1053">
      <c r="B1053" s="252"/>
    </row>
    <row r="1054">
      <c r="B1054" s="252"/>
    </row>
    <row r="1055">
      <c r="B1055" s="252"/>
    </row>
    <row r="1056">
      <c r="B1056" s="252"/>
    </row>
    <row r="1057">
      <c r="B1057" s="252"/>
    </row>
    <row r="1058">
      <c r="B1058" s="252"/>
    </row>
    <row r="1059">
      <c r="B1059" s="252"/>
    </row>
    <row r="1060">
      <c r="B1060" s="252"/>
    </row>
    <row r="1061">
      <c r="B1061" s="252"/>
    </row>
    <row r="1062">
      <c r="B1062" s="252"/>
    </row>
    <row r="1063">
      <c r="B1063" s="252"/>
    </row>
    <row r="1064">
      <c r="B1064" s="252"/>
    </row>
    <row r="1065">
      <c r="B1065" s="252"/>
    </row>
    <row r="1066">
      <c r="B1066" s="252"/>
    </row>
    <row r="1067">
      <c r="B1067" s="252"/>
    </row>
    <row r="1068">
      <c r="B1068" s="252"/>
    </row>
    <row r="1069">
      <c r="B1069" s="252"/>
    </row>
    <row r="1070">
      <c r="B1070" s="252"/>
    </row>
    <row r="1071">
      <c r="B1071" s="252"/>
    </row>
    <row r="1072">
      <c r="B1072" s="252"/>
    </row>
    <row r="1073">
      <c r="B1073" s="252"/>
    </row>
    <row r="1074">
      <c r="B1074" s="252"/>
    </row>
    <row r="1075">
      <c r="B1075" s="252"/>
    </row>
    <row r="1076">
      <c r="B1076" s="252"/>
    </row>
    <row r="1077">
      <c r="B1077" s="252"/>
    </row>
    <row r="1078">
      <c r="B1078" s="252"/>
    </row>
    <row r="1079">
      <c r="B1079" s="252"/>
    </row>
    <row r="1080">
      <c r="B1080" s="252"/>
    </row>
    <row r="1081">
      <c r="B1081" s="252"/>
    </row>
    <row r="1082">
      <c r="B1082" s="252"/>
    </row>
    <row r="1083">
      <c r="B1083" s="252"/>
    </row>
    <row r="1084">
      <c r="B1084" s="252"/>
    </row>
    <row r="1085">
      <c r="B1085" s="252"/>
    </row>
    <row r="1086">
      <c r="B1086" s="252"/>
    </row>
    <row r="1087">
      <c r="B1087" s="252"/>
    </row>
    <row r="1088">
      <c r="B1088" s="252"/>
    </row>
    <row r="1089">
      <c r="B1089" s="252"/>
    </row>
    <row r="1090">
      <c r="B1090" s="252"/>
    </row>
    <row r="1091">
      <c r="B1091" s="252"/>
    </row>
    <row r="1092">
      <c r="B1092" s="252"/>
    </row>
    <row r="1093">
      <c r="B1093" s="252"/>
    </row>
    <row r="1094">
      <c r="B1094" s="252"/>
    </row>
    <row r="1095">
      <c r="B1095" s="252"/>
    </row>
    <row r="1096">
      <c r="B1096" s="252"/>
    </row>
    <row r="1097">
      <c r="B1097" s="252"/>
    </row>
    <row r="1098">
      <c r="B1098" s="252"/>
    </row>
    <row r="1099">
      <c r="B1099" s="252"/>
    </row>
    <row r="1100">
      <c r="B1100" s="252"/>
    </row>
    <row r="1101">
      <c r="B1101" s="252"/>
    </row>
    <row r="1102">
      <c r="B1102" s="252"/>
    </row>
    <row r="1103">
      <c r="B1103" s="252"/>
    </row>
    <row r="1104">
      <c r="B1104" s="252"/>
    </row>
    <row r="1105">
      <c r="B1105" s="252"/>
    </row>
    <row r="1106">
      <c r="B1106" s="252"/>
    </row>
    <row r="1107">
      <c r="B1107" s="252"/>
    </row>
    <row r="1108">
      <c r="B1108" s="252"/>
    </row>
    <row r="1109">
      <c r="B1109" s="252"/>
    </row>
    <row r="1110">
      <c r="B1110" s="252"/>
    </row>
    <row r="1111">
      <c r="B1111" s="252"/>
    </row>
    <row r="1112">
      <c r="B1112" s="252"/>
    </row>
    <row r="1113">
      <c r="B1113" s="252"/>
    </row>
    <row r="1114">
      <c r="B1114" s="252"/>
    </row>
    <row r="1115">
      <c r="B1115" s="252"/>
    </row>
    <row r="1116">
      <c r="B1116" s="252"/>
    </row>
    <row r="1117">
      <c r="B1117" s="252"/>
    </row>
    <row r="1118">
      <c r="B1118" s="252"/>
    </row>
  </sheetData>
  <conditionalFormatting sqref="A448:A466">
    <cfRule type="expression" dxfId="0" priority="1">
      <formula>COUNTIF($B:$B, $A448) &gt; 1</formula>
    </cfRule>
  </conditionalFormatting>
  <conditionalFormatting sqref="B448">
    <cfRule type="expression" dxfId="0" priority="2">
      <formula>COUNTIF($B:$B, $B448) &gt; 1</formula>
    </cfRule>
  </conditionalFormatting>
  <conditionalFormatting sqref="A435:A447">
    <cfRule type="expression" dxfId="0" priority="3">
      <formula>COUNTIF($B:$B, $A435) &gt; 1</formula>
    </cfRule>
  </conditionalFormatting>
  <conditionalFormatting sqref="H67">
    <cfRule type="expression" dxfId="0" priority="4">
      <formula>COUNTIF($B:$B, $H67) &gt; 1</formula>
    </cfRule>
  </conditionalFormatting>
  <conditionalFormatting sqref="B1:B67 B71:B434 B447 B462:B473 B493:B1118">
    <cfRule type="expression" dxfId="0" priority="5">
      <formula>COUNTIF($B:$B, $B1) &gt; 1</formula>
    </cfRule>
  </conditionalFormatting>
  <dataValidations>
    <dataValidation type="custom" allowBlank="1" showDropDown="1" sqref="F435">
      <formula1>IFERROR(ISEMAIL(F435), true)</formula1>
    </dataValidation>
  </dataValidations>
  <hyperlinks>
    <hyperlink r:id="rId1" ref="D2"/>
    <hyperlink r:id="rId2" ref="D4"/>
    <hyperlink r:id="rId3" ref="D5"/>
    <hyperlink r:id="rId4" ref="D7"/>
    <hyperlink r:id="rId5" ref="D9"/>
    <hyperlink r:id="rId6" ref="D11"/>
    <hyperlink r:id="rId7" ref="D13"/>
    <hyperlink r:id="rId8" ref="D15"/>
    <hyperlink r:id="rId9" ref="D16"/>
    <hyperlink r:id="rId10" ref="D27"/>
    <hyperlink r:id="rId11" ref="F29"/>
    <hyperlink r:id="rId12" ref="D48"/>
    <hyperlink r:id="rId13" ref="D61"/>
    <hyperlink r:id="rId14" ref="D64"/>
    <hyperlink r:id="rId15" ref="D65"/>
    <hyperlink r:id="rId16" ref="D66"/>
    <hyperlink r:id="rId17" ref="D67"/>
    <hyperlink r:id="rId18" ref="J67"/>
    <hyperlink r:id="rId19" ref="D68"/>
    <hyperlink r:id="rId20" ref="D69"/>
    <hyperlink r:id="rId21" ref="D72"/>
    <hyperlink r:id="rId22" ref="D73"/>
    <hyperlink r:id="rId23" ref="D78"/>
    <hyperlink r:id="rId24" ref="D79"/>
    <hyperlink r:id="rId25" ref="D81"/>
    <hyperlink r:id="rId26" ref="D82"/>
    <hyperlink r:id="rId27" ref="D83"/>
    <hyperlink r:id="rId28" ref="D84"/>
    <hyperlink r:id="rId29" ref="D85"/>
    <hyperlink r:id="rId30" ref="D87"/>
    <hyperlink r:id="rId31" ref="D88"/>
    <hyperlink r:id="rId32" ref="D89"/>
    <hyperlink r:id="rId33" ref="D90"/>
    <hyperlink r:id="rId34" ref="D91"/>
    <hyperlink r:id="rId35" ref="D97"/>
    <hyperlink r:id="rId36" ref="D98"/>
    <hyperlink r:id="rId37" ref="D99"/>
    <hyperlink r:id="rId38" ref="D100"/>
    <hyperlink r:id="rId39" ref="D101"/>
    <hyperlink r:id="rId40" ref="D102"/>
    <hyperlink r:id="rId41" ref="D103"/>
    <hyperlink r:id="rId42" ref="D106"/>
    <hyperlink r:id="rId43" ref="D109"/>
    <hyperlink r:id="rId44" ref="D110"/>
    <hyperlink r:id="rId45" ref="D111"/>
    <hyperlink r:id="rId46" ref="D112"/>
    <hyperlink r:id="rId47" ref="D113"/>
    <hyperlink r:id="rId48" ref="D114"/>
    <hyperlink r:id="rId49" ref="D115"/>
    <hyperlink r:id="rId50" ref="D118"/>
    <hyperlink r:id="rId51" ref="D119"/>
    <hyperlink r:id="rId52" ref="D121"/>
    <hyperlink r:id="rId53" ref="D128"/>
    <hyperlink r:id="rId54" ref="D129"/>
    <hyperlink r:id="rId55" ref="D130"/>
    <hyperlink r:id="rId56" ref="D132"/>
    <hyperlink r:id="rId57" ref="D133"/>
    <hyperlink r:id="rId58" ref="D138"/>
    <hyperlink r:id="rId59" ref="D139"/>
    <hyperlink r:id="rId60" ref="D141"/>
    <hyperlink r:id="rId61" ref="D142"/>
    <hyperlink r:id="rId62" ref="D145"/>
    <hyperlink r:id="rId63" ref="D146"/>
    <hyperlink r:id="rId64" ref="D147"/>
    <hyperlink r:id="rId65" ref="D148"/>
    <hyperlink r:id="rId66" ref="D149"/>
    <hyperlink r:id="rId67" ref="D150"/>
    <hyperlink r:id="rId68" ref="D153"/>
    <hyperlink r:id="rId69" ref="D156"/>
    <hyperlink r:id="rId70" ref="D158"/>
    <hyperlink r:id="rId71" ref="D163"/>
    <hyperlink r:id="rId72" ref="D169"/>
    <hyperlink r:id="rId73" ref="D170"/>
    <hyperlink r:id="rId74" ref="D171"/>
    <hyperlink r:id="rId75" ref="D172"/>
    <hyperlink r:id="rId76" ref="D173"/>
    <hyperlink r:id="rId77" ref="D174"/>
    <hyperlink r:id="rId78" ref="D175"/>
    <hyperlink r:id="rId79" ref="D176"/>
    <hyperlink r:id="rId80" ref="D180"/>
    <hyperlink r:id="rId81" ref="D181"/>
    <hyperlink r:id="rId82" ref="D182"/>
    <hyperlink r:id="rId83" ref="D183"/>
    <hyperlink r:id="rId84" ref="D184"/>
    <hyperlink r:id="rId85" ref="D185"/>
    <hyperlink r:id="rId86" ref="D186"/>
    <hyperlink r:id="rId87" ref="D188"/>
    <hyperlink r:id="rId88" ref="D189"/>
    <hyperlink r:id="rId89" ref="D190"/>
    <hyperlink r:id="rId90" ref="D191"/>
    <hyperlink r:id="rId91" ref="D192"/>
    <hyperlink r:id="rId92" ref="D193"/>
    <hyperlink r:id="rId93" ref="D194"/>
    <hyperlink r:id="rId94" ref="D195"/>
    <hyperlink r:id="rId95" ref="D196"/>
    <hyperlink r:id="rId96" ref="D197"/>
    <hyperlink r:id="rId97" ref="D198"/>
    <hyperlink r:id="rId98" ref="D200"/>
    <hyperlink r:id="rId99" ref="D201"/>
    <hyperlink r:id="rId100" ref="D202"/>
    <hyperlink r:id="rId101" ref="D203"/>
    <hyperlink r:id="rId102" ref="D204"/>
    <hyperlink r:id="rId103" ref="D205"/>
    <hyperlink r:id="rId104" ref="D206"/>
    <hyperlink r:id="rId105" ref="D207"/>
    <hyperlink r:id="rId106" ref="D208"/>
    <hyperlink r:id="rId107" ref="D209"/>
    <hyperlink r:id="rId108" ref="D211"/>
    <hyperlink r:id="rId109" ref="D215"/>
    <hyperlink r:id="rId110" ref="D216"/>
    <hyperlink r:id="rId111" ref="D220"/>
    <hyperlink r:id="rId112" ref="D222"/>
    <hyperlink r:id="rId113" ref="D227"/>
    <hyperlink r:id="rId114" ref="D228"/>
    <hyperlink r:id="rId115" ref="D230"/>
    <hyperlink r:id="rId116" ref="D232"/>
    <hyperlink r:id="rId117" ref="D234"/>
    <hyperlink r:id="rId118" ref="D238"/>
    <hyperlink r:id="rId119" ref="D239"/>
    <hyperlink r:id="rId120" ref="D240"/>
    <hyperlink r:id="rId121" ref="D241"/>
    <hyperlink r:id="rId122" ref="D248"/>
    <hyperlink r:id="rId123" ref="D249"/>
    <hyperlink r:id="rId124" ref="D250"/>
    <hyperlink r:id="rId125" ref="D251"/>
    <hyperlink r:id="rId126" ref="D254"/>
    <hyperlink r:id="rId127" ref="D256"/>
    <hyperlink r:id="rId128" ref="D259"/>
    <hyperlink r:id="rId129" ref="D265"/>
    <hyperlink r:id="rId130" ref="D268"/>
    <hyperlink r:id="rId131" ref="D274"/>
    <hyperlink r:id="rId132" ref="D277"/>
    <hyperlink r:id="rId133" ref="D279"/>
    <hyperlink r:id="rId134" ref="D283"/>
    <hyperlink r:id="rId135" ref="D286"/>
    <hyperlink r:id="rId136" ref="D289"/>
    <hyperlink r:id="rId137" ref="D291"/>
    <hyperlink r:id="rId138" ref="D296"/>
    <hyperlink r:id="rId139" ref="D299"/>
    <hyperlink r:id="rId140" ref="D301"/>
    <hyperlink r:id="rId141" ref="D305"/>
    <hyperlink r:id="rId142" ref="D306"/>
    <hyperlink r:id="rId143" ref="D308"/>
    <hyperlink r:id="rId144" ref="D330"/>
    <hyperlink r:id="rId145" ref="D331"/>
    <hyperlink r:id="rId146" ref="D332"/>
    <hyperlink r:id="rId147" ref="D333"/>
    <hyperlink r:id="rId148" ref="D334"/>
    <hyperlink r:id="rId149" ref="D335"/>
    <hyperlink r:id="rId150" ref="D336"/>
    <hyperlink r:id="rId151" ref="D337"/>
    <hyperlink r:id="rId152" ref="D338"/>
    <hyperlink r:id="rId153" ref="D339"/>
    <hyperlink r:id="rId154" ref="D340"/>
    <hyperlink r:id="rId155" ref="D341"/>
    <hyperlink r:id="rId156" ref="D342"/>
    <hyperlink r:id="rId157" ref="D343"/>
    <hyperlink r:id="rId158" ref="D344"/>
    <hyperlink r:id="rId159" ref="D345"/>
    <hyperlink r:id="rId160" ref="D346"/>
    <hyperlink r:id="rId161" ref="D347"/>
    <hyperlink r:id="rId162" ref="D348"/>
    <hyperlink r:id="rId163" ref="A351"/>
    <hyperlink r:id="rId164" ref="D386"/>
    <hyperlink r:id="rId165" ref="D387"/>
    <hyperlink r:id="rId166" ref="D388"/>
    <hyperlink r:id="rId167" ref="D389"/>
    <hyperlink r:id="rId168" ref="D390"/>
    <hyperlink r:id="rId169" ref="D391"/>
    <hyperlink r:id="rId170" ref="D392"/>
    <hyperlink r:id="rId171" ref="D393"/>
    <hyperlink r:id="rId172" ref="D394"/>
    <hyperlink r:id="rId173" ref="D395"/>
    <hyperlink r:id="rId174" ref="D396"/>
    <hyperlink r:id="rId175" ref="D397"/>
    <hyperlink r:id="rId176" ref="D398"/>
    <hyperlink r:id="rId177" ref="D399"/>
    <hyperlink r:id="rId178" ref="D400"/>
    <hyperlink r:id="rId179" ref="D401"/>
    <hyperlink r:id="rId180" ref="D402"/>
    <hyperlink r:id="rId181" ref="D403"/>
    <hyperlink r:id="rId182" ref="D404"/>
    <hyperlink r:id="rId183" ref="D405"/>
    <hyperlink r:id="rId184" ref="D406"/>
    <hyperlink r:id="rId185" ref="D407"/>
    <hyperlink r:id="rId186" ref="D408"/>
    <hyperlink r:id="rId187" ref="D409"/>
    <hyperlink r:id="rId188" ref="D410"/>
    <hyperlink r:id="rId189" ref="D411"/>
    <hyperlink r:id="rId190" ref="D412"/>
    <hyperlink r:id="rId191" ref="D413"/>
    <hyperlink r:id="rId192" ref="D414"/>
    <hyperlink r:id="rId193" ref="D415"/>
    <hyperlink r:id="rId194" ref="D416"/>
    <hyperlink r:id="rId195" ref="D417"/>
    <hyperlink r:id="rId196" ref="D418"/>
    <hyperlink r:id="rId197" ref="D419"/>
    <hyperlink r:id="rId198" ref="D420"/>
    <hyperlink r:id="rId199" ref="D421"/>
    <hyperlink r:id="rId200" ref="D422"/>
    <hyperlink r:id="rId201" ref="D423"/>
    <hyperlink r:id="rId202" ref="D424"/>
    <hyperlink r:id="rId203" ref="D425"/>
    <hyperlink r:id="rId204" ref="D426"/>
    <hyperlink r:id="rId205" ref="D427"/>
    <hyperlink r:id="rId206" ref="D428"/>
    <hyperlink r:id="rId207" ref="D429"/>
    <hyperlink r:id="rId208" ref="D430"/>
    <hyperlink r:id="rId209" ref="D431"/>
    <hyperlink r:id="rId210" ref="D432"/>
    <hyperlink r:id="rId211" ref="D433"/>
    <hyperlink r:id="rId212" ref="D438"/>
    <hyperlink r:id="rId213" ref="D439"/>
    <hyperlink r:id="rId214" ref="D465"/>
    <hyperlink r:id="rId215" ref="D468"/>
    <hyperlink r:id="rId216" ref="D470"/>
    <hyperlink r:id="rId217" ref="D471"/>
    <hyperlink r:id="rId218" ref="D472"/>
  </hyperlinks>
  <drawing r:id="rId21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5.25"/>
    <col customWidth="1" min="3" max="3" width="19.75"/>
    <col customWidth="1" min="4" max="4" width="26.88"/>
    <col customWidth="1" min="5" max="5" width="15.38"/>
    <col customWidth="1" min="6" max="6" width="22.5"/>
  </cols>
  <sheetData>
    <row r="1">
      <c r="A1" s="267" t="s">
        <v>0</v>
      </c>
      <c r="B1" s="268" t="s">
        <v>2</v>
      </c>
      <c r="C1" s="267" t="s">
        <v>4</v>
      </c>
      <c r="D1" s="3" t="s">
        <v>5</v>
      </c>
      <c r="E1" s="3" t="s">
        <v>6</v>
      </c>
      <c r="F1" s="3" t="s">
        <v>8</v>
      </c>
      <c r="G1" s="3"/>
      <c r="H1" s="3"/>
    </row>
    <row r="2">
      <c r="A2" s="269" t="s">
        <v>3398</v>
      </c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</row>
    <row r="3">
      <c r="A3" s="271" t="s">
        <v>3404</v>
      </c>
      <c r="B3" s="272" t="s">
        <v>3405</v>
      </c>
      <c r="C3" s="273" t="s">
        <v>40</v>
      </c>
      <c r="D3" s="274" t="s">
        <v>3406</v>
      </c>
      <c r="E3" s="103" t="s">
        <v>3412</v>
      </c>
      <c r="F3" s="103" t="s">
        <v>3413</v>
      </c>
      <c r="G3" s="103" t="s">
        <v>3414</v>
      </c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</row>
    <row r="4">
      <c r="A4" s="275"/>
      <c r="B4" s="276" t="s">
        <v>3419</v>
      </c>
      <c r="C4" s="275" t="s">
        <v>823</v>
      </c>
      <c r="D4" s="24" t="s">
        <v>3422</v>
      </c>
      <c r="E4" s="16"/>
      <c r="F4" s="16" t="s">
        <v>3425</v>
      </c>
      <c r="G4" s="16" t="s">
        <v>3426</v>
      </c>
      <c r="H4" s="16" t="s">
        <v>3427</v>
      </c>
    </row>
    <row r="5">
      <c r="A5" s="275"/>
      <c r="B5" s="276" t="s">
        <v>3428</v>
      </c>
      <c r="C5" s="275" t="s">
        <v>519</v>
      </c>
      <c r="D5" s="24" t="s">
        <v>3431</v>
      </c>
      <c r="E5" s="16"/>
      <c r="F5" s="16" t="s">
        <v>3434</v>
      </c>
      <c r="G5" s="16" t="s">
        <v>3435</v>
      </c>
      <c r="H5" s="16"/>
    </row>
    <row r="6">
      <c r="A6" s="275"/>
      <c r="B6" s="277"/>
      <c r="C6" s="275"/>
      <c r="D6" s="16"/>
      <c r="E6" s="16"/>
      <c r="F6" s="16"/>
      <c r="G6" s="16"/>
      <c r="H6" s="16"/>
    </row>
    <row r="7">
      <c r="A7" s="273" t="s">
        <v>3439</v>
      </c>
      <c r="B7" s="278" t="s">
        <v>3440</v>
      </c>
      <c r="C7" s="273" t="s">
        <v>40</v>
      </c>
      <c r="D7" s="274" t="s">
        <v>3441</v>
      </c>
      <c r="E7" s="103" t="s">
        <v>3443</v>
      </c>
      <c r="F7" s="103" t="s">
        <v>3444</v>
      </c>
      <c r="G7" s="103" t="s">
        <v>3446</v>
      </c>
      <c r="H7" s="103" t="s">
        <v>3448</v>
      </c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</row>
    <row r="8">
      <c r="A8" s="63"/>
      <c r="B8" s="276" t="s">
        <v>863</v>
      </c>
      <c r="C8" s="67" t="s">
        <v>864</v>
      </c>
      <c r="D8" s="24" t="s">
        <v>866</v>
      </c>
      <c r="E8" s="16"/>
      <c r="F8" s="279" t="s">
        <v>867</v>
      </c>
      <c r="G8" s="16" t="s">
        <v>868</v>
      </c>
      <c r="H8" s="26"/>
    </row>
    <row r="9">
      <c r="A9" s="63"/>
      <c r="B9" s="276" t="s">
        <v>3455</v>
      </c>
      <c r="C9" s="275" t="s">
        <v>519</v>
      </c>
      <c r="D9" s="24" t="s">
        <v>3456</v>
      </c>
      <c r="E9" s="16"/>
      <c r="F9" s="279" t="s">
        <v>3461</v>
      </c>
      <c r="G9" s="16" t="s">
        <v>3463</v>
      </c>
      <c r="H9" s="26"/>
    </row>
    <row r="10">
      <c r="A10" s="63"/>
      <c r="B10" s="280"/>
      <c r="C10" s="275"/>
      <c r="D10" s="16"/>
      <c r="E10" s="16"/>
      <c r="F10" s="279"/>
      <c r="G10" s="16"/>
      <c r="H10" s="26"/>
    </row>
    <row r="11">
      <c r="A11" s="271" t="s">
        <v>3467</v>
      </c>
      <c r="B11" s="281" t="s">
        <v>3468</v>
      </c>
      <c r="C11" s="273" t="s">
        <v>40</v>
      </c>
      <c r="D11" s="274" t="s">
        <v>3469</v>
      </c>
      <c r="E11" s="103" t="s">
        <v>3471</v>
      </c>
      <c r="F11" s="282" t="s">
        <v>3472</v>
      </c>
      <c r="G11" s="103" t="s">
        <v>3474</v>
      </c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</row>
    <row r="12">
      <c r="A12" s="44"/>
      <c r="B12" s="64" t="s">
        <v>3478</v>
      </c>
      <c r="C12" s="44" t="s">
        <v>40</v>
      </c>
      <c r="D12" s="60" t="s">
        <v>3483</v>
      </c>
      <c r="E12" s="283">
        <v>81052.36065</v>
      </c>
      <c r="F12" s="62" t="s">
        <v>3487</v>
      </c>
      <c r="G12" s="62" t="s">
        <v>3488</v>
      </c>
      <c r="H12" s="26"/>
    </row>
    <row r="13">
      <c r="A13" s="63"/>
      <c r="B13" s="276" t="s">
        <v>883</v>
      </c>
      <c r="C13" s="275" t="s">
        <v>381</v>
      </c>
      <c r="D13" s="24" t="s">
        <v>884</v>
      </c>
      <c r="E13" s="16"/>
      <c r="F13" s="16" t="s">
        <v>885</v>
      </c>
      <c r="G13" s="16" t="s">
        <v>887</v>
      </c>
      <c r="H13" s="26"/>
    </row>
    <row r="14">
      <c r="A14" s="63"/>
      <c r="B14" s="19"/>
      <c r="C14" s="284"/>
      <c r="D14" s="16"/>
      <c r="E14" s="16"/>
      <c r="F14" s="16"/>
      <c r="G14" s="16"/>
      <c r="H14" s="26"/>
    </row>
    <row r="15">
      <c r="A15" s="271" t="s">
        <v>895</v>
      </c>
      <c r="B15" s="272" t="s">
        <v>3492</v>
      </c>
      <c r="C15" s="285" t="s">
        <v>3495</v>
      </c>
      <c r="D15" s="274" t="s">
        <v>3497</v>
      </c>
      <c r="E15" s="103" t="s">
        <v>3498</v>
      </c>
      <c r="F15" s="103" t="s">
        <v>3499</v>
      </c>
      <c r="G15" s="103" t="s">
        <v>3500</v>
      </c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</row>
    <row r="16">
      <c r="A16" s="18"/>
      <c r="B16" s="276" t="s">
        <v>904</v>
      </c>
      <c r="C16" s="284" t="s">
        <v>905</v>
      </c>
      <c r="D16" s="286" t="s">
        <v>906</v>
      </c>
      <c r="E16" s="16"/>
      <c r="F16" s="16" t="s">
        <v>910</v>
      </c>
      <c r="G16" s="16" t="s">
        <v>911</v>
      </c>
      <c r="H16" s="16" t="s">
        <v>912</v>
      </c>
    </row>
    <row r="17">
      <c r="A17" s="18"/>
      <c r="B17" s="280"/>
      <c r="C17" s="18"/>
      <c r="D17" s="287"/>
      <c r="E17" s="16"/>
      <c r="F17" s="16"/>
      <c r="G17" s="26"/>
      <c r="H17" s="26"/>
    </row>
    <row r="18">
      <c r="A18" s="288" t="s">
        <v>992</v>
      </c>
      <c r="B18" s="272" t="s">
        <v>3508</v>
      </c>
      <c r="C18" s="288" t="s">
        <v>72</v>
      </c>
      <c r="D18" s="289" t="s">
        <v>3509</v>
      </c>
      <c r="E18" s="103" t="s">
        <v>3512</v>
      </c>
      <c r="F18" s="103" t="s">
        <v>3514</v>
      </c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</row>
    <row r="19">
      <c r="A19" s="44"/>
      <c r="B19" s="277" t="s">
        <v>618</v>
      </c>
      <c r="C19" s="67" t="s">
        <v>51</v>
      </c>
      <c r="D19" s="24" t="s">
        <v>621</v>
      </c>
      <c r="E19" s="16"/>
      <c r="F19" s="16" t="s">
        <v>624</v>
      </c>
      <c r="G19" s="26"/>
      <c r="H19" s="26"/>
    </row>
    <row r="20">
      <c r="A20" s="44"/>
      <c r="B20" s="19"/>
      <c r="C20" s="44"/>
      <c r="D20" s="16"/>
      <c r="E20" s="16"/>
      <c r="F20" s="16"/>
      <c r="G20" s="26"/>
      <c r="H20" s="26"/>
    </row>
    <row r="21">
      <c r="A21" s="290" t="s">
        <v>70</v>
      </c>
      <c r="B21" s="272" t="s">
        <v>71</v>
      </c>
      <c r="C21" s="290" t="s">
        <v>72</v>
      </c>
      <c r="D21" s="274" t="s">
        <v>73</v>
      </c>
      <c r="E21" s="103" t="s">
        <v>78</v>
      </c>
      <c r="F21" s="103" t="s">
        <v>79</v>
      </c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</row>
    <row r="22">
      <c r="A22" s="18"/>
      <c r="B22" s="19"/>
      <c r="C22" s="18"/>
      <c r="D22" s="16"/>
      <c r="E22" s="16"/>
      <c r="F22" s="16"/>
      <c r="G22" s="16"/>
      <c r="H22" s="26"/>
    </row>
    <row r="23">
      <c r="A23" s="18"/>
      <c r="B23" s="19"/>
      <c r="C23" s="18"/>
      <c r="D23" s="16"/>
      <c r="E23" s="16"/>
      <c r="F23" s="16"/>
      <c r="G23" s="16"/>
      <c r="H23" s="26"/>
    </row>
    <row r="24">
      <c r="A24" s="288" t="s">
        <v>18</v>
      </c>
      <c r="B24" s="272" t="s">
        <v>19</v>
      </c>
      <c r="C24" s="288" t="s">
        <v>20</v>
      </c>
      <c r="D24" s="274" t="s">
        <v>21</v>
      </c>
      <c r="E24" s="103" t="s">
        <v>23</v>
      </c>
      <c r="F24" s="103" t="s">
        <v>24</v>
      </c>
      <c r="G24" s="103" t="s">
        <v>25</v>
      </c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</row>
    <row r="25">
      <c r="A25" s="63"/>
      <c r="B25" s="276" t="s">
        <v>845</v>
      </c>
      <c r="C25" s="275" t="s">
        <v>823</v>
      </c>
      <c r="D25" s="24" t="s">
        <v>848</v>
      </c>
      <c r="E25" s="26"/>
      <c r="F25" s="16" t="s">
        <v>849</v>
      </c>
      <c r="G25" s="16" t="s">
        <v>850</v>
      </c>
      <c r="H25" s="26"/>
    </row>
    <row r="26">
      <c r="A26" s="63"/>
      <c r="B26" s="280"/>
      <c r="C26" s="275"/>
      <c r="D26" s="16"/>
      <c r="E26" s="26"/>
      <c r="F26" s="16"/>
      <c r="G26" s="26"/>
      <c r="H26" s="26"/>
    </row>
    <row r="27">
      <c r="A27" s="271" t="s">
        <v>3533</v>
      </c>
      <c r="B27" s="272" t="s">
        <v>3534</v>
      </c>
      <c r="C27" s="273" t="s">
        <v>40</v>
      </c>
      <c r="D27" s="274" t="s">
        <v>3535</v>
      </c>
      <c r="E27" s="109"/>
      <c r="F27" s="103" t="s">
        <v>3537</v>
      </c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</row>
    <row r="28">
      <c r="A28" s="18"/>
      <c r="B28" s="19"/>
      <c r="C28" s="18"/>
      <c r="D28" s="16"/>
      <c r="E28" s="26"/>
      <c r="F28" s="16"/>
      <c r="G28" s="16"/>
      <c r="H28" s="26"/>
    </row>
    <row r="29">
      <c r="A29" s="18"/>
      <c r="B29" s="19"/>
      <c r="C29" s="18"/>
      <c r="D29" s="16"/>
      <c r="E29" s="26"/>
      <c r="F29" s="16"/>
      <c r="G29" s="16"/>
      <c r="H29" s="26"/>
    </row>
    <row r="30">
      <c r="A30" s="288" t="s">
        <v>3541</v>
      </c>
      <c r="B30" s="272" t="s">
        <v>3543</v>
      </c>
      <c r="C30" s="288" t="s">
        <v>72</v>
      </c>
      <c r="D30" s="274" t="s">
        <v>3547</v>
      </c>
      <c r="E30" s="109">
        <f>919979745514</f>
        <v>919979745514</v>
      </c>
      <c r="F30" s="103" t="s">
        <v>3551</v>
      </c>
      <c r="G30" s="103" t="s">
        <v>3552</v>
      </c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</row>
    <row r="31">
      <c r="A31" s="44"/>
      <c r="B31" s="276" t="s">
        <v>214</v>
      </c>
      <c r="C31" s="67" t="s">
        <v>216</v>
      </c>
      <c r="D31" s="24" t="s">
        <v>218</v>
      </c>
      <c r="E31" s="16"/>
      <c r="F31" s="16" t="s">
        <v>219</v>
      </c>
      <c r="G31" s="26"/>
      <c r="H31" s="26"/>
    </row>
    <row r="32">
      <c r="A32" s="44"/>
      <c r="B32" s="280"/>
      <c r="C32" s="44"/>
      <c r="D32" s="16"/>
      <c r="E32" s="16"/>
      <c r="F32" s="16"/>
      <c r="G32" s="26"/>
      <c r="H32" s="26"/>
    </row>
    <row r="33">
      <c r="A33" s="290" t="s">
        <v>53</v>
      </c>
      <c r="B33" s="291" t="s">
        <v>55</v>
      </c>
      <c r="C33" s="290" t="s">
        <v>56</v>
      </c>
      <c r="D33" s="274" t="s">
        <v>57</v>
      </c>
      <c r="E33" s="103">
        <v>9.811590035E9</v>
      </c>
      <c r="F33" s="103" t="s">
        <v>59</v>
      </c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</row>
    <row r="34">
      <c r="A34" s="63"/>
      <c r="B34" s="277" t="s">
        <v>3563</v>
      </c>
      <c r="C34" s="275" t="s">
        <v>519</v>
      </c>
      <c r="D34" s="24" t="s">
        <v>3564</v>
      </c>
      <c r="E34" s="283"/>
      <c r="F34" s="62" t="s">
        <v>3568</v>
      </c>
      <c r="G34" s="26"/>
      <c r="H34" s="26"/>
    </row>
    <row r="35">
      <c r="A35" s="63"/>
      <c r="B35" s="292"/>
      <c r="C35" s="63"/>
      <c r="D35" s="16"/>
      <c r="E35" s="283"/>
      <c r="F35" s="62"/>
      <c r="G35" s="26"/>
      <c r="H35" s="26"/>
    </row>
    <row r="36">
      <c r="A36" s="271" t="s">
        <v>250</v>
      </c>
      <c r="B36" s="293" t="s">
        <v>3569</v>
      </c>
      <c r="C36" s="271" t="s">
        <v>319</v>
      </c>
      <c r="D36" s="274" t="s">
        <v>3572</v>
      </c>
      <c r="E36" s="294" t="s">
        <v>3574</v>
      </c>
      <c r="F36" s="295" t="s">
        <v>3575</v>
      </c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</row>
    <row r="37">
      <c r="A37" s="44"/>
      <c r="B37" s="276" t="s">
        <v>278</v>
      </c>
      <c r="C37" s="67" t="s">
        <v>279</v>
      </c>
      <c r="D37" s="24" t="s">
        <v>280</v>
      </c>
      <c r="E37" s="283"/>
      <c r="F37" s="62" t="s">
        <v>284</v>
      </c>
      <c r="G37" s="16" t="s">
        <v>287</v>
      </c>
      <c r="H37" s="16" t="s">
        <v>288</v>
      </c>
    </row>
    <row r="38">
      <c r="A38" s="44"/>
      <c r="B38" s="280"/>
      <c r="C38" s="44"/>
      <c r="D38" s="16"/>
      <c r="E38" s="283"/>
      <c r="F38" s="62"/>
      <c r="G38" s="26"/>
      <c r="H38" s="26"/>
    </row>
    <row r="39">
      <c r="A39" s="290" t="s">
        <v>1511</v>
      </c>
      <c r="B39" s="293" t="s">
        <v>3584</v>
      </c>
      <c r="C39" s="290" t="s">
        <v>3585</v>
      </c>
      <c r="D39" s="274" t="s">
        <v>3586</v>
      </c>
      <c r="E39" s="294" t="s">
        <v>3590</v>
      </c>
      <c r="F39" s="295" t="s">
        <v>3591</v>
      </c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</row>
    <row r="40">
      <c r="A40" s="44"/>
      <c r="B40" s="292"/>
      <c r="C40" s="44"/>
      <c r="D40" s="296"/>
      <c r="E40" s="283"/>
      <c r="F40" s="62"/>
      <c r="G40" s="62"/>
      <c r="H40" s="26"/>
    </row>
    <row r="41">
      <c r="A41" s="271" t="s">
        <v>2407</v>
      </c>
      <c r="B41" s="293" t="s">
        <v>3595</v>
      </c>
      <c r="C41" s="290" t="s">
        <v>40</v>
      </c>
      <c r="D41" s="274" t="s">
        <v>3599</v>
      </c>
      <c r="E41" s="294" t="s">
        <v>3600</v>
      </c>
      <c r="F41" s="295" t="s">
        <v>3601</v>
      </c>
      <c r="G41" s="295" t="s">
        <v>3602</v>
      </c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</row>
    <row r="42">
      <c r="A42" s="63"/>
      <c r="B42" s="277" t="s">
        <v>795</v>
      </c>
      <c r="C42" s="275" t="s">
        <v>796</v>
      </c>
      <c r="D42" s="24" t="s">
        <v>797</v>
      </c>
      <c r="E42" s="62"/>
      <c r="F42" s="62" t="s">
        <v>801</v>
      </c>
      <c r="G42" s="62" t="s">
        <v>802</v>
      </c>
      <c r="H42" s="16" t="s">
        <v>803</v>
      </c>
    </row>
    <row r="43">
      <c r="A43" s="63"/>
      <c r="B43" s="297"/>
      <c r="C43" s="44"/>
      <c r="D43" s="16"/>
      <c r="E43" s="62"/>
      <c r="F43" s="62"/>
      <c r="G43" s="62"/>
      <c r="H43" s="26"/>
    </row>
    <row r="44">
      <c r="A44" s="271" t="s">
        <v>1007</v>
      </c>
      <c r="B44" s="298" t="s">
        <v>1009</v>
      </c>
      <c r="C44" s="299" t="s">
        <v>1012</v>
      </c>
      <c r="D44" s="274" t="s">
        <v>1014</v>
      </c>
      <c r="E44" s="295">
        <v>9.1974330003E11</v>
      </c>
      <c r="F44" s="295" t="s">
        <v>1015</v>
      </c>
      <c r="G44" s="295" t="s">
        <v>1016</v>
      </c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</row>
    <row r="45">
      <c r="A45" s="63"/>
      <c r="B45" s="277" t="s">
        <v>1018</v>
      </c>
      <c r="C45" s="284" t="s">
        <v>1019</v>
      </c>
      <c r="D45" s="24" t="s">
        <v>1020</v>
      </c>
      <c r="E45" s="283"/>
      <c r="F45" s="62" t="s">
        <v>1023</v>
      </c>
      <c r="G45" s="62" t="s">
        <v>1025</v>
      </c>
      <c r="H45" s="16" t="s">
        <v>1026</v>
      </c>
    </row>
    <row r="46">
      <c r="A46" s="63"/>
      <c r="B46" s="292"/>
      <c r="C46" s="300"/>
      <c r="D46" s="16"/>
      <c r="E46" s="283"/>
      <c r="F46" s="62"/>
      <c r="G46" s="62"/>
      <c r="H46" s="26"/>
    </row>
    <row r="47">
      <c r="A47" s="271" t="s">
        <v>2804</v>
      </c>
      <c r="B47" s="301" t="s">
        <v>3606</v>
      </c>
      <c r="C47" s="302" t="s">
        <v>72</v>
      </c>
      <c r="D47" s="274" t="s">
        <v>3607</v>
      </c>
      <c r="E47" s="294" t="s">
        <v>3608</v>
      </c>
      <c r="F47" s="295" t="s">
        <v>3609</v>
      </c>
      <c r="G47" s="295" t="s">
        <v>3610</v>
      </c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</row>
    <row r="48">
      <c r="A48" s="44"/>
      <c r="B48" s="277" t="s">
        <v>3611</v>
      </c>
      <c r="C48" s="67" t="s">
        <v>3612</v>
      </c>
      <c r="D48" s="24" t="s">
        <v>3613</v>
      </c>
      <c r="E48" s="283"/>
      <c r="F48" s="62" t="s">
        <v>3614</v>
      </c>
      <c r="G48" s="62" t="s">
        <v>3615</v>
      </c>
      <c r="H48" s="26"/>
    </row>
    <row r="49">
      <c r="A49" s="44"/>
      <c r="B49" s="292"/>
      <c r="C49" s="44"/>
      <c r="D49" s="16"/>
      <c r="E49" s="283"/>
      <c r="F49" s="62"/>
      <c r="G49" s="62"/>
      <c r="H49" s="26"/>
    </row>
    <row r="50">
      <c r="A50" s="290" t="s">
        <v>999</v>
      </c>
      <c r="B50" s="293" t="s">
        <v>3619</v>
      </c>
      <c r="C50" s="290" t="s">
        <v>3585</v>
      </c>
      <c r="D50" s="274" t="s">
        <v>3620</v>
      </c>
      <c r="E50" s="294" t="s">
        <v>3624</v>
      </c>
      <c r="F50" s="295" t="s">
        <v>3625</v>
      </c>
      <c r="G50" s="295" t="s">
        <v>3626</v>
      </c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</row>
    <row r="51">
      <c r="A51" s="44"/>
      <c r="B51" s="277" t="s">
        <v>3630</v>
      </c>
      <c r="C51" s="275" t="s">
        <v>519</v>
      </c>
      <c r="D51" s="24" t="s">
        <v>3631</v>
      </c>
      <c r="E51" s="62"/>
      <c r="F51" s="62" t="s">
        <v>3635</v>
      </c>
      <c r="G51" s="62"/>
      <c r="H51" s="26"/>
    </row>
    <row r="52">
      <c r="A52" s="44"/>
      <c r="B52" s="292"/>
      <c r="C52" s="63"/>
      <c r="D52" s="16"/>
      <c r="E52" s="62"/>
      <c r="F52" s="62"/>
      <c r="G52" s="62"/>
      <c r="H52" s="26"/>
    </row>
    <row r="53">
      <c r="A53" s="299" t="s">
        <v>1295</v>
      </c>
      <c r="B53" s="293" t="s">
        <v>3636</v>
      </c>
      <c r="C53" s="271" t="s">
        <v>3637</v>
      </c>
      <c r="D53" s="274" t="s">
        <v>3639</v>
      </c>
      <c r="E53" s="295">
        <v>9.18879103818E11</v>
      </c>
      <c r="F53" s="295" t="s">
        <v>3642</v>
      </c>
      <c r="G53" s="295" t="s">
        <v>3643</v>
      </c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</row>
    <row r="54">
      <c r="A54" s="44"/>
      <c r="B54" s="292"/>
      <c r="C54" s="44"/>
      <c r="D54" s="16"/>
      <c r="E54" s="62"/>
      <c r="F54" s="62"/>
      <c r="G54" s="62"/>
      <c r="H54" s="26"/>
    </row>
    <row r="55">
      <c r="A55" s="44"/>
      <c r="B55" s="292"/>
      <c r="C55" s="44"/>
      <c r="D55" s="16"/>
      <c r="E55" s="62"/>
      <c r="F55" s="62"/>
      <c r="G55" s="62"/>
      <c r="H55" s="26"/>
    </row>
    <row r="56">
      <c r="A56" s="290" t="s">
        <v>3083</v>
      </c>
      <c r="B56" s="293" t="s">
        <v>3651</v>
      </c>
      <c r="C56" s="290" t="s">
        <v>40</v>
      </c>
      <c r="D56" s="274" t="s">
        <v>3652</v>
      </c>
      <c r="E56" s="295">
        <v>9.7142781788E10</v>
      </c>
      <c r="F56" s="295" t="s">
        <v>3656</v>
      </c>
      <c r="G56" s="295" t="s">
        <v>3657</v>
      </c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</row>
    <row r="57">
      <c r="A57" s="44"/>
      <c r="B57" s="277" t="s">
        <v>3658</v>
      </c>
      <c r="C57" s="67" t="s">
        <v>1019</v>
      </c>
      <c r="D57" s="24" t="s">
        <v>3659</v>
      </c>
      <c r="E57" s="26"/>
      <c r="F57" s="16" t="s">
        <v>3663</v>
      </c>
      <c r="G57" s="16" t="s">
        <v>3664</v>
      </c>
      <c r="H57" s="26"/>
    </row>
    <row r="58">
      <c r="A58" s="44"/>
      <c r="B58" s="292"/>
      <c r="C58" s="44"/>
      <c r="D58" s="16"/>
      <c r="E58" s="26"/>
      <c r="F58" s="26"/>
      <c r="G58" s="26"/>
      <c r="H58" s="26"/>
    </row>
    <row r="59">
      <c r="A59" s="290" t="s">
        <v>659</v>
      </c>
      <c r="B59" s="293" t="s">
        <v>3665</v>
      </c>
      <c r="C59" s="290" t="s">
        <v>3667</v>
      </c>
      <c r="D59" s="274" t="s">
        <v>3668</v>
      </c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</row>
    <row r="60">
      <c r="A60" s="44"/>
      <c r="B60" s="303" t="s">
        <v>3675</v>
      </c>
      <c r="C60" s="304" t="s">
        <v>3676</v>
      </c>
      <c r="D60" s="24" t="s">
        <v>3680</v>
      </c>
      <c r="E60" s="26"/>
      <c r="F60" s="16" t="s">
        <v>3681</v>
      </c>
      <c r="G60" s="26"/>
      <c r="H60" s="26"/>
    </row>
    <row r="61">
      <c r="A61" s="44"/>
      <c r="B61" s="277"/>
      <c r="C61" s="67"/>
      <c r="D61" s="16"/>
      <c r="E61" s="26"/>
      <c r="F61" s="16"/>
      <c r="G61" s="26"/>
      <c r="H61" s="26"/>
    </row>
    <row r="62">
      <c r="A62" s="290" t="s">
        <v>3685</v>
      </c>
      <c r="B62" s="278" t="s">
        <v>3686</v>
      </c>
      <c r="C62" s="299" t="s">
        <v>3687</v>
      </c>
      <c r="D62" s="274" t="s">
        <v>3688</v>
      </c>
      <c r="E62" s="109"/>
      <c r="F62" s="103" t="s">
        <v>3692</v>
      </c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</row>
    <row r="63">
      <c r="A63" s="63"/>
      <c r="B63" s="277"/>
      <c r="C63" s="67"/>
      <c r="D63" s="16"/>
      <c r="E63" s="26"/>
      <c r="F63" s="16"/>
      <c r="G63" s="16"/>
      <c r="H63" s="26"/>
    </row>
    <row r="64">
      <c r="A64" s="63"/>
      <c r="B64" s="277"/>
      <c r="C64" s="67"/>
      <c r="D64" s="16"/>
      <c r="E64" s="26"/>
      <c r="F64" s="16"/>
      <c r="G64" s="16"/>
      <c r="H64" s="26"/>
    </row>
    <row r="65">
      <c r="A65" s="271" t="s">
        <v>511</v>
      </c>
      <c r="B65" s="278" t="s">
        <v>3696</v>
      </c>
      <c r="C65" s="299" t="s">
        <v>3697</v>
      </c>
      <c r="D65" s="274" t="s">
        <v>3698</v>
      </c>
      <c r="E65" s="109"/>
      <c r="F65" s="103" t="s">
        <v>3702</v>
      </c>
      <c r="G65" s="103" t="s">
        <v>3703</v>
      </c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</row>
    <row r="66">
      <c r="A66" s="275"/>
      <c r="B66" s="303" t="s">
        <v>3707</v>
      </c>
      <c r="C66" s="305" t="s">
        <v>3708</v>
      </c>
      <c r="D66" s="24" t="s">
        <v>3709</v>
      </c>
      <c r="E66" s="26"/>
      <c r="F66" s="16" t="s">
        <v>3713</v>
      </c>
      <c r="G66" s="16"/>
      <c r="H66" s="16"/>
    </row>
    <row r="67">
      <c r="A67" s="275"/>
      <c r="B67" s="66"/>
      <c r="C67" s="306"/>
      <c r="D67" s="16"/>
      <c r="E67" s="26"/>
      <c r="F67" s="16"/>
      <c r="G67" s="16"/>
      <c r="H67" s="16"/>
    </row>
    <row r="68">
      <c r="A68" s="273" t="s">
        <v>3717</v>
      </c>
      <c r="B68" s="281" t="s">
        <v>3719</v>
      </c>
      <c r="C68" s="299" t="s">
        <v>3720</v>
      </c>
      <c r="D68" s="274" t="s">
        <v>3721</v>
      </c>
      <c r="E68" s="109"/>
      <c r="F68" s="103" t="s">
        <v>3722</v>
      </c>
      <c r="G68" s="103" t="s">
        <v>3723</v>
      </c>
      <c r="H68" s="103" t="s">
        <v>3724</v>
      </c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</row>
    <row r="69">
      <c r="A69" s="44"/>
      <c r="B69" s="292"/>
      <c r="C69" s="67"/>
      <c r="D69" s="16"/>
      <c r="E69" s="62"/>
      <c r="F69" s="62"/>
      <c r="G69" s="26"/>
      <c r="H69" s="26"/>
    </row>
    <row r="70">
      <c r="A70" s="44"/>
      <c r="B70" s="292"/>
      <c r="C70" s="67"/>
      <c r="D70" s="16"/>
      <c r="E70" s="62"/>
      <c r="F70" s="62"/>
      <c r="G70" s="26"/>
      <c r="H70" s="26"/>
    </row>
    <row r="71">
      <c r="A71" s="290" t="s">
        <v>1363</v>
      </c>
      <c r="B71" s="293" t="s">
        <v>3731</v>
      </c>
      <c r="C71" s="299" t="s">
        <v>3735</v>
      </c>
      <c r="D71" s="274" t="s">
        <v>3736</v>
      </c>
      <c r="E71" s="295">
        <v>9.19819852288E11</v>
      </c>
      <c r="F71" s="295" t="s">
        <v>3737</v>
      </c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</row>
    <row r="72">
      <c r="A72" s="63"/>
      <c r="B72" s="303" t="s">
        <v>3741</v>
      </c>
      <c r="C72" s="305" t="s">
        <v>3742</v>
      </c>
      <c r="D72" s="24" t="s">
        <v>3743</v>
      </c>
      <c r="E72" s="62"/>
      <c r="F72" s="16" t="s">
        <v>3747</v>
      </c>
      <c r="G72" s="26"/>
      <c r="H72" s="26"/>
    </row>
    <row r="73">
      <c r="A73" s="63"/>
      <c r="B73" s="58"/>
      <c r="C73" s="306"/>
      <c r="D73" s="16"/>
      <c r="E73" s="62"/>
      <c r="F73" s="26"/>
      <c r="G73" s="26"/>
      <c r="H73" s="26"/>
    </row>
    <row r="74">
      <c r="A74" s="271" t="s">
        <v>3748</v>
      </c>
      <c r="B74" s="307" t="s">
        <v>3749</v>
      </c>
      <c r="C74" s="271" t="s">
        <v>3753</v>
      </c>
      <c r="D74" s="274" t="s">
        <v>3754</v>
      </c>
      <c r="E74" s="295">
        <v>9.19650582969E11</v>
      </c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</row>
    <row r="75">
      <c r="A75" s="63"/>
      <c r="B75" s="308"/>
      <c r="C75" s="309"/>
      <c r="D75" s="16"/>
      <c r="E75" s="283"/>
      <c r="F75" s="16"/>
      <c r="G75" s="16"/>
      <c r="H75" s="16"/>
    </row>
    <row r="76">
      <c r="A76" s="63"/>
      <c r="B76" s="308"/>
      <c r="C76" s="309"/>
      <c r="D76" s="16"/>
      <c r="E76" s="283"/>
      <c r="F76" s="16"/>
      <c r="G76" s="16"/>
      <c r="H76" s="16"/>
    </row>
    <row r="77">
      <c r="A77" s="271" t="s">
        <v>91</v>
      </c>
      <c r="B77" s="310" t="s">
        <v>3765</v>
      </c>
      <c r="C77" s="311" t="s">
        <v>3766</v>
      </c>
      <c r="D77" s="274" t="s">
        <v>3767</v>
      </c>
      <c r="E77" s="294" t="s">
        <v>3771</v>
      </c>
      <c r="F77" s="103" t="s">
        <v>3772</v>
      </c>
      <c r="G77" s="103" t="s">
        <v>3773</v>
      </c>
      <c r="H77" s="103" t="s">
        <v>3774</v>
      </c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</row>
    <row r="78">
      <c r="A78" s="63"/>
      <c r="B78" s="303" t="s">
        <v>3780</v>
      </c>
      <c r="C78" s="312" t="s">
        <v>3585</v>
      </c>
      <c r="D78" s="24" t="s">
        <v>3782</v>
      </c>
      <c r="E78" s="26"/>
      <c r="F78" s="16" t="s">
        <v>3786</v>
      </c>
      <c r="G78" s="16"/>
      <c r="H78" s="16"/>
    </row>
    <row r="79">
      <c r="A79" s="63"/>
      <c r="B79" s="292"/>
      <c r="C79" s="63"/>
      <c r="D79" s="16"/>
      <c r="E79" s="26"/>
      <c r="F79" s="16"/>
      <c r="G79" s="16"/>
      <c r="H79" s="16"/>
    </row>
    <row r="80">
      <c r="A80" s="269" t="s">
        <v>142</v>
      </c>
      <c r="B80" s="313" t="s">
        <v>3789</v>
      </c>
      <c r="C80" s="269" t="s">
        <v>149</v>
      </c>
      <c r="D80" s="314" t="s">
        <v>150</v>
      </c>
      <c r="E80" s="315"/>
      <c r="F80" s="316" t="s">
        <v>157</v>
      </c>
      <c r="G80" s="316" t="s">
        <v>158</v>
      </c>
      <c r="H80" s="316" t="s">
        <v>159</v>
      </c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  <c r="Z80" s="315"/>
      <c r="AA80" s="315"/>
      <c r="AB80" s="315"/>
      <c r="AC80" s="315"/>
    </row>
    <row r="81">
      <c r="A81" s="309"/>
      <c r="B81" s="303" t="s">
        <v>3800</v>
      </c>
      <c r="C81" s="312" t="s">
        <v>3801</v>
      </c>
      <c r="D81" s="60" t="s">
        <v>3802</v>
      </c>
      <c r="E81" s="283"/>
      <c r="F81" s="62" t="s">
        <v>3805</v>
      </c>
      <c r="G81" s="62"/>
      <c r="H81" s="26"/>
    </row>
    <row r="82">
      <c r="A82" s="309"/>
      <c r="B82" s="308"/>
      <c r="C82" s="309"/>
      <c r="D82" s="296"/>
      <c r="E82" s="283"/>
      <c r="F82" s="62"/>
      <c r="G82" s="62"/>
      <c r="H82" s="26"/>
    </row>
    <row r="83">
      <c r="A83" s="311" t="s">
        <v>3809</v>
      </c>
      <c r="B83" s="310" t="s">
        <v>3810</v>
      </c>
      <c r="C83" s="311" t="s">
        <v>3585</v>
      </c>
      <c r="D83" s="317" t="s">
        <v>3813</v>
      </c>
      <c r="E83" s="294" t="s">
        <v>3815</v>
      </c>
      <c r="F83" s="295" t="s">
        <v>3816</v>
      </c>
      <c r="G83" s="295" t="s">
        <v>3817</v>
      </c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</row>
    <row r="84">
      <c r="A84" s="44"/>
      <c r="B84" s="318" t="s">
        <v>3823</v>
      </c>
      <c r="C84" s="63" t="s">
        <v>970</v>
      </c>
      <c r="D84" s="24" t="s">
        <v>3824</v>
      </c>
      <c r="E84" s="26"/>
      <c r="F84" s="16"/>
      <c r="G84" s="16" t="s">
        <v>3828</v>
      </c>
      <c r="H84" s="16" t="s">
        <v>3829</v>
      </c>
    </row>
    <row r="85">
      <c r="A85" s="44"/>
      <c r="B85" s="319"/>
      <c r="C85" s="63"/>
      <c r="D85" s="16"/>
      <c r="E85" s="26"/>
      <c r="F85" s="16"/>
      <c r="G85" s="16"/>
      <c r="H85" s="26"/>
    </row>
    <row r="86">
      <c r="A86" s="290" t="s">
        <v>3833</v>
      </c>
      <c r="B86" s="278" t="s">
        <v>3834</v>
      </c>
      <c r="C86" s="271" t="s">
        <v>3835</v>
      </c>
      <c r="D86" s="274" t="s">
        <v>3836</v>
      </c>
      <c r="E86" s="109"/>
      <c r="F86" s="103" t="s">
        <v>3838</v>
      </c>
      <c r="G86" s="103" t="s">
        <v>3839</v>
      </c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</row>
    <row r="87">
      <c r="A87" s="44"/>
      <c r="B87" s="318" t="s">
        <v>822</v>
      </c>
      <c r="C87" s="70" t="s">
        <v>823</v>
      </c>
      <c r="D87" s="24" t="s">
        <v>824</v>
      </c>
      <c r="E87" s="62"/>
      <c r="F87" s="62" t="s">
        <v>828</v>
      </c>
      <c r="G87" s="62" t="s">
        <v>829</v>
      </c>
      <c r="H87" s="26"/>
    </row>
    <row r="88">
      <c r="A88" s="44"/>
      <c r="B88" s="319"/>
      <c r="C88" s="67"/>
      <c r="D88" s="16"/>
      <c r="E88" s="62"/>
      <c r="F88" s="62"/>
      <c r="G88" s="62"/>
      <c r="H88" s="26"/>
    </row>
    <row r="89">
      <c r="A89" s="290" t="s">
        <v>3847</v>
      </c>
      <c r="B89" s="293" t="s">
        <v>3848</v>
      </c>
      <c r="C89" s="299" t="s">
        <v>3849</v>
      </c>
      <c r="D89" s="274" t="s">
        <v>3850</v>
      </c>
      <c r="E89" s="295">
        <v>9.17838591865E11</v>
      </c>
      <c r="F89" s="295" t="s">
        <v>3851</v>
      </c>
      <c r="G89" s="295" t="s">
        <v>3852</v>
      </c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</row>
    <row r="90">
      <c r="A90" s="44"/>
      <c r="B90" s="320" t="s">
        <v>810</v>
      </c>
      <c r="C90" s="67" t="s">
        <v>381</v>
      </c>
      <c r="D90" s="24" t="s">
        <v>811</v>
      </c>
      <c r="E90" s="283"/>
      <c r="F90" s="62" t="s">
        <v>813</v>
      </c>
      <c r="G90" s="62" t="s">
        <v>814</v>
      </c>
      <c r="H90" s="16" t="s">
        <v>815</v>
      </c>
    </row>
    <row r="91">
      <c r="A91" s="44"/>
      <c r="B91" s="292"/>
      <c r="C91" s="67"/>
      <c r="D91" s="16"/>
      <c r="E91" s="283"/>
      <c r="F91" s="62"/>
      <c r="G91" s="62"/>
      <c r="H91" s="26"/>
    </row>
    <row r="92">
      <c r="A92" s="290" t="s">
        <v>3030</v>
      </c>
      <c r="B92" s="293" t="s">
        <v>3853</v>
      </c>
      <c r="C92" s="299" t="s">
        <v>3849</v>
      </c>
      <c r="D92" s="274" t="s">
        <v>3854</v>
      </c>
      <c r="E92" s="294" t="s">
        <v>3855</v>
      </c>
      <c r="F92" s="295" t="s">
        <v>3856</v>
      </c>
      <c r="G92" s="295" t="s">
        <v>3857</v>
      </c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</row>
    <row r="93">
      <c r="A93" s="44"/>
      <c r="B93" s="318" t="s">
        <v>3859</v>
      </c>
      <c r="C93" s="70" t="s">
        <v>823</v>
      </c>
      <c r="D93" s="24" t="s">
        <v>3860</v>
      </c>
      <c r="E93" s="283"/>
      <c r="F93" s="16" t="s">
        <v>3864</v>
      </c>
      <c r="G93" s="16"/>
      <c r="H93" s="16"/>
    </row>
    <row r="94">
      <c r="A94" s="44"/>
      <c r="B94" s="292"/>
      <c r="C94" s="67"/>
      <c r="D94" s="16"/>
      <c r="E94" s="283"/>
      <c r="F94" s="16"/>
      <c r="G94" s="16"/>
      <c r="H94" s="16"/>
    </row>
    <row r="95">
      <c r="A95" s="290" t="s">
        <v>1111</v>
      </c>
      <c r="B95" s="293" t="s">
        <v>3866</v>
      </c>
      <c r="C95" s="299" t="s">
        <v>3849</v>
      </c>
      <c r="D95" s="274" t="s">
        <v>3870</v>
      </c>
      <c r="E95" s="294" t="s">
        <v>3871</v>
      </c>
      <c r="F95" s="103" t="s">
        <v>3873</v>
      </c>
      <c r="G95" s="103" t="s">
        <v>3874</v>
      </c>
      <c r="H95" s="103" t="s">
        <v>3875</v>
      </c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</row>
    <row r="96">
      <c r="A96" s="44"/>
      <c r="B96" s="58"/>
      <c r="C96" s="44"/>
      <c r="D96" s="16"/>
      <c r="E96" s="62"/>
      <c r="F96" s="62"/>
      <c r="G96" s="62"/>
      <c r="H96" s="26"/>
    </row>
    <row r="97">
      <c r="A97" s="44"/>
      <c r="B97" s="58"/>
      <c r="C97" s="44"/>
      <c r="D97" s="16"/>
      <c r="E97" s="62"/>
      <c r="F97" s="62"/>
      <c r="G97" s="62"/>
      <c r="H97" s="26"/>
    </row>
    <row r="98">
      <c r="A98" s="290" t="s">
        <v>221</v>
      </c>
      <c r="B98" s="307" t="s">
        <v>3883</v>
      </c>
      <c r="C98" s="290" t="s">
        <v>40</v>
      </c>
      <c r="D98" s="274" t="s">
        <v>229</v>
      </c>
      <c r="E98" s="295">
        <v>4.47506774503E11</v>
      </c>
      <c r="F98" s="295" t="s">
        <v>234</v>
      </c>
      <c r="G98" s="295" t="s">
        <v>235</v>
      </c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</row>
    <row r="99">
      <c r="A99" s="44"/>
      <c r="B99" s="58"/>
      <c r="C99" s="44"/>
      <c r="D99" s="16"/>
      <c r="E99" s="62"/>
      <c r="F99" s="62"/>
      <c r="G99" s="62"/>
      <c r="H99" s="26"/>
    </row>
    <row r="100">
      <c r="A100" s="44"/>
      <c r="B100" s="58"/>
      <c r="C100" s="44"/>
      <c r="D100" s="16"/>
      <c r="E100" s="62"/>
      <c r="F100" s="62"/>
      <c r="G100" s="62"/>
      <c r="H100" s="26"/>
    </row>
    <row r="101">
      <c r="A101" s="290" t="s">
        <v>1041</v>
      </c>
      <c r="B101" s="307" t="s">
        <v>3895</v>
      </c>
      <c r="C101" s="290" t="s">
        <v>40</v>
      </c>
      <c r="D101" s="274" t="s">
        <v>3896</v>
      </c>
      <c r="E101" s="295">
        <v>9.18800271444E11</v>
      </c>
      <c r="F101" s="295" t="s">
        <v>3898</v>
      </c>
      <c r="G101" s="295" t="s">
        <v>3900</v>
      </c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</row>
    <row r="102">
      <c r="A102" s="44"/>
      <c r="B102" s="292"/>
      <c r="C102" s="67"/>
      <c r="D102" s="16"/>
      <c r="E102" s="62"/>
      <c r="F102" s="62"/>
      <c r="G102" s="26"/>
      <c r="H102" s="26"/>
    </row>
    <row r="103">
      <c r="A103" s="44"/>
      <c r="B103" s="292"/>
      <c r="C103" s="67"/>
      <c r="D103" s="16"/>
      <c r="E103" s="62"/>
      <c r="F103" s="62"/>
      <c r="G103" s="26"/>
      <c r="H103" s="26"/>
    </row>
    <row r="104">
      <c r="A104" s="290" t="s">
        <v>1960</v>
      </c>
      <c r="B104" s="293" t="s">
        <v>3907</v>
      </c>
      <c r="C104" s="299" t="s">
        <v>149</v>
      </c>
      <c r="D104" s="274" t="s">
        <v>3910</v>
      </c>
      <c r="E104" s="295">
        <v>9.19810430295E11</v>
      </c>
      <c r="F104" s="295" t="s">
        <v>3912</v>
      </c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</row>
    <row r="105">
      <c r="A105" s="44"/>
      <c r="B105" s="292"/>
      <c r="C105" s="63"/>
      <c r="D105" s="16"/>
      <c r="E105" s="62"/>
      <c r="F105" s="62"/>
      <c r="G105" s="26"/>
      <c r="H105" s="26"/>
    </row>
    <row r="106">
      <c r="A106" s="44"/>
      <c r="B106" s="292"/>
      <c r="C106" s="63"/>
      <c r="D106" s="16"/>
      <c r="E106" s="62"/>
      <c r="F106" s="62"/>
      <c r="G106" s="26"/>
      <c r="H106" s="26"/>
    </row>
    <row r="107">
      <c r="A107" s="290" t="s">
        <v>761</v>
      </c>
      <c r="B107" s="293" t="s">
        <v>3919</v>
      </c>
      <c r="C107" s="271" t="s">
        <v>3922</v>
      </c>
      <c r="D107" s="274" t="s">
        <v>3923</v>
      </c>
      <c r="E107" s="295" t="s">
        <v>3927</v>
      </c>
      <c r="F107" s="295" t="s">
        <v>3928</v>
      </c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</row>
    <row r="108">
      <c r="A108" s="44"/>
      <c r="B108" s="58"/>
      <c r="C108" s="44"/>
      <c r="D108" s="16"/>
      <c r="E108" s="283"/>
      <c r="F108" s="62"/>
      <c r="G108" s="26"/>
      <c r="H108" s="26"/>
    </row>
    <row r="109">
      <c r="A109" s="44"/>
      <c r="B109" s="58"/>
      <c r="C109" s="44"/>
      <c r="D109" s="16"/>
      <c r="E109" s="283"/>
      <c r="F109" s="62"/>
      <c r="G109" s="26"/>
      <c r="H109" s="26"/>
    </row>
    <row r="110">
      <c r="A110" s="290" t="s">
        <v>3932</v>
      </c>
      <c r="B110" s="307" t="s">
        <v>3934</v>
      </c>
      <c r="C110" s="290" t="s">
        <v>3849</v>
      </c>
      <c r="D110" s="274" t="s">
        <v>3936</v>
      </c>
      <c r="E110" s="294" t="s">
        <v>3940</v>
      </c>
      <c r="F110" s="295" t="s">
        <v>3941</v>
      </c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</row>
    <row r="111">
      <c r="A111" s="44"/>
      <c r="B111" s="292"/>
      <c r="C111" s="44"/>
      <c r="D111" s="296"/>
      <c r="E111" s="283"/>
      <c r="F111" s="62"/>
      <c r="G111" s="62"/>
      <c r="H111" s="26"/>
    </row>
    <row r="112">
      <c r="A112" s="44"/>
      <c r="B112" s="292"/>
      <c r="C112" s="44"/>
      <c r="D112" s="296"/>
      <c r="E112" s="283"/>
      <c r="F112" s="62"/>
      <c r="G112" s="62"/>
      <c r="H112" s="26"/>
    </row>
    <row r="113">
      <c r="A113" s="290" t="s">
        <v>3946</v>
      </c>
      <c r="B113" s="293" t="s">
        <v>3947</v>
      </c>
      <c r="C113" s="290" t="s">
        <v>40</v>
      </c>
      <c r="D113" s="317" t="s">
        <v>3952</v>
      </c>
      <c r="E113" s="294" t="s">
        <v>3954</v>
      </c>
      <c r="F113" s="295" t="s">
        <v>3955</v>
      </c>
      <c r="G113" s="295" t="s">
        <v>3956</v>
      </c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</row>
    <row r="114">
      <c r="A114" s="44"/>
      <c r="B114" s="292"/>
      <c r="C114" s="44"/>
      <c r="D114" s="16"/>
      <c r="E114" s="283"/>
      <c r="F114" s="62"/>
      <c r="G114" s="26"/>
      <c r="H114" s="26"/>
    </row>
    <row r="115">
      <c r="A115" s="44"/>
      <c r="B115" s="292"/>
      <c r="C115" s="44"/>
      <c r="D115" s="16"/>
      <c r="E115" s="283"/>
      <c r="F115" s="62"/>
      <c r="G115" s="26"/>
      <c r="H115" s="26"/>
    </row>
    <row r="116">
      <c r="A116" s="290" t="s">
        <v>524</v>
      </c>
      <c r="B116" s="293" t="s">
        <v>3961</v>
      </c>
      <c r="C116" s="290" t="s">
        <v>40</v>
      </c>
      <c r="D116" s="274" t="s">
        <v>3966</v>
      </c>
      <c r="E116" s="294" t="s">
        <v>3969</v>
      </c>
      <c r="F116" s="295" t="s">
        <v>3971</v>
      </c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</row>
    <row r="117">
      <c r="A117" s="44"/>
      <c r="B117" s="58"/>
      <c r="C117" s="44"/>
      <c r="D117" s="296"/>
      <c r="E117" s="283"/>
      <c r="F117" s="62"/>
      <c r="G117" s="26"/>
      <c r="H117" s="26"/>
    </row>
    <row r="118">
      <c r="A118" s="44"/>
      <c r="B118" s="58"/>
      <c r="C118" s="44"/>
      <c r="D118" s="296"/>
      <c r="E118" s="283"/>
      <c r="F118" s="62"/>
      <c r="G118" s="26"/>
      <c r="H118" s="26"/>
    </row>
    <row r="119">
      <c r="A119" s="290" t="s">
        <v>1640</v>
      </c>
      <c r="B119" s="307" t="s">
        <v>3976</v>
      </c>
      <c r="C119" s="290" t="s">
        <v>72</v>
      </c>
      <c r="D119" s="317" t="s">
        <v>3978</v>
      </c>
      <c r="E119" s="294" t="s">
        <v>3982</v>
      </c>
      <c r="F119" s="295" t="s">
        <v>3983</v>
      </c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</row>
    <row r="120">
      <c r="A120" s="63"/>
      <c r="B120" s="58"/>
      <c r="C120" s="63"/>
      <c r="D120" s="16"/>
      <c r="E120" s="283"/>
      <c r="F120" s="62"/>
      <c r="G120" s="62"/>
      <c r="H120" s="26"/>
    </row>
    <row r="121">
      <c r="A121" s="63"/>
      <c r="B121" s="58"/>
      <c r="C121" s="63"/>
      <c r="D121" s="16"/>
      <c r="E121" s="283"/>
      <c r="F121" s="62"/>
      <c r="G121" s="62"/>
      <c r="H121" s="26"/>
    </row>
    <row r="122">
      <c r="A122" s="271" t="s">
        <v>3989</v>
      </c>
      <c r="B122" s="307" t="s">
        <v>3990</v>
      </c>
      <c r="C122" s="271" t="s">
        <v>3994</v>
      </c>
      <c r="D122" s="274" t="s">
        <v>3995</v>
      </c>
      <c r="E122" s="294" t="s">
        <v>3997</v>
      </c>
      <c r="F122" s="295" t="s">
        <v>3998</v>
      </c>
      <c r="G122" s="295" t="s">
        <v>3999</v>
      </c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</row>
    <row r="123">
      <c r="A123" s="44"/>
      <c r="B123" s="58"/>
      <c r="C123" s="63"/>
      <c r="D123" s="16"/>
      <c r="E123" s="26"/>
      <c r="F123" s="16"/>
      <c r="G123" s="16"/>
      <c r="H123" s="26"/>
    </row>
    <row r="124">
      <c r="A124" s="44"/>
      <c r="B124" s="58"/>
      <c r="C124" s="63"/>
      <c r="D124" s="16"/>
      <c r="E124" s="26"/>
      <c r="F124" s="16"/>
      <c r="G124" s="16"/>
      <c r="H124" s="26"/>
    </row>
    <row r="125">
      <c r="A125" s="290" t="s">
        <v>200</v>
      </c>
      <c r="B125" s="307" t="s">
        <v>4006</v>
      </c>
      <c r="C125" s="271" t="s">
        <v>149</v>
      </c>
      <c r="D125" s="274" t="s">
        <v>209</v>
      </c>
      <c r="E125" s="109"/>
      <c r="F125" s="103" t="s">
        <v>212</v>
      </c>
      <c r="G125" s="103" t="s">
        <v>213</v>
      </c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</row>
    <row r="126">
      <c r="A126" s="44"/>
      <c r="B126" s="58"/>
      <c r="C126" s="44"/>
      <c r="D126" s="16"/>
      <c r="E126" s="283"/>
      <c r="F126" s="16"/>
      <c r="G126" s="16"/>
      <c r="H126" s="16"/>
    </row>
    <row r="127">
      <c r="A127" s="44"/>
      <c r="B127" s="58"/>
      <c r="C127" s="44"/>
      <c r="D127" s="16"/>
      <c r="E127" s="283"/>
      <c r="F127" s="16"/>
      <c r="G127" s="16"/>
      <c r="H127" s="16"/>
    </row>
    <row r="128">
      <c r="A128" s="290" t="s">
        <v>1182</v>
      </c>
      <c r="B128" s="307" t="s">
        <v>4016</v>
      </c>
      <c r="C128" s="290" t="s">
        <v>3637</v>
      </c>
      <c r="D128" s="274" t="s">
        <v>4021</v>
      </c>
      <c r="E128" s="294" t="s">
        <v>4024</v>
      </c>
      <c r="F128" s="103" t="s">
        <v>4025</v>
      </c>
      <c r="G128" s="103" t="s">
        <v>4027</v>
      </c>
      <c r="H128" s="103" t="s">
        <v>4028</v>
      </c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</row>
    <row r="129">
      <c r="A129" s="44"/>
      <c r="B129" s="58"/>
      <c r="C129" s="44"/>
      <c r="D129" s="296"/>
      <c r="E129" s="283"/>
      <c r="F129" s="62"/>
      <c r="G129" s="26"/>
      <c r="H129" s="26"/>
    </row>
    <row r="130">
      <c r="A130" s="44"/>
      <c r="B130" s="58"/>
      <c r="C130" s="44"/>
      <c r="D130" s="296"/>
      <c r="E130" s="283"/>
      <c r="F130" s="62"/>
      <c r="G130" s="26"/>
      <c r="H130" s="26"/>
    </row>
    <row r="131">
      <c r="A131" s="290" t="s">
        <v>110</v>
      </c>
      <c r="B131" s="307" t="s">
        <v>4030</v>
      </c>
      <c r="C131" s="290" t="s">
        <v>40</v>
      </c>
      <c r="D131" s="317" t="s">
        <v>115</v>
      </c>
      <c r="E131" s="294" t="s">
        <v>120</v>
      </c>
      <c r="F131" s="295" t="s">
        <v>122</v>
      </c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</row>
    <row r="132">
      <c r="A132" s="44"/>
      <c r="B132" s="58"/>
      <c r="C132" s="44"/>
      <c r="D132" s="16"/>
      <c r="E132" s="62"/>
      <c r="F132" s="16"/>
      <c r="G132" s="16"/>
      <c r="H132" s="26"/>
    </row>
    <row r="133">
      <c r="A133" s="44"/>
      <c r="B133" s="58"/>
      <c r="C133" s="44"/>
      <c r="D133" s="16"/>
      <c r="E133" s="62"/>
      <c r="F133" s="16"/>
      <c r="G133" s="16"/>
      <c r="H133" s="26"/>
    </row>
    <row r="134">
      <c r="A134" s="290" t="s">
        <v>2824</v>
      </c>
      <c r="B134" s="307" t="s">
        <v>4042</v>
      </c>
      <c r="C134" s="290" t="s">
        <v>4044</v>
      </c>
      <c r="D134" s="274" t="s">
        <v>4045</v>
      </c>
      <c r="E134" s="295" t="s">
        <v>4049</v>
      </c>
      <c r="F134" s="103" t="s">
        <v>4050</v>
      </c>
      <c r="G134" s="103" t="s">
        <v>4050</v>
      </c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</row>
    <row r="135">
      <c r="A135" s="63"/>
      <c r="B135" s="58"/>
      <c r="C135" s="67"/>
      <c r="D135" s="296"/>
      <c r="E135" s="283"/>
      <c r="F135" s="62"/>
      <c r="G135" s="62"/>
      <c r="H135" s="26"/>
    </row>
    <row r="136">
      <c r="A136" s="63"/>
      <c r="B136" s="58"/>
      <c r="C136" s="67"/>
      <c r="D136" s="296"/>
      <c r="E136" s="283"/>
      <c r="F136" s="62"/>
      <c r="G136" s="62"/>
      <c r="H136" s="26"/>
    </row>
    <row r="137">
      <c r="A137" s="271" t="s">
        <v>4055</v>
      </c>
      <c r="B137" s="307" t="s">
        <v>4056</v>
      </c>
      <c r="C137" s="299" t="s">
        <v>4060</v>
      </c>
      <c r="D137" s="317" t="s">
        <v>4061</v>
      </c>
      <c r="E137" s="294" t="s">
        <v>4063</v>
      </c>
      <c r="F137" s="295" t="s">
        <v>4064</v>
      </c>
      <c r="G137" s="295" t="s">
        <v>4065</v>
      </c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</row>
    <row r="138">
      <c r="A138" s="63"/>
      <c r="B138" s="58"/>
      <c r="C138" s="63"/>
      <c r="D138" s="296"/>
      <c r="E138" s="283"/>
      <c r="F138" s="62"/>
      <c r="G138" s="26"/>
      <c r="H138" s="26"/>
    </row>
    <row r="139">
      <c r="A139" s="63"/>
      <c r="B139" s="58"/>
      <c r="C139" s="63"/>
      <c r="D139" s="296"/>
      <c r="E139" s="283"/>
      <c r="F139" s="62"/>
      <c r="G139" s="26"/>
      <c r="H139" s="26"/>
    </row>
    <row r="140">
      <c r="A140" s="271" t="s">
        <v>4070</v>
      </c>
      <c r="B140" s="307" t="s">
        <v>4071</v>
      </c>
      <c r="C140" s="271" t="s">
        <v>4075</v>
      </c>
      <c r="D140" s="317" t="s">
        <v>4076</v>
      </c>
      <c r="E140" s="294" t="s">
        <v>4078</v>
      </c>
      <c r="F140" s="295" t="s">
        <v>4079</v>
      </c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</row>
    <row r="141">
      <c r="A141" s="44"/>
      <c r="B141" s="58"/>
      <c r="C141" s="44"/>
      <c r="D141" s="16"/>
      <c r="E141" s="283"/>
      <c r="F141" s="62"/>
      <c r="G141" s="62"/>
      <c r="H141" s="26"/>
    </row>
    <row r="142">
      <c r="A142" s="44"/>
      <c r="B142" s="58"/>
      <c r="C142" s="44"/>
      <c r="D142" s="16"/>
      <c r="E142" s="283"/>
      <c r="F142" s="62"/>
      <c r="G142" s="62"/>
      <c r="H142" s="26"/>
    </row>
    <row r="143">
      <c r="A143" s="290" t="s">
        <v>4088</v>
      </c>
      <c r="B143" s="307" t="s">
        <v>4089</v>
      </c>
      <c r="C143" s="290" t="s">
        <v>40</v>
      </c>
      <c r="D143" s="274" t="s">
        <v>4094</v>
      </c>
      <c r="E143" s="294" t="s">
        <v>4095</v>
      </c>
      <c r="F143" s="295" t="s">
        <v>4096</v>
      </c>
      <c r="G143" s="295" t="s">
        <v>4097</v>
      </c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</row>
    <row r="144">
      <c r="A144" s="44"/>
      <c r="B144" s="58"/>
      <c r="C144" s="44"/>
      <c r="D144" s="16"/>
      <c r="E144" s="283"/>
      <c r="F144" s="62"/>
      <c r="G144" s="26"/>
      <c r="H144" s="26"/>
    </row>
    <row r="145">
      <c r="A145" s="44"/>
      <c r="B145" s="58"/>
      <c r="C145" s="44"/>
      <c r="D145" s="16"/>
      <c r="E145" s="283"/>
      <c r="F145" s="62"/>
      <c r="G145" s="26"/>
      <c r="H145" s="26"/>
    </row>
    <row r="146">
      <c r="A146" s="290" t="s">
        <v>4103</v>
      </c>
      <c r="B146" s="307" t="s">
        <v>4104</v>
      </c>
      <c r="C146" s="290" t="s">
        <v>4108</v>
      </c>
      <c r="D146" s="274" t="s">
        <v>4109</v>
      </c>
      <c r="E146" s="294" t="s">
        <v>4111</v>
      </c>
      <c r="F146" s="295" t="s">
        <v>4112</v>
      </c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</row>
    <row r="147">
      <c r="A147" s="44"/>
      <c r="B147" s="58"/>
      <c r="C147" s="44"/>
      <c r="D147" s="296"/>
      <c r="E147" s="283"/>
      <c r="F147" s="62"/>
      <c r="G147" s="62"/>
      <c r="H147" s="26"/>
    </row>
    <row r="148">
      <c r="A148" s="44"/>
      <c r="B148" s="58"/>
      <c r="C148" s="44"/>
      <c r="D148" s="296"/>
      <c r="E148" s="283"/>
      <c r="F148" s="62"/>
      <c r="G148" s="62"/>
      <c r="H148" s="26"/>
    </row>
    <row r="149">
      <c r="A149" s="290" t="s">
        <v>1132</v>
      </c>
      <c r="B149" s="307" t="s">
        <v>4120</v>
      </c>
      <c r="C149" s="290" t="s">
        <v>40</v>
      </c>
      <c r="D149" s="317" t="s">
        <v>4124</v>
      </c>
      <c r="E149" s="294" t="s">
        <v>4126</v>
      </c>
      <c r="F149" s="295" t="s">
        <v>4127</v>
      </c>
      <c r="G149" s="295" t="s">
        <v>4129</v>
      </c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</row>
    <row r="150">
      <c r="A150" s="63"/>
      <c r="B150" s="58"/>
      <c r="C150" s="63"/>
      <c r="D150" s="16"/>
      <c r="E150" s="62"/>
      <c r="F150" s="62"/>
      <c r="G150" s="62"/>
      <c r="H150" s="26"/>
    </row>
    <row r="151">
      <c r="A151" s="63"/>
      <c r="B151" s="58"/>
      <c r="C151" s="63"/>
      <c r="D151" s="16"/>
      <c r="E151" s="62"/>
      <c r="F151" s="62"/>
      <c r="G151" s="62"/>
      <c r="H151" s="26"/>
    </row>
    <row r="152">
      <c r="A152" s="271" t="s">
        <v>1601</v>
      </c>
      <c r="B152" s="307" t="s">
        <v>4134</v>
      </c>
      <c r="C152" s="271" t="s">
        <v>4138</v>
      </c>
      <c r="D152" s="274" t="s">
        <v>4139</v>
      </c>
      <c r="E152" s="295">
        <v>9.19167319111E11</v>
      </c>
      <c r="F152" s="295" t="s">
        <v>4141</v>
      </c>
      <c r="G152" s="295" t="s">
        <v>4142</v>
      </c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</row>
    <row r="153">
      <c r="A153" s="63"/>
      <c r="B153" s="58"/>
      <c r="C153" s="44"/>
      <c r="D153" s="16"/>
      <c r="E153" s="62"/>
      <c r="F153" s="62"/>
      <c r="G153" s="26"/>
      <c r="H153" s="26"/>
    </row>
    <row r="154">
      <c r="A154" s="63"/>
      <c r="B154" s="58"/>
      <c r="C154" s="44"/>
      <c r="D154" s="16"/>
      <c r="E154" s="62"/>
      <c r="F154" s="62"/>
      <c r="G154" s="26"/>
      <c r="H154" s="26"/>
    </row>
    <row r="155">
      <c r="A155" s="271" t="s">
        <v>1452</v>
      </c>
      <c r="B155" s="307" t="s">
        <v>4150</v>
      </c>
      <c r="C155" s="290" t="s">
        <v>40</v>
      </c>
      <c r="D155" s="274" t="s">
        <v>4152</v>
      </c>
      <c r="E155" s="295" t="s">
        <v>4155</v>
      </c>
      <c r="F155" s="295" t="s">
        <v>4157</v>
      </c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</row>
    <row r="156">
      <c r="A156" s="44"/>
      <c r="B156" s="58"/>
      <c r="C156" s="44"/>
      <c r="D156" s="296"/>
      <c r="E156" s="283"/>
      <c r="F156" s="62"/>
      <c r="G156" s="62"/>
      <c r="H156" s="26"/>
    </row>
    <row r="157">
      <c r="A157" s="44"/>
      <c r="B157" s="58"/>
      <c r="C157" s="44"/>
      <c r="D157" s="296"/>
      <c r="E157" s="283"/>
      <c r="F157" s="62"/>
      <c r="G157" s="62"/>
      <c r="H157" s="26"/>
    </row>
    <row r="158">
      <c r="A158" s="290" t="s">
        <v>4166</v>
      </c>
      <c r="B158" s="307" t="s">
        <v>4167</v>
      </c>
      <c r="C158" s="290" t="s">
        <v>4172</v>
      </c>
      <c r="D158" s="317" t="s">
        <v>4173</v>
      </c>
      <c r="E158" s="294" t="s">
        <v>4175</v>
      </c>
      <c r="F158" s="295" t="s">
        <v>4176</v>
      </c>
      <c r="G158" s="295" t="s">
        <v>4177</v>
      </c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</row>
    <row r="159">
      <c r="A159" s="44"/>
      <c r="B159" s="292"/>
      <c r="C159" s="44"/>
      <c r="D159" s="16"/>
      <c r="E159" s="62"/>
      <c r="F159" s="62"/>
      <c r="G159" s="26"/>
      <c r="H159" s="26"/>
    </row>
    <row r="160">
      <c r="A160" s="44"/>
      <c r="B160" s="292"/>
      <c r="C160" s="44"/>
      <c r="D160" s="16"/>
      <c r="E160" s="62"/>
      <c r="F160" s="62"/>
      <c r="G160" s="26"/>
      <c r="H160" s="26"/>
    </row>
    <row r="161">
      <c r="A161" s="290" t="s">
        <v>4185</v>
      </c>
      <c r="B161" s="293" t="s">
        <v>4186</v>
      </c>
      <c r="C161" s="290" t="s">
        <v>4188</v>
      </c>
      <c r="D161" s="274" t="s">
        <v>4189</v>
      </c>
      <c r="E161" s="295">
        <v>9.19899995286E11</v>
      </c>
      <c r="F161" s="295" t="s">
        <v>4194</v>
      </c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</row>
    <row r="162">
      <c r="A162" s="44"/>
      <c r="B162" s="58"/>
      <c r="C162" s="44"/>
      <c r="D162" s="16"/>
      <c r="E162" s="62"/>
      <c r="F162" s="62"/>
      <c r="G162" s="26"/>
      <c r="H162" s="26"/>
    </row>
    <row r="163">
      <c r="A163" s="44"/>
      <c r="B163" s="58"/>
      <c r="C163" s="44"/>
      <c r="D163" s="16"/>
      <c r="E163" s="62"/>
      <c r="F163" s="62"/>
      <c r="G163" s="26"/>
      <c r="H163" s="26"/>
    </row>
    <row r="164">
      <c r="A164" s="290" t="s">
        <v>4200</v>
      </c>
      <c r="B164" s="307" t="s">
        <v>4201</v>
      </c>
      <c r="C164" s="290" t="s">
        <v>4205</v>
      </c>
      <c r="D164" s="274" t="s">
        <v>4206</v>
      </c>
      <c r="E164" s="295">
        <v>9.1962038041E11</v>
      </c>
      <c r="F164" s="295" t="s">
        <v>4208</v>
      </c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</row>
    <row r="165">
      <c r="A165" s="63"/>
      <c r="B165" s="58"/>
      <c r="C165" s="63"/>
      <c r="D165" s="16"/>
      <c r="E165" s="62"/>
      <c r="F165" s="62"/>
      <c r="G165" s="26"/>
      <c r="H165" s="26"/>
    </row>
    <row r="166">
      <c r="A166" s="63"/>
      <c r="B166" s="58"/>
      <c r="C166" s="63"/>
      <c r="D166" s="16"/>
      <c r="E166" s="62"/>
      <c r="F166" s="62"/>
      <c r="G166" s="26"/>
      <c r="H166" s="26"/>
    </row>
    <row r="167">
      <c r="A167" s="271" t="s">
        <v>67</v>
      </c>
      <c r="B167" s="307" t="s">
        <v>4213</v>
      </c>
      <c r="C167" s="271" t="s">
        <v>4217</v>
      </c>
      <c r="D167" s="274" t="s">
        <v>4218</v>
      </c>
      <c r="E167" s="295">
        <v>9.19999020076E11</v>
      </c>
      <c r="F167" s="295" t="s">
        <v>4220</v>
      </c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</row>
    <row r="168">
      <c r="A168" s="44"/>
      <c r="B168" s="58"/>
      <c r="C168" s="44"/>
      <c r="D168" s="16"/>
      <c r="E168" s="62"/>
      <c r="F168" s="62"/>
      <c r="G168" s="62"/>
      <c r="H168" s="26"/>
    </row>
    <row r="169">
      <c r="A169" s="44"/>
      <c r="B169" s="58"/>
      <c r="C169" s="44"/>
      <c r="D169" s="16"/>
      <c r="E169" s="62"/>
      <c r="F169" s="62"/>
      <c r="G169" s="62"/>
      <c r="H169" s="26"/>
    </row>
    <row r="170">
      <c r="A170" s="290" t="s">
        <v>4221</v>
      </c>
      <c r="B170" s="307" t="s">
        <v>4222</v>
      </c>
      <c r="C170" s="290" t="s">
        <v>40</v>
      </c>
      <c r="D170" s="274" t="s">
        <v>4223</v>
      </c>
      <c r="E170" s="295">
        <v>9.19900422626E11</v>
      </c>
      <c r="F170" s="295" t="s">
        <v>4224</v>
      </c>
      <c r="G170" s="295" t="s">
        <v>4225</v>
      </c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</row>
    <row r="171">
      <c r="A171" s="44"/>
      <c r="B171" s="58"/>
      <c r="C171" s="44"/>
      <c r="D171" s="16"/>
      <c r="E171" s="26"/>
      <c r="F171" s="62"/>
      <c r="G171" s="16"/>
      <c r="H171" s="26"/>
    </row>
    <row r="172">
      <c r="A172" s="44"/>
      <c r="B172" s="58"/>
      <c r="C172" s="44"/>
      <c r="D172" s="16"/>
      <c r="E172" s="26"/>
      <c r="F172" s="62"/>
      <c r="G172" s="16"/>
      <c r="H172" s="26"/>
    </row>
    <row r="173">
      <c r="A173" s="290" t="s">
        <v>1333</v>
      </c>
      <c r="B173" s="307" t="s">
        <v>4226</v>
      </c>
      <c r="C173" s="290" t="s">
        <v>4227</v>
      </c>
      <c r="D173" s="274" t="s">
        <v>4228</v>
      </c>
      <c r="E173" s="109"/>
      <c r="F173" s="295" t="s">
        <v>4229</v>
      </c>
      <c r="G173" s="103" t="s">
        <v>4230</v>
      </c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</row>
    <row r="174">
      <c r="A174" s="44"/>
      <c r="B174" s="58"/>
      <c r="C174" s="44"/>
      <c r="D174" s="16"/>
      <c r="E174" s="62"/>
      <c r="F174" s="62"/>
      <c r="G174" s="16"/>
      <c r="H174" s="26"/>
    </row>
    <row r="175">
      <c r="A175" s="44"/>
      <c r="B175" s="58"/>
      <c r="C175" s="44"/>
      <c r="D175" s="16"/>
      <c r="E175" s="62"/>
      <c r="F175" s="62"/>
      <c r="G175" s="16"/>
      <c r="H175" s="26"/>
    </row>
    <row r="176">
      <c r="A176" s="290" t="s">
        <v>4231</v>
      </c>
      <c r="B176" s="307" t="s">
        <v>4232</v>
      </c>
      <c r="C176" s="290" t="s">
        <v>3585</v>
      </c>
      <c r="D176" s="274" t="s">
        <v>4233</v>
      </c>
      <c r="E176" s="295">
        <v>9.18054125622E11</v>
      </c>
      <c r="F176" s="295" t="s">
        <v>4234</v>
      </c>
      <c r="G176" s="103" t="s">
        <v>4235</v>
      </c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</row>
    <row r="177">
      <c r="A177" s="44"/>
      <c r="B177" s="58"/>
      <c r="C177" s="44"/>
      <c r="D177" s="16"/>
      <c r="E177" s="62"/>
      <c r="F177" s="62"/>
      <c r="G177" s="62"/>
      <c r="H177" s="26"/>
    </row>
    <row r="178">
      <c r="A178" s="44"/>
      <c r="B178" s="58"/>
      <c r="C178" s="44"/>
      <c r="D178" s="16"/>
      <c r="E178" s="62"/>
      <c r="F178" s="62"/>
      <c r="G178" s="62"/>
      <c r="H178" s="26"/>
    </row>
    <row r="179">
      <c r="A179" s="290" t="s">
        <v>4236</v>
      </c>
      <c r="B179" s="307" t="s">
        <v>4237</v>
      </c>
      <c r="C179" s="290" t="s">
        <v>4238</v>
      </c>
      <c r="D179" s="274" t="s">
        <v>4239</v>
      </c>
      <c r="E179" s="295">
        <v>9.19611577725E11</v>
      </c>
      <c r="F179" s="295" t="s">
        <v>4240</v>
      </c>
      <c r="G179" s="295" t="s">
        <v>4241</v>
      </c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</row>
    <row r="180">
      <c r="A180" s="44"/>
      <c r="B180" s="58"/>
      <c r="C180" s="44"/>
      <c r="D180" s="16"/>
      <c r="E180" s="26"/>
      <c r="F180" s="16"/>
      <c r="G180" s="16"/>
      <c r="H180" s="26"/>
    </row>
    <row r="181">
      <c r="A181" s="44"/>
      <c r="B181" s="58"/>
      <c r="C181" s="44"/>
      <c r="D181" s="16"/>
      <c r="E181" s="26"/>
      <c r="F181" s="16"/>
      <c r="G181" s="16"/>
      <c r="H181" s="26"/>
    </row>
    <row r="182">
      <c r="A182" s="290" t="s">
        <v>4242</v>
      </c>
      <c r="B182" s="307" t="s">
        <v>4243</v>
      </c>
      <c r="C182" s="290" t="s">
        <v>4244</v>
      </c>
      <c r="D182" s="274" t="s">
        <v>4245</v>
      </c>
      <c r="E182" s="109"/>
      <c r="F182" s="103" t="s">
        <v>4246</v>
      </c>
      <c r="G182" s="103" t="s">
        <v>4247</v>
      </c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</row>
    <row r="183">
      <c r="A183" s="44"/>
      <c r="B183" s="58"/>
      <c r="C183" s="44"/>
      <c r="D183" s="16"/>
      <c r="E183" s="62"/>
      <c r="F183" s="62"/>
      <c r="G183" s="26"/>
      <c r="H183" s="26"/>
    </row>
    <row r="184">
      <c r="A184" s="44"/>
      <c r="B184" s="58"/>
      <c r="C184" s="44"/>
      <c r="D184" s="16"/>
      <c r="E184" s="62"/>
      <c r="F184" s="62"/>
      <c r="G184" s="26"/>
      <c r="H184" s="26"/>
    </row>
    <row r="185">
      <c r="A185" s="290" t="s">
        <v>1107</v>
      </c>
      <c r="B185" s="307" t="s">
        <v>4248</v>
      </c>
      <c r="C185" s="290" t="s">
        <v>4249</v>
      </c>
      <c r="D185" s="274" t="s">
        <v>4250</v>
      </c>
      <c r="E185" s="295" t="s">
        <v>4251</v>
      </c>
      <c r="F185" s="295" t="s">
        <v>4252</v>
      </c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</row>
    <row r="186">
      <c r="A186" s="44"/>
      <c r="B186" s="58"/>
      <c r="C186" s="44"/>
      <c r="D186" s="296"/>
      <c r="E186" s="283"/>
      <c r="F186" s="62"/>
      <c r="G186" s="26"/>
      <c r="H186" s="26"/>
    </row>
    <row r="187">
      <c r="A187" s="44"/>
      <c r="B187" s="58"/>
      <c r="C187" s="44"/>
      <c r="D187" s="296"/>
      <c r="E187" s="283"/>
      <c r="F187" s="62"/>
      <c r="G187" s="26"/>
      <c r="H187" s="26"/>
    </row>
    <row r="188">
      <c r="A188" s="290" t="s">
        <v>4253</v>
      </c>
      <c r="B188" s="307" t="s">
        <v>4254</v>
      </c>
      <c r="C188" s="290" t="s">
        <v>40</v>
      </c>
      <c r="D188" s="317" t="s">
        <v>4255</v>
      </c>
      <c r="E188" s="294" t="s">
        <v>4256</v>
      </c>
      <c r="F188" s="295" t="s">
        <v>4257</v>
      </c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</row>
    <row r="189">
      <c r="A189" s="44"/>
      <c r="B189" s="58"/>
      <c r="C189" s="44"/>
      <c r="D189" s="16"/>
      <c r="E189" s="62"/>
      <c r="F189" s="62"/>
      <c r="G189" s="62"/>
      <c r="H189" s="26"/>
    </row>
    <row r="190">
      <c r="A190" s="44"/>
      <c r="B190" s="58"/>
      <c r="C190" s="44"/>
      <c r="D190" s="16"/>
      <c r="E190" s="62"/>
      <c r="F190" s="62"/>
      <c r="G190" s="62"/>
      <c r="H190" s="26"/>
    </row>
    <row r="191">
      <c r="A191" s="290" t="s">
        <v>4258</v>
      </c>
      <c r="B191" s="307" t="s">
        <v>4259</v>
      </c>
      <c r="C191" s="290" t="s">
        <v>3637</v>
      </c>
      <c r="D191" s="274" t="s">
        <v>4260</v>
      </c>
      <c r="E191" s="295">
        <v>9.18386091798E11</v>
      </c>
      <c r="F191" s="295" t="s">
        <v>4261</v>
      </c>
      <c r="G191" s="295" t="s">
        <v>4262</v>
      </c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</row>
    <row r="192">
      <c r="A192" s="44"/>
      <c r="B192" s="58"/>
      <c r="C192" s="44"/>
      <c r="D192" s="16"/>
      <c r="E192" s="62"/>
      <c r="F192" s="62"/>
      <c r="G192" s="26"/>
      <c r="H192" s="26"/>
    </row>
    <row r="193">
      <c r="A193" s="44"/>
      <c r="B193" s="58"/>
      <c r="C193" s="44"/>
      <c r="D193" s="16"/>
      <c r="E193" s="62"/>
      <c r="F193" s="62"/>
      <c r="G193" s="26"/>
      <c r="H193" s="26"/>
    </row>
    <row r="194">
      <c r="A194" s="290" t="s">
        <v>4263</v>
      </c>
      <c r="B194" s="307" t="s">
        <v>4264</v>
      </c>
      <c r="C194" s="290" t="s">
        <v>4188</v>
      </c>
      <c r="D194" s="274" t="s">
        <v>4265</v>
      </c>
      <c r="E194" s="295">
        <v>9.18008578547E11</v>
      </c>
      <c r="F194" s="295" t="s">
        <v>4266</v>
      </c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</row>
    <row r="195">
      <c r="A195" s="44"/>
      <c r="B195" s="58"/>
      <c r="C195" s="44"/>
      <c r="D195" s="16"/>
      <c r="E195" s="62"/>
      <c r="F195" s="62"/>
      <c r="G195" s="26"/>
      <c r="H195" s="26"/>
    </row>
    <row r="196">
      <c r="A196" s="44"/>
      <c r="B196" s="58"/>
      <c r="C196" s="44"/>
      <c r="D196" s="16"/>
      <c r="E196" s="62"/>
      <c r="F196" s="62"/>
      <c r="G196" s="26"/>
      <c r="H196" s="26"/>
    </row>
    <row r="197">
      <c r="A197" s="290" t="s">
        <v>4267</v>
      </c>
      <c r="B197" s="307" t="s">
        <v>4268</v>
      </c>
      <c r="C197" s="290" t="s">
        <v>4269</v>
      </c>
      <c r="D197" s="274" t="s">
        <v>4270</v>
      </c>
      <c r="E197" s="295" t="s">
        <v>4271</v>
      </c>
      <c r="F197" s="295" t="s">
        <v>4272</v>
      </c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</row>
    <row r="198">
      <c r="A198" s="44"/>
      <c r="B198" s="58"/>
      <c r="C198" s="44"/>
      <c r="D198" s="16"/>
      <c r="E198" s="283"/>
      <c r="F198" s="62"/>
      <c r="G198" s="62"/>
      <c r="H198" s="26"/>
    </row>
    <row r="199">
      <c r="A199" s="44"/>
      <c r="B199" s="58"/>
      <c r="C199" s="44"/>
      <c r="D199" s="16"/>
      <c r="E199" s="283"/>
      <c r="F199" s="62"/>
      <c r="G199" s="62"/>
      <c r="H199" s="26"/>
    </row>
    <row r="200">
      <c r="A200" s="290" t="s">
        <v>4273</v>
      </c>
      <c r="B200" s="307" t="s">
        <v>4274</v>
      </c>
      <c r="C200" s="290" t="s">
        <v>4275</v>
      </c>
      <c r="D200" s="274" t="s">
        <v>4276</v>
      </c>
      <c r="E200" s="294">
        <v>94144.23299</v>
      </c>
      <c r="F200" s="295" t="s">
        <v>4277</v>
      </c>
      <c r="G200" s="295" t="s">
        <v>4278</v>
      </c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</row>
    <row r="201">
      <c r="A201" s="44"/>
      <c r="B201" s="58"/>
      <c r="C201" s="44"/>
      <c r="D201" s="16"/>
      <c r="E201" s="62"/>
      <c r="F201" s="62"/>
      <c r="G201" s="16"/>
      <c r="H201" s="16"/>
    </row>
    <row r="202">
      <c r="A202" s="44"/>
      <c r="B202" s="58"/>
      <c r="C202" s="44"/>
      <c r="D202" s="16"/>
      <c r="E202" s="62"/>
      <c r="F202" s="62"/>
      <c r="G202" s="16"/>
      <c r="H202" s="16"/>
    </row>
    <row r="203">
      <c r="A203" s="290" t="s">
        <v>1567</v>
      </c>
      <c r="B203" s="307" t="s">
        <v>4279</v>
      </c>
      <c r="C203" s="290" t="s">
        <v>72</v>
      </c>
      <c r="D203" s="274" t="s">
        <v>4280</v>
      </c>
      <c r="E203" s="295" t="s">
        <v>4281</v>
      </c>
      <c r="F203" s="295" t="s">
        <v>4282</v>
      </c>
      <c r="G203" s="103" t="s">
        <v>4283</v>
      </c>
      <c r="H203" s="103" t="s">
        <v>4284</v>
      </c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</row>
    <row r="204">
      <c r="A204" s="44"/>
      <c r="B204" s="58"/>
      <c r="C204" s="44"/>
      <c r="D204" s="16"/>
      <c r="E204" s="283"/>
      <c r="F204" s="62"/>
      <c r="G204" s="26"/>
      <c r="H204" s="26"/>
    </row>
    <row r="205">
      <c r="A205" s="44"/>
      <c r="B205" s="58"/>
      <c r="C205" s="44"/>
      <c r="D205" s="16"/>
      <c r="E205" s="283"/>
      <c r="F205" s="62"/>
      <c r="G205" s="26"/>
      <c r="H205" s="26"/>
    </row>
    <row r="206">
      <c r="A206" s="290" t="s">
        <v>126</v>
      </c>
      <c r="B206" s="307" t="s">
        <v>4285</v>
      </c>
      <c r="C206" s="290" t="s">
        <v>40</v>
      </c>
      <c r="D206" s="274" t="s">
        <v>130</v>
      </c>
      <c r="E206" s="294" t="s">
        <v>136</v>
      </c>
      <c r="F206" s="295" t="s">
        <v>137</v>
      </c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</row>
    <row r="207">
      <c r="A207" s="44"/>
      <c r="B207" s="58"/>
      <c r="C207" s="44"/>
      <c r="D207" s="16"/>
      <c r="E207" s="62"/>
      <c r="F207" s="62"/>
      <c r="G207" s="62"/>
      <c r="H207" s="26"/>
    </row>
    <row r="208">
      <c r="A208" s="44"/>
      <c r="B208" s="58"/>
      <c r="C208" s="44"/>
      <c r="D208" s="16"/>
      <c r="E208" s="62"/>
      <c r="F208" s="62"/>
      <c r="G208" s="62"/>
      <c r="H208" s="26"/>
    </row>
    <row r="209">
      <c r="A209" s="290" t="s">
        <v>4286</v>
      </c>
      <c r="B209" s="307" t="s">
        <v>4287</v>
      </c>
      <c r="C209" s="290" t="s">
        <v>4288</v>
      </c>
      <c r="D209" s="274" t="s">
        <v>4289</v>
      </c>
      <c r="E209" s="295">
        <v>9.19642658444E11</v>
      </c>
      <c r="F209" s="295" t="s">
        <v>4290</v>
      </c>
      <c r="G209" s="295" t="s">
        <v>4291</v>
      </c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</row>
    <row r="210">
      <c r="A210" s="44"/>
      <c r="B210" s="58"/>
      <c r="C210" s="44"/>
      <c r="D210" s="16"/>
      <c r="E210" s="62"/>
      <c r="F210" s="62"/>
      <c r="G210" s="16"/>
      <c r="H210" s="16"/>
    </row>
    <row r="211">
      <c r="A211" s="44"/>
      <c r="B211" s="58"/>
      <c r="C211" s="44"/>
      <c r="D211" s="16"/>
      <c r="E211" s="62"/>
      <c r="F211" s="62"/>
      <c r="G211" s="16"/>
      <c r="H211" s="16"/>
    </row>
    <row r="212">
      <c r="A212" s="290" t="s">
        <v>4292</v>
      </c>
      <c r="B212" s="307" t="s">
        <v>4293</v>
      </c>
      <c r="C212" s="290" t="s">
        <v>4288</v>
      </c>
      <c r="D212" s="274" t="s">
        <v>4294</v>
      </c>
      <c r="E212" s="295">
        <v>9.19706038588E11</v>
      </c>
      <c r="F212" s="295" t="s">
        <v>4295</v>
      </c>
      <c r="G212" s="103" t="s">
        <v>4296</v>
      </c>
      <c r="H212" s="103" t="s">
        <v>4297</v>
      </c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</row>
    <row r="213">
      <c r="A213" s="323"/>
      <c r="B213" s="324"/>
      <c r="C213" s="67"/>
      <c r="D213" s="325"/>
      <c r="E213" s="325"/>
      <c r="F213" s="325"/>
      <c r="G213" s="325"/>
      <c r="H213" s="325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>
      <c r="A214" s="326" t="s">
        <v>12</v>
      </c>
      <c r="I214" s="315"/>
      <c r="J214" s="315"/>
      <c r="K214" s="315"/>
      <c r="L214" s="315"/>
      <c r="M214" s="315"/>
      <c r="N214" s="315"/>
      <c r="O214" s="315"/>
      <c r="P214" s="315"/>
      <c r="Q214" s="315"/>
      <c r="R214" s="315"/>
      <c r="S214" s="315"/>
      <c r="T214" s="315"/>
      <c r="U214" s="315"/>
      <c r="V214" s="315"/>
      <c r="W214" s="315"/>
      <c r="X214" s="315"/>
      <c r="Y214" s="315"/>
      <c r="Z214" s="315"/>
      <c r="AA214" s="315"/>
      <c r="AB214" s="315"/>
      <c r="AC214" s="315"/>
    </row>
    <row r="215">
      <c r="A215" s="44"/>
      <c r="B215" s="58"/>
      <c r="C215" s="44"/>
      <c r="D215" s="16"/>
      <c r="E215" s="283"/>
      <c r="F215" s="62"/>
      <c r="G215" s="16"/>
      <c r="H215" s="26"/>
    </row>
    <row r="216">
      <c r="A216" s="77" t="s">
        <v>2966</v>
      </c>
      <c r="B216" s="78" t="s">
        <v>4298</v>
      </c>
      <c r="C216" s="77" t="s">
        <v>3637</v>
      </c>
      <c r="D216" s="79" t="s">
        <v>4299</v>
      </c>
      <c r="E216" s="327">
        <v>78295.58887</v>
      </c>
      <c r="F216" s="81" t="s">
        <v>4300</v>
      </c>
      <c r="G216" s="75" t="s">
        <v>4301</v>
      </c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</row>
    <row r="217">
      <c r="A217" s="290" t="s">
        <v>4302</v>
      </c>
      <c r="B217" s="307" t="s">
        <v>4303</v>
      </c>
      <c r="C217" s="290" t="s">
        <v>4288</v>
      </c>
      <c r="D217" s="274" t="s">
        <v>4304</v>
      </c>
      <c r="E217" s="295">
        <v>9.17676241341E11</v>
      </c>
      <c r="F217" s="295" t="s">
        <v>4305</v>
      </c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</row>
    <row r="218">
      <c r="A218" s="290" t="s">
        <v>4306</v>
      </c>
      <c r="B218" s="307" t="s">
        <v>4307</v>
      </c>
      <c r="C218" s="290" t="s">
        <v>3637</v>
      </c>
      <c r="D218" s="274" t="s">
        <v>4308</v>
      </c>
      <c r="E218" s="295">
        <v>9.18436775133E11</v>
      </c>
      <c r="F218" s="295" t="s">
        <v>4309</v>
      </c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</row>
    <row r="219">
      <c r="A219" s="271" t="s">
        <v>4310</v>
      </c>
      <c r="B219" s="281" t="s">
        <v>4311</v>
      </c>
      <c r="C219" s="299" t="s">
        <v>4312</v>
      </c>
      <c r="D219" s="274" t="s">
        <v>4313</v>
      </c>
      <c r="E219" s="103" t="s">
        <v>4314</v>
      </c>
      <c r="F219" s="103" t="s">
        <v>4315</v>
      </c>
      <c r="G219" s="103" t="s">
        <v>4316</v>
      </c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</row>
    <row r="220">
      <c r="A220" s="290" t="s">
        <v>3239</v>
      </c>
      <c r="B220" s="307" t="s">
        <v>4317</v>
      </c>
      <c r="C220" s="299" t="s">
        <v>4318</v>
      </c>
      <c r="D220" s="274" t="s">
        <v>4319</v>
      </c>
      <c r="E220" s="294" t="s">
        <v>4320</v>
      </c>
      <c r="F220" s="295" t="s">
        <v>4321</v>
      </c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</row>
    <row r="221">
      <c r="A221" s="290" t="s">
        <v>2658</v>
      </c>
      <c r="B221" s="307" t="s">
        <v>4322</v>
      </c>
      <c r="C221" s="290" t="s">
        <v>3637</v>
      </c>
      <c r="D221" s="274" t="s">
        <v>4323</v>
      </c>
      <c r="E221" s="294" t="s">
        <v>4324</v>
      </c>
      <c r="F221" s="295" t="s">
        <v>4325</v>
      </c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</row>
    <row r="222">
      <c r="A222" s="290" t="s">
        <v>2022</v>
      </c>
      <c r="B222" s="307" t="s">
        <v>4326</v>
      </c>
      <c r="C222" s="299" t="s">
        <v>4288</v>
      </c>
      <c r="D222" s="274" t="s">
        <v>4327</v>
      </c>
      <c r="E222" s="294" t="s">
        <v>4328</v>
      </c>
      <c r="F222" s="295" t="s">
        <v>4329</v>
      </c>
      <c r="G222" s="295" t="s">
        <v>4330</v>
      </c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</row>
    <row r="223">
      <c r="A223" s="290" t="s">
        <v>4331</v>
      </c>
      <c r="B223" s="307" t="s">
        <v>4332</v>
      </c>
      <c r="C223" s="271" t="s">
        <v>149</v>
      </c>
      <c r="D223" s="274" t="s">
        <v>4333</v>
      </c>
      <c r="E223" s="294" t="s">
        <v>4334</v>
      </c>
      <c r="F223" s="295" t="s">
        <v>4335</v>
      </c>
      <c r="G223" s="295" t="s">
        <v>4336</v>
      </c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</row>
    <row r="224">
      <c r="A224" s="290" t="s">
        <v>3211</v>
      </c>
      <c r="B224" s="307" t="s">
        <v>4337</v>
      </c>
      <c r="C224" s="290" t="s">
        <v>40</v>
      </c>
      <c r="D224" s="274" t="s">
        <v>4338</v>
      </c>
      <c r="E224" s="294">
        <v>98199.89954</v>
      </c>
      <c r="F224" s="295" t="s">
        <v>4339</v>
      </c>
      <c r="G224" s="295" t="s">
        <v>4340</v>
      </c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</row>
    <row r="225">
      <c r="A225" s="273" t="s">
        <v>220</v>
      </c>
      <c r="B225" s="281" t="s">
        <v>4341</v>
      </c>
      <c r="C225" s="273" t="s">
        <v>4342</v>
      </c>
      <c r="D225" s="274" t="s">
        <v>4343</v>
      </c>
      <c r="E225" s="109"/>
      <c r="F225" s="103" t="s">
        <v>4344</v>
      </c>
      <c r="G225" s="103" t="s">
        <v>4345</v>
      </c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</row>
    <row r="226">
      <c r="A226" s="273" t="s">
        <v>3581</v>
      </c>
      <c r="B226" s="281" t="s">
        <v>4346</v>
      </c>
      <c r="C226" s="273" t="s">
        <v>72</v>
      </c>
      <c r="D226" s="274" t="s">
        <v>4347</v>
      </c>
      <c r="E226" s="109"/>
      <c r="F226" s="103" t="s">
        <v>4348</v>
      </c>
      <c r="G226" s="103" t="s">
        <v>4349</v>
      </c>
      <c r="H226" s="103" t="s">
        <v>4350</v>
      </c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</row>
    <row r="227">
      <c r="A227" s="271" t="s">
        <v>4351</v>
      </c>
      <c r="B227" s="307" t="s">
        <v>4352</v>
      </c>
      <c r="C227" s="299" t="s">
        <v>40</v>
      </c>
      <c r="D227" s="274" t="s">
        <v>4353</v>
      </c>
      <c r="E227" s="103" t="s">
        <v>4354</v>
      </c>
      <c r="F227" s="103" t="s">
        <v>4355</v>
      </c>
      <c r="G227" s="103" t="s">
        <v>4356</v>
      </c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</row>
    <row r="228">
      <c r="A228" s="328" t="s">
        <v>4357</v>
      </c>
      <c r="B228" s="307" t="s">
        <v>39</v>
      </c>
      <c r="C228" s="299" t="s">
        <v>40</v>
      </c>
      <c r="D228" s="274" t="s">
        <v>41</v>
      </c>
      <c r="E228" s="103">
        <v>7.658958136E9</v>
      </c>
      <c r="F228" s="103" t="s">
        <v>44</v>
      </c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</row>
    <row r="229">
      <c r="A229" s="328" t="s">
        <v>4358</v>
      </c>
      <c r="B229" s="293" t="s">
        <v>4359</v>
      </c>
      <c r="C229" s="329" t="s">
        <v>4360</v>
      </c>
      <c r="D229" s="274" t="s">
        <v>4361</v>
      </c>
      <c r="E229" s="103" t="s">
        <v>4362</v>
      </c>
      <c r="F229" s="103" t="s">
        <v>4363</v>
      </c>
      <c r="G229" s="103" t="s">
        <v>4364</v>
      </c>
      <c r="H229" s="103" t="s">
        <v>4365</v>
      </c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</row>
    <row r="230">
      <c r="A230" s="271" t="s">
        <v>4366</v>
      </c>
      <c r="B230" s="293" t="s">
        <v>4367</v>
      </c>
      <c r="C230" s="329" t="s">
        <v>4368</v>
      </c>
      <c r="D230" s="274" t="s">
        <v>4369</v>
      </c>
      <c r="E230" s="103" t="s">
        <v>4370</v>
      </c>
      <c r="F230" s="103" t="s">
        <v>4371</v>
      </c>
      <c r="G230" s="103" t="s">
        <v>4372</v>
      </c>
      <c r="H230" s="103" t="s">
        <v>4373</v>
      </c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</row>
    <row r="231">
      <c r="A231" s="328" t="s">
        <v>4374</v>
      </c>
      <c r="B231" s="293" t="s">
        <v>4375</v>
      </c>
      <c r="C231" s="329" t="s">
        <v>4376</v>
      </c>
      <c r="D231" s="274" t="s">
        <v>4377</v>
      </c>
      <c r="E231" s="109"/>
      <c r="F231" s="103" t="s">
        <v>4378</v>
      </c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</row>
    <row r="232">
      <c r="A232" s="271" t="s">
        <v>4379</v>
      </c>
      <c r="B232" s="293" t="s">
        <v>4380</v>
      </c>
      <c r="C232" s="329" t="s">
        <v>4376</v>
      </c>
      <c r="D232" s="274" t="s">
        <v>4381</v>
      </c>
      <c r="E232" s="109"/>
      <c r="F232" s="103" t="s">
        <v>4382</v>
      </c>
      <c r="G232" s="103" t="s">
        <v>4383</v>
      </c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</row>
    <row r="233">
      <c r="A233" s="328" t="s">
        <v>4384</v>
      </c>
      <c r="B233" s="293" t="s">
        <v>4385</v>
      </c>
      <c r="C233" s="299" t="s">
        <v>40</v>
      </c>
      <c r="D233" s="274" t="s">
        <v>4386</v>
      </c>
      <c r="E233" s="109"/>
      <c r="F233" s="103" t="s">
        <v>4387</v>
      </c>
      <c r="G233" s="103" t="s">
        <v>4388</v>
      </c>
      <c r="H233" s="103" t="s">
        <v>4389</v>
      </c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</row>
    <row r="234">
      <c r="A234" s="290" t="s">
        <v>4390</v>
      </c>
      <c r="B234" s="293" t="s">
        <v>4391</v>
      </c>
      <c r="C234" s="290" t="s">
        <v>4392</v>
      </c>
      <c r="D234" s="274" t="s">
        <v>4393</v>
      </c>
      <c r="E234" s="103" t="s">
        <v>4394</v>
      </c>
      <c r="F234" s="103" t="s">
        <v>4395</v>
      </c>
      <c r="G234" s="103" t="s">
        <v>4396</v>
      </c>
      <c r="H234" s="103" t="s">
        <v>4397</v>
      </c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</row>
    <row r="235">
      <c r="A235" s="271" t="s">
        <v>4398</v>
      </c>
      <c r="B235" s="293" t="s">
        <v>4399</v>
      </c>
      <c r="C235" s="329" t="s">
        <v>4400</v>
      </c>
      <c r="D235" s="274" t="s">
        <v>4401</v>
      </c>
      <c r="E235" s="103" t="s">
        <v>4402</v>
      </c>
      <c r="F235" s="103" t="s">
        <v>4403</v>
      </c>
      <c r="G235" s="103" t="s">
        <v>4404</v>
      </c>
      <c r="H235" s="103" t="s">
        <v>4405</v>
      </c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</row>
    <row r="236">
      <c r="A236" s="271" t="s">
        <v>4406</v>
      </c>
      <c r="B236" s="293" t="s">
        <v>4407</v>
      </c>
      <c r="C236" s="329" t="s">
        <v>3697</v>
      </c>
      <c r="D236" s="274" t="s">
        <v>4408</v>
      </c>
      <c r="E236" s="103">
        <v>8.910509979E9</v>
      </c>
      <c r="F236" s="103" t="s">
        <v>4409</v>
      </c>
      <c r="G236" s="103" t="s">
        <v>4410</v>
      </c>
      <c r="H236" s="103" t="s">
        <v>4411</v>
      </c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</row>
    <row r="237">
      <c r="A237" s="290" t="s">
        <v>4412</v>
      </c>
      <c r="B237" s="272" t="s">
        <v>4413</v>
      </c>
      <c r="C237" s="329" t="s">
        <v>4376</v>
      </c>
      <c r="D237" s="274" t="s">
        <v>4414</v>
      </c>
      <c r="E237" s="103" t="s">
        <v>4415</v>
      </c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</row>
    <row r="238">
      <c r="A238" s="273" t="s">
        <v>4416</v>
      </c>
      <c r="B238" s="278" t="s">
        <v>4417</v>
      </c>
      <c r="C238" s="329" t="s">
        <v>4376</v>
      </c>
      <c r="D238" s="274" t="s">
        <v>4418</v>
      </c>
      <c r="E238" s="109"/>
      <c r="F238" s="103" t="s">
        <v>4419</v>
      </c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</row>
    <row r="239">
      <c r="A239" s="271" t="s">
        <v>165</v>
      </c>
      <c r="B239" s="281" t="s">
        <v>167</v>
      </c>
      <c r="C239" s="299" t="s">
        <v>168</v>
      </c>
      <c r="D239" s="274" t="s">
        <v>169</v>
      </c>
      <c r="E239" s="109"/>
      <c r="F239" s="103" t="s">
        <v>177</v>
      </c>
      <c r="G239" s="103" t="s">
        <v>178</v>
      </c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</row>
    <row r="240">
      <c r="A240" s="273" t="s">
        <v>4420</v>
      </c>
      <c r="B240" s="281" t="s">
        <v>4421</v>
      </c>
      <c r="C240" s="273" t="s">
        <v>40</v>
      </c>
      <c r="D240" s="274" t="s">
        <v>4422</v>
      </c>
      <c r="E240" s="109"/>
      <c r="F240" s="103" t="s">
        <v>4423</v>
      </c>
      <c r="G240" s="103" t="s">
        <v>4424</v>
      </c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</row>
    <row r="241">
      <c r="A241" s="273" t="s">
        <v>4425</v>
      </c>
      <c r="B241" s="281" t="s">
        <v>4426</v>
      </c>
      <c r="C241" s="273" t="s">
        <v>40</v>
      </c>
      <c r="D241" s="274" t="s">
        <v>4427</v>
      </c>
      <c r="E241" s="103" t="s">
        <v>4428</v>
      </c>
      <c r="F241" s="103" t="s">
        <v>4429</v>
      </c>
      <c r="G241" s="103" t="s">
        <v>4430</v>
      </c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</row>
    <row r="242">
      <c r="A242" s="290" t="s">
        <v>89</v>
      </c>
      <c r="B242" s="278" t="s">
        <v>90</v>
      </c>
      <c r="C242" s="273" t="s">
        <v>40</v>
      </c>
      <c r="D242" s="274" t="s">
        <v>95</v>
      </c>
      <c r="E242" s="103" t="s">
        <v>98</v>
      </c>
      <c r="F242" s="103" t="s">
        <v>4431</v>
      </c>
      <c r="G242" s="103" t="s">
        <v>100</v>
      </c>
      <c r="H242" s="103" t="s">
        <v>101</v>
      </c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</row>
    <row r="243">
      <c r="A243" s="273" t="s">
        <v>4432</v>
      </c>
      <c r="B243" s="278" t="s">
        <v>4433</v>
      </c>
      <c r="C243" s="273" t="s">
        <v>40</v>
      </c>
      <c r="D243" s="274" t="s">
        <v>4434</v>
      </c>
      <c r="E243" s="103" t="s">
        <v>4435</v>
      </c>
      <c r="F243" s="103" t="s">
        <v>4436</v>
      </c>
      <c r="G243" s="103" t="s">
        <v>4437</v>
      </c>
      <c r="H243" s="103" t="s">
        <v>4438</v>
      </c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</row>
    <row r="244">
      <c r="A244" s="271" t="s">
        <v>4439</v>
      </c>
      <c r="B244" s="272" t="s">
        <v>4440</v>
      </c>
      <c r="C244" s="288" t="s">
        <v>4441</v>
      </c>
      <c r="D244" s="274" t="s">
        <v>4442</v>
      </c>
      <c r="E244" s="103" t="s">
        <v>4443</v>
      </c>
      <c r="F244" s="103" t="s">
        <v>4444</v>
      </c>
      <c r="G244" s="103" t="s">
        <v>4445</v>
      </c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</row>
    <row r="245">
      <c r="A245" s="271" t="s">
        <v>4446</v>
      </c>
      <c r="B245" s="281" t="s">
        <v>4447</v>
      </c>
      <c r="C245" s="273" t="s">
        <v>40</v>
      </c>
      <c r="D245" s="274" t="s">
        <v>4448</v>
      </c>
      <c r="E245" s="103" t="s">
        <v>4449</v>
      </c>
      <c r="F245" s="103" t="s">
        <v>4450</v>
      </c>
      <c r="G245" s="103" t="s">
        <v>4451</v>
      </c>
      <c r="H245" s="103" t="s">
        <v>4452</v>
      </c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</row>
    <row r="246">
      <c r="A246" s="330" t="s">
        <v>608</v>
      </c>
      <c r="B246" s="281" t="s">
        <v>4453</v>
      </c>
      <c r="C246" s="273" t="s">
        <v>4454</v>
      </c>
      <c r="D246" s="274" t="s">
        <v>4455</v>
      </c>
      <c r="E246" s="109"/>
      <c r="F246" s="103" t="s">
        <v>4456</v>
      </c>
      <c r="G246" s="103" t="s">
        <v>4457</v>
      </c>
      <c r="H246" s="103" t="s">
        <v>4458</v>
      </c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</row>
    <row r="247">
      <c r="A247" s="330" t="s">
        <v>2178</v>
      </c>
      <c r="B247" s="281" t="s">
        <v>4459</v>
      </c>
      <c r="C247" s="273" t="s">
        <v>72</v>
      </c>
      <c r="D247" s="274" t="s">
        <v>4460</v>
      </c>
      <c r="E247" s="109"/>
      <c r="F247" s="103" t="s">
        <v>4461</v>
      </c>
      <c r="G247" s="103" t="s">
        <v>4462</v>
      </c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</row>
    <row r="248">
      <c r="A248" s="331" t="s">
        <v>4463</v>
      </c>
      <c r="B248" s="281" t="s">
        <v>3604</v>
      </c>
      <c r="C248" s="273" t="s">
        <v>4464</v>
      </c>
      <c r="D248" s="274" t="s">
        <v>4465</v>
      </c>
      <c r="E248" s="109"/>
      <c r="F248" s="103" t="s">
        <v>4466</v>
      </c>
      <c r="G248" s="103" t="s">
        <v>4467</v>
      </c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</row>
    <row r="249">
      <c r="A249" s="330" t="s">
        <v>183</v>
      </c>
      <c r="B249" s="281" t="s">
        <v>185</v>
      </c>
      <c r="C249" s="273" t="s">
        <v>187</v>
      </c>
      <c r="D249" s="274" t="s">
        <v>188</v>
      </c>
      <c r="E249" s="109"/>
      <c r="F249" s="103" t="s">
        <v>194</v>
      </c>
      <c r="G249" s="103" t="s">
        <v>195</v>
      </c>
      <c r="H249" s="103" t="s">
        <v>196</v>
      </c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</row>
    <row r="250">
      <c r="A250" s="271" t="s">
        <v>3278</v>
      </c>
      <c r="B250" s="281" t="s">
        <v>3950</v>
      </c>
      <c r="C250" s="273" t="s">
        <v>40</v>
      </c>
      <c r="D250" s="274" t="s">
        <v>4468</v>
      </c>
      <c r="E250" s="109"/>
      <c r="F250" s="103" t="s">
        <v>4469</v>
      </c>
      <c r="G250" s="103" t="s">
        <v>4470</v>
      </c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</row>
    <row r="251">
      <c r="A251" s="330" t="s">
        <v>4471</v>
      </c>
      <c r="B251" s="281" t="s">
        <v>4472</v>
      </c>
      <c r="C251" s="273" t="s">
        <v>3849</v>
      </c>
      <c r="D251" s="274" t="s">
        <v>4473</v>
      </c>
      <c r="E251" s="109"/>
      <c r="F251" s="103" t="s">
        <v>4474</v>
      </c>
      <c r="G251" s="103" t="s">
        <v>4475</v>
      </c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</row>
    <row r="252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</row>
    <row r="253">
      <c r="A253" s="330" t="s">
        <v>3093</v>
      </c>
      <c r="B253" s="281" t="s">
        <v>4476</v>
      </c>
      <c r="C253" s="273" t="s">
        <v>4477</v>
      </c>
      <c r="D253" s="274" t="s">
        <v>4478</v>
      </c>
      <c r="E253" s="109"/>
      <c r="F253" s="103" t="s">
        <v>4479</v>
      </c>
      <c r="G253" s="103" t="s">
        <v>4480</v>
      </c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</row>
    <row r="254">
      <c r="A254" s="330" t="s">
        <v>2938</v>
      </c>
      <c r="B254" s="281" t="s">
        <v>4481</v>
      </c>
      <c r="C254" s="273" t="s">
        <v>4482</v>
      </c>
      <c r="D254" s="274" t="s">
        <v>4483</v>
      </c>
      <c r="E254" s="109"/>
      <c r="F254" s="103" t="s">
        <v>4484</v>
      </c>
      <c r="G254" s="103" t="s">
        <v>4485</v>
      </c>
      <c r="H254" s="103" t="s">
        <v>4486</v>
      </c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</row>
    <row r="255">
      <c r="A255" s="330" t="s">
        <v>3885</v>
      </c>
      <c r="B255" s="281" t="s">
        <v>4487</v>
      </c>
      <c r="C255" s="273" t="s">
        <v>4488</v>
      </c>
      <c r="D255" s="274" t="s">
        <v>4489</v>
      </c>
      <c r="E255" s="109"/>
      <c r="F255" s="103" t="s">
        <v>4490</v>
      </c>
      <c r="G255" s="103" t="s">
        <v>4491</v>
      </c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</row>
    <row r="256">
      <c r="A256" s="330" t="s">
        <v>3840</v>
      </c>
      <c r="B256" s="281" t="s">
        <v>4492</v>
      </c>
      <c r="C256" s="273" t="s">
        <v>4493</v>
      </c>
      <c r="D256" s="274" t="s">
        <v>4494</v>
      </c>
      <c r="E256" s="109"/>
      <c r="F256" s="103" t="s">
        <v>4495</v>
      </c>
      <c r="G256" s="103" t="s">
        <v>4496</v>
      </c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</row>
    <row r="257">
      <c r="A257" s="330" t="s">
        <v>3493</v>
      </c>
      <c r="B257" s="281" t="s">
        <v>4497</v>
      </c>
      <c r="C257" s="299" t="s">
        <v>4498</v>
      </c>
      <c r="D257" s="274" t="s">
        <v>4499</v>
      </c>
      <c r="E257" s="109"/>
      <c r="F257" s="103" t="s">
        <v>4500</v>
      </c>
      <c r="G257" s="103" t="s">
        <v>4501</v>
      </c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</row>
    <row r="258">
      <c r="A258" s="330" t="s">
        <v>1505</v>
      </c>
      <c r="B258" s="281" t="s">
        <v>4502</v>
      </c>
      <c r="C258" s="273" t="s">
        <v>319</v>
      </c>
      <c r="D258" s="274" t="s">
        <v>4503</v>
      </c>
      <c r="E258" s="109"/>
      <c r="F258" s="103" t="s">
        <v>4504</v>
      </c>
      <c r="G258" s="103" t="s">
        <v>4505</v>
      </c>
      <c r="H258" s="103" t="s">
        <v>4506</v>
      </c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</row>
    <row r="259">
      <c r="A259" s="330" t="s">
        <v>4507</v>
      </c>
      <c r="B259" s="281" t="s">
        <v>4508</v>
      </c>
      <c r="C259" s="273" t="s">
        <v>4509</v>
      </c>
      <c r="D259" s="274" t="s">
        <v>4510</v>
      </c>
      <c r="E259" s="109"/>
      <c r="F259" s="103" t="s">
        <v>4511</v>
      </c>
      <c r="G259" s="103" t="s">
        <v>4511</v>
      </c>
      <c r="H259" s="103" t="s">
        <v>4512</v>
      </c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</row>
    <row r="260">
      <c r="A260" s="330" t="s">
        <v>2074</v>
      </c>
      <c r="B260" s="281" t="s">
        <v>4513</v>
      </c>
      <c r="C260" s="273" t="s">
        <v>365</v>
      </c>
      <c r="D260" s="274" t="s">
        <v>4514</v>
      </c>
      <c r="E260" s="109"/>
      <c r="F260" s="103" t="s">
        <v>4515</v>
      </c>
      <c r="G260" s="103" t="s">
        <v>4516</v>
      </c>
      <c r="H260" s="103" t="s">
        <v>4517</v>
      </c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</row>
    <row r="261">
      <c r="A261" s="332" t="s">
        <v>259</v>
      </c>
      <c r="B261" s="333" t="s">
        <v>260</v>
      </c>
      <c r="C261" s="334" t="s">
        <v>262</v>
      </c>
      <c r="D261" s="335" t="s">
        <v>265</v>
      </c>
      <c r="E261" s="336"/>
      <c r="F261" s="337" t="s">
        <v>271</v>
      </c>
      <c r="G261" s="337" t="s">
        <v>4518</v>
      </c>
      <c r="H261" s="336"/>
      <c r="I261" s="336"/>
      <c r="J261" s="336"/>
      <c r="K261" s="336"/>
      <c r="L261" s="336"/>
      <c r="M261" s="336"/>
      <c r="N261" s="336"/>
      <c r="O261" s="336"/>
      <c r="P261" s="336"/>
      <c r="Q261" s="336"/>
      <c r="R261" s="336"/>
      <c r="S261" s="336"/>
      <c r="T261" s="336"/>
      <c r="U261" s="336"/>
      <c r="V261" s="336"/>
      <c r="W261" s="336"/>
      <c r="X261" s="336"/>
      <c r="Y261" s="336"/>
      <c r="Z261" s="336"/>
      <c r="AA261" s="336"/>
      <c r="AB261" s="336"/>
      <c r="AC261" s="336"/>
    </row>
    <row r="262">
      <c r="A262" s="332" t="s">
        <v>273</v>
      </c>
      <c r="B262" s="333" t="s">
        <v>274</v>
      </c>
      <c r="C262" s="334" t="s">
        <v>275</v>
      </c>
      <c r="D262" s="335" t="s">
        <v>276</v>
      </c>
      <c r="E262" s="336"/>
      <c r="F262" s="337" t="s">
        <v>285</v>
      </c>
      <c r="G262" s="337" t="s">
        <v>4519</v>
      </c>
      <c r="H262" s="336"/>
      <c r="I262" s="336"/>
      <c r="J262" s="336"/>
      <c r="K262" s="336"/>
      <c r="L262" s="336"/>
      <c r="M262" s="336"/>
      <c r="N262" s="336"/>
      <c r="O262" s="336"/>
      <c r="P262" s="336"/>
      <c r="Q262" s="336"/>
      <c r="R262" s="336"/>
      <c r="S262" s="336"/>
      <c r="T262" s="336"/>
      <c r="U262" s="336"/>
      <c r="V262" s="336"/>
      <c r="W262" s="336"/>
      <c r="X262" s="336"/>
      <c r="Y262" s="336"/>
      <c r="Z262" s="336"/>
      <c r="AA262" s="336"/>
      <c r="AB262" s="336"/>
      <c r="AC262" s="336"/>
    </row>
    <row r="263">
      <c r="A263" s="330" t="s">
        <v>4008</v>
      </c>
      <c r="B263" s="281" t="s">
        <v>4520</v>
      </c>
      <c r="C263" s="273" t="s">
        <v>4521</v>
      </c>
      <c r="D263" s="274" t="s">
        <v>4522</v>
      </c>
      <c r="E263" s="109"/>
      <c r="F263" s="103" t="s">
        <v>4523</v>
      </c>
      <c r="G263" s="103" t="s">
        <v>4524</v>
      </c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</row>
    <row r="264">
      <c r="A264" s="271"/>
      <c r="B264" s="281"/>
      <c r="C264" s="338"/>
      <c r="D264" s="103"/>
      <c r="E264" s="109"/>
      <c r="F264" s="103"/>
      <c r="G264" s="103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</row>
    <row r="265">
      <c r="A265" s="271" t="s">
        <v>4525</v>
      </c>
      <c r="B265" s="281" t="s">
        <v>4526</v>
      </c>
      <c r="C265" s="273" t="s">
        <v>4527</v>
      </c>
      <c r="D265" s="274" t="s">
        <v>4528</v>
      </c>
      <c r="E265" s="109"/>
      <c r="F265" s="103" t="s">
        <v>4529</v>
      </c>
      <c r="G265" s="103" t="s">
        <v>4530</v>
      </c>
      <c r="H265" s="103" t="s">
        <v>4531</v>
      </c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</row>
    <row r="266">
      <c r="A266" s="331" t="s">
        <v>4532</v>
      </c>
      <c r="B266" s="281" t="s">
        <v>4533</v>
      </c>
      <c r="C266" s="271" t="s">
        <v>4534</v>
      </c>
      <c r="D266" s="274" t="s">
        <v>4535</v>
      </c>
      <c r="E266" s="109"/>
      <c r="F266" s="103" t="s">
        <v>4536</v>
      </c>
      <c r="G266" s="103" t="s">
        <v>4537</v>
      </c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</row>
    <row r="267">
      <c r="A267" s="330"/>
      <c r="B267" s="281"/>
      <c r="C267" s="273"/>
      <c r="D267" s="103"/>
      <c r="E267" s="109"/>
      <c r="F267" s="339"/>
      <c r="G267" s="103"/>
      <c r="H267" s="103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</row>
    <row r="268">
      <c r="A268" s="271" t="s">
        <v>3379</v>
      </c>
      <c r="B268" s="278" t="s">
        <v>4538</v>
      </c>
      <c r="C268" s="271" t="s">
        <v>40</v>
      </c>
      <c r="D268" s="274" t="s">
        <v>4539</v>
      </c>
      <c r="E268" s="109"/>
      <c r="F268" s="340" t="s">
        <v>4540</v>
      </c>
      <c r="G268" s="103" t="s">
        <v>4541</v>
      </c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</row>
    <row r="269">
      <c r="A269" s="330" t="s">
        <v>4542</v>
      </c>
      <c r="B269" s="281" t="s">
        <v>4543</v>
      </c>
      <c r="C269" s="273" t="s">
        <v>3637</v>
      </c>
      <c r="D269" s="274" t="s">
        <v>4544</v>
      </c>
      <c r="E269" s="109"/>
      <c r="F269" s="103" t="s">
        <v>4545</v>
      </c>
      <c r="G269" s="103" t="s">
        <v>4546</v>
      </c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</row>
    <row r="270">
      <c r="A270" s="330" t="s">
        <v>4547</v>
      </c>
      <c r="B270" s="281" t="s">
        <v>4548</v>
      </c>
      <c r="C270" s="273" t="s">
        <v>3697</v>
      </c>
      <c r="D270" s="274" t="s">
        <v>4549</v>
      </c>
      <c r="E270" s="109"/>
      <c r="F270" s="103" t="s">
        <v>4550</v>
      </c>
      <c r="G270" s="341" t="s">
        <v>4548</v>
      </c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</row>
    <row r="271">
      <c r="A271" s="271" t="s">
        <v>4551</v>
      </c>
      <c r="B271" s="281" t="s">
        <v>4552</v>
      </c>
      <c r="C271" s="273" t="s">
        <v>4553</v>
      </c>
      <c r="D271" s="274" t="s">
        <v>4554</v>
      </c>
      <c r="E271" s="109"/>
      <c r="F271" s="103" t="s">
        <v>4555</v>
      </c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</row>
    <row r="272">
      <c r="A272" s="330" t="s">
        <v>687</v>
      </c>
      <c r="B272" s="281" t="s">
        <v>4556</v>
      </c>
      <c r="C272" s="273" t="s">
        <v>4557</v>
      </c>
      <c r="D272" s="274" t="s">
        <v>4558</v>
      </c>
      <c r="E272" s="109"/>
      <c r="F272" s="103" t="s">
        <v>4559</v>
      </c>
      <c r="G272" s="103" t="s">
        <v>4559</v>
      </c>
      <c r="H272" s="103" t="s">
        <v>4560</v>
      </c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</row>
    <row r="273">
      <c r="A273" s="342" t="s">
        <v>315</v>
      </c>
      <c r="B273" s="343" t="s">
        <v>317</v>
      </c>
      <c r="C273" s="344" t="s">
        <v>319</v>
      </c>
      <c r="D273" s="314" t="s">
        <v>320</v>
      </c>
      <c r="E273" s="315"/>
      <c r="F273" s="316" t="s">
        <v>325</v>
      </c>
      <c r="G273" s="316" t="s">
        <v>4561</v>
      </c>
      <c r="H273" s="315"/>
      <c r="I273" s="315"/>
      <c r="J273" s="315"/>
      <c r="K273" s="315"/>
      <c r="L273" s="315"/>
      <c r="M273" s="315"/>
      <c r="N273" s="315"/>
      <c r="O273" s="315"/>
      <c r="P273" s="315"/>
      <c r="Q273" s="315"/>
      <c r="R273" s="315"/>
      <c r="S273" s="315"/>
      <c r="T273" s="315"/>
      <c r="U273" s="315"/>
      <c r="V273" s="315"/>
      <c r="W273" s="315"/>
      <c r="X273" s="315"/>
      <c r="Y273" s="315"/>
      <c r="Z273" s="315"/>
      <c r="AA273" s="315"/>
      <c r="AB273" s="315"/>
      <c r="AC273" s="315"/>
    </row>
    <row r="274">
      <c r="A274" s="330" t="s">
        <v>4562</v>
      </c>
      <c r="B274" s="281" t="s">
        <v>4563</v>
      </c>
      <c r="C274" s="273" t="s">
        <v>262</v>
      </c>
      <c r="D274" s="274" t="s">
        <v>4564</v>
      </c>
      <c r="E274" s="109"/>
      <c r="F274" s="103" t="s">
        <v>4565</v>
      </c>
      <c r="G274" s="103" t="s">
        <v>4566</v>
      </c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</row>
    <row r="275">
      <c r="A275" s="330" t="s">
        <v>3530</v>
      </c>
      <c r="B275" s="281" t="s">
        <v>4567</v>
      </c>
      <c r="C275" s="273" t="s">
        <v>4568</v>
      </c>
      <c r="D275" s="274" t="s">
        <v>4569</v>
      </c>
      <c r="E275" s="109"/>
      <c r="F275" s="103" t="s">
        <v>4570</v>
      </c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</row>
    <row r="276">
      <c r="A276" s="331" t="s">
        <v>3108</v>
      </c>
      <c r="B276" s="281" t="s">
        <v>4571</v>
      </c>
      <c r="C276" s="299" t="s">
        <v>3585</v>
      </c>
      <c r="D276" s="274" t="s">
        <v>4572</v>
      </c>
      <c r="E276" s="109"/>
      <c r="F276" s="103" t="s">
        <v>4573</v>
      </c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</row>
    <row r="277">
      <c r="A277" s="330" t="s">
        <v>3173</v>
      </c>
      <c r="B277" s="281" t="s">
        <v>1547</v>
      </c>
      <c r="C277" s="271" t="s">
        <v>611</v>
      </c>
      <c r="D277" s="274" t="s">
        <v>4574</v>
      </c>
      <c r="E277" s="109"/>
      <c r="F277" s="103" t="s">
        <v>4575</v>
      </c>
      <c r="G277" s="103" t="s">
        <v>4576</v>
      </c>
      <c r="H277" s="103" t="s">
        <v>4577</v>
      </c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</row>
    <row r="278">
      <c r="A278" s="330" t="s">
        <v>2041</v>
      </c>
      <c r="B278" s="281" t="s">
        <v>4578</v>
      </c>
      <c r="C278" s="273" t="s">
        <v>72</v>
      </c>
      <c r="D278" s="274" t="s">
        <v>4579</v>
      </c>
      <c r="E278" s="109"/>
      <c r="F278" s="103" t="s">
        <v>4580</v>
      </c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</row>
    <row r="279">
      <c r="A279" s="271" t="s">
        <v>4581</v>
      </c>
      <c r="B279" s="281" t="s">
        <v>4582</v>
      </c>
      <c r="C279" s="273" t="s">
        <v>3697</v>
      </c>
      <c r="D279" s="274" t="s">
        <v>4583</v>
      </c>
      <c r="E279" s="109"/>
      <c r="F279" s="103" t="s">
        <v>4584</v>
      </c>
      <c r="G279" s="103" t="s">
        <v>4585</v>
      </c>
      <c r="H279" s="103" t="s">
        <v>4585</v>
      </c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</row>
    <row r="280">
      <c r="A280" s="331" t="s">
        <v>3255</v>
      </c>
      <c r="B280" s="281" t="s">
        <v>4586</v>
      </c>
      <c r="C280" s="273" t="s">
        <v>4587</v>
      </c>
      <c r="D280" s="274" t="s">
        <v>4588</v>
      </c>
      <c r="E280" s="109"/>
      <c r="F280" s="103" t="s">
        <v>4589</v>
      </c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</row>
    <row r="281">
      <c r="A281" s="330" t="s">
        <v>4590</v>
      </c>
      <c r="B281" s="281" t="s">
        <v>4591</v>
      </c>
      <c r="C281" s="273" t="s">
        <v>3697</v>
      </c>
      <c r="D281" s="274" t="s">
        <v>4592</v>
      </c>
      <c r="E281" s="109"/>
      <c r="F281" s="103" t="s">
        <v>4593</v>
      </c>
      <c r="G281" s="103" t="s">
        <v>4594</v>
      </c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</row>
    <row r="282">
      <c r="A282" s="271" t="s">
        <v>4595</v>
      </c>
      <c r="B282" s="345" t="s">
        <v>4596</v>
      </c>
      <c r="C282" s="330" t="s">
        <v>72</v>
      </c>
      <c r="D282" s="274" t="s">
        <v>4597</v>
      </c>
      <c r="E282" s="109"/>
      <c r="F282" s="103" t="s">
        <v>4598</v>
      </c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</row>
    <row r="283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</row>
    <row r="284">
      <c r="A284" s="346" t="s">
        <v>4599</v>
      </c>
      <c r="B284" s="347" t="s">
        <v>4600</v>
      </c>
      <c r="C284" s="331" t="s">
        <v>72</v>
      </c>
      <c r="D284" s="274" t="s">
        <v>4601</v>
      </c>
      <c r="E284" s="109"/>
      <c r="F284" s="103" t="s">
        <v>4602</v>
      </c>
      <c r="G284" s="103" t="s">
        <v>4603</v>
      </c>
      <c r="H284" s="103" t="s">
        <v>4604</v>
      </c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</row>
    <row r="285">
      <c r="A285" s="346" t="s">
        <v>2846</v>
      </c>
      <c r="B285" s="347" t="s">
        <v>4605</v>
      </c>
      <c r="C285" s="331" t="s">
        <v>4521</v>
      </c>
      <c r="D285" s="274" t="s">
        <v>4606</v>
      </c>
      <c r="E285" s="109"/>
      <c r="F285" s="103" t="s">
        <v>4607</v>
      </c>
      <c r="G285" s="103" t="s">
        <v>4608</v>
      </c>
      <c r="H285" s="103" t="s">
        <v>4609</v>
      </c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</row>
    <row r="286">
      <c r="A286" s="348"/>
      <c r="B286" s="349"/>
      <c r="C286" s="350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</row>
    <row r="287">
      <c r="A287" s="346" t="s">
        <v>1582</v>
      </c>
      <c r="B287" s="301" t="s">
        <v>4610</v>
      </c>
      <c r="C287" s="331" t="s">
        <v>4611</v>
      </c>
      <c r="D287" s="274" t="s">
        <v>4612</v>
      </c>
      <c r="E287" s="109"/>
      <c r="F287" s="103" t="s">
        <v>4613</v>
      </c>
      <c r="G287" s="103" t="s">
        <v>4614</v>
      </c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</row>
    <row r="288">
      <c r="A288" s="346" t="s">
        <v>4615</v>
      </c>
      <c r="B288" s="351"/>
      <c r="C288" s="350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</row>
    <row r="289">
      <c r="A289" s="346" t="s">
        <v>4616</v>
      </c>
      <c r="B289" s="301" t="s">
        <v>4617</v>
      </c>
      <c r="C289" s="271" t="s">
        <v>380</v>
      </c>
      <c r="D289" s="274" t="s">
        <v>4618</v>
      </c>
      <c r="E289" s="109"/>
      <c r="F289" s="103" t="s">
        <v>4619</v>
      </c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</row>
    <row r="290">
      <c r="A290" s="352" t="s">
        <v>4620</v>
      </c>
      <c r="B290" s="347" t="s">
        <v>4621</v>
      </c>
      <c r="C290" s="353" t="s">
        <v>4622</v>
      </c>
      <c r="D290" s="274" t="s">
        <v>4623</v>
      </c>
      <c r="E290" s="109"/>
      <c r="F290" s="103" t="s">
        <v>4624</v>
      </c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</row>
    <row r="291">
      <c r="A291" s="348"/>
      <c r="B291" s="349"/>
      <c r="C291" s="354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</row>
    <row r="292">
      <c r="A292" s="348"/>
      <c r="B292" s="351"/>
      <c r="C292" s="350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</row>
    <row r="293">
      <c r="A293" s="346" t="s">
        <v>4625</v>
      </c>
      <c r="B293" s="347" t="s">
        <v>4626</v>
      </c>
      <c r="C293" s="353" t="s">
        <v>4627</v>
      </c>
      <c r="D293" s="274" t="s">
        <v>4628</v>
      </c>
      <c r="E293" s="109"/>
      <c r="F293" s="103" t="s">
        <v>4629</v>
      </c>
      <c r="G293" s="103" t="s">
        <v>4630</v>
      </c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</row>
    <row r="294">
      <c r="A294" s="348"/>
      <c r="B294" s="349"/>
      <c r="C294" s="354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3" t="s">
        <v>3849</v>
      </c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</row>
    <row r="295">
      <c r="A295" s="346" t="s">
        <v>4631</v>
      </c>
      <c r="B295" s="355" t="s">
        <v>4632</v>
      </c>
      <c r="C295" s="356" t="s">
        <v>4633</v>
      </c>
      <c r="D295" s="274" t="s">
        <v>4634</v>
      </c>
      <c r="E295" s="109"/>
      <c r="F295" s="103" t="s">
        <v>4635</v>
      </c>
      <c r="G295" s="103" t="s">
        <v>4636</v>
      </c>
      <c r="H295" s="103" t="s">
        <v>4637</v>
      </c>
      <c r="I295" s="109"/>
      <c r="J295" s="109"/>
      <c r="K295" s="109"/>
      <c r="L295" s="109"/>
      <c r="M295" s="109"/>
      <c r="N295" s="103" t="s">
        <v>3585</v>
      </c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</row>
    <row r="296">
      <c r="A296" s="348"/>
      <c r="B296" s="351"/>
      <c r="C296" s="357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3" t="s">
        <v>72</v>
      </c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</row>
    <row r="297">
      <c r="A297" s="346" t="s">
        <v>4638</v>
      </c>
      <c r="B297" s="347" t="s">
        <v>4639</v>
      </c>
      <c r="C297" s="353" t="s">
        <v>4640</v>
      </c>
      <c r="D297" s="274" t="s">
        <v>4641</v>
      </c>
      <c r="E297" s="109"/>
      <c r="F297" s="103" t="s">
        <v>4642</v>
      </c>
      <c r="G297" s="103" t="s">
        <v>4643</v>
      </c>
      <c r="H297" s="109"/>
      <c r="I297" s="109"/>
      <c r="J297" s="109"/>
      <c r="K297" s="109"/>
      <c r="L297" s="109"/>
      <c r="M297" s="109"/>
      <c r="N297" s="103" t="s">
        <v>40</v>
      </c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</row>
    <row r="298">
      <c r="A298" s="348"/>
      <c r="B298" s="349"/>
      <c r="C298" s="354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</row>
    <row r="299">
      <c r="A299" s="348"/>
      <c r="B299" s="351"/>
      <c r="C299" s="350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</row>
    <row r="300">
      <c r="A300" s="346" t="s">
        <v>4644</v>
      </c>
      <c r="B300" s="347" t="s">
        <v>4645</v>
      </c>
      <c r="C300" s="330" t="s">
        <v>40</v>
      </c>
      <c r="D300" s="274" t="s">
        <v>4646</v>
      </c>
      <c r="E300" s="109"/>
      <c r="F300" s="103" t="s">
        <v>4647</v>
      </c>
      <c r="G300" s="103" t="s">
        <v>4648</v>
      </c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</row>
    <row r="301">
      <c r="A301" s="348"/>
      <c r="B301" s="349"/>
      <c r="C301" s="350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</row>
    <row r="302">
      <c r="A302" s="346" t="s">
        <v>2438</v>
      </c>
      <c r="B302" s="347" t="s">
        <v>4649</v>
      </c>
      <c r="C302" s="352" t="s">
        <v>4650</v>
      </c>
      <c r="D302" s="274" t="s">
        <v>4651</v>
      </c>
      <c r="E302" s="109"/>
      <c r="F302" s="103" t="s">
        <v>4652</v>
      </c>
      <c r="G302" s="103" t="s">
        <v>4653</v>
      </c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</row>
    <row r="303">
      <c r="A303" s="348"/>
      <c r="B303" s="349"/>
      <c r="C303" s="350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</row>
    <row r="304">
      <c r="A304" s="346" t="s">
        <v>4654</v>
      </c>
      <c r="B304" s="347" t="s">
        <v>4655</v>
      </c>
      <c r="C304" s="271" t="s">
        <v>4656</v>
      </c>
      <c r="D304" s="274" t="s">
        <v>4657</v>
      </c>
      <c r="E304" s="109"/>
      <c r="F304" s="103" t="s">
        <v>4658</v>
      </c>
      <c r="G304" s="103" t="s">
        <v>4659</v>
      </c>
      <c r="H304" s="103" t="s">
        <v>4660</v>
      </c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</row>
    <row r="305">
      <c r="A305" s="346" t="s">
        <v>3473</v>
      </c>
      <c r="B305" s="347" t="s">
        <v>4661</v>
      </c>
      <c r="C305" s="330" t="s">
        <v>823</v>
      </c>
      <c r="D305" s="274" t="s">
        <v>4662</v>
      </c>
      <c r="E305" s="109"/>
      <c r="F305" s="103" t="s">
        <v>4663</v>
      </c>
      <c r="G305" s="103" t="s">
        <v>4664</v>
      </c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</row>
    <row r="306">
      <c r="A306" s="348"/>
      <c r="B306" s="349"/>
      <c r="C306" s="350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</row>
    <row r="307">
      <c r="A307" s="346" t="s">
        <v>3479</v>
      </c>
      <c r="B307" s="347" t="s">
        <v>4665</v>
      </c>
      <c r="C307" s="330" t="s">
        <v>4666</v>
      </c>
      <c r="D307" s="274" t="s">
        <v>4667</v>
      </c>
      <c r="E307" s="109"/>
      <c r="F307" s="103" t="s">
        <v>4668</v>
      </c>
      <c r="G307" s="103" t="s">
        <v>4669</v>
      </c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</row>
    <row r="308">
      <c r="A308" s="348"/>
      <c r="B308" s="349"/>
      <c r="C308" s="348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</row>
    <row r="309">
      <c r="A309" s="352" t="s">
        <v>4670</v>
      </c>
      <c r="B309" s="358" t="s">
        <v>4671</v>
      </c>
      <c r="C309" s="290" t="s">
        <v>4672</v>
      </c>
      <c r="D309" s="274" t="s">
        <v>4673</v>
      </c>
      <c r="E309" s="109"/>
      <c r="F309" s="103" t="s">
        <v>4674</v>
      </c>
      <c r="G309" s="103" t="s">
        <v>4675</v>
      </c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</row>
    <row r="310">
      <c r="A310" s="346" t="s">
        <v>4676</v>
      </c>
      <c r="B310" s="347" t="s">
        <v>4677</v>
      </c>
      <c r="C310" s="271" t="s">
        <v>72</v>
      </c>
      <c r="D310" s="274" t="s">
        <v>4678</v>
      </c>
      <c r="E310" s="109"/>
      <c r="F310" s="103" t="s">
        <v>4679</v>
      </c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</row>
    <row r="311">
      <c r="A311" s="346" t="s">
        <v>4680</v>
      </c>
      <c r="B311" s="301" t="s">
        <v>4681</v>
      </c>
      <c r="C311" s="271" t="s">
        <v>40</v>
      </c>
      <c r="D311" s="274" t="s">
        <v>4682</v>
      </c>
      <c r="E311" s="109"/>
      <c r="F311" s="103" t="s">
        <v>4683</v>
      </c>
      <c r="G311" s="103" t="s">
        <v>4684</v>
      </c>
      <c r="H311" s="103" t="s">
        <v>4685</v>
      </c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</row>
    <row r="312">
      <c r="A312" s="348"/>
      <c r="B312" s="351"/>
      <c r="C312" s="350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</row>
    <row r="313">
      <c r="A313" s="346" t="s">
        <v>4686</v>
      </c>
      <c r="B313" s="301" t="s">
        <v>290</v>
      </c>
      <c r="C313" s="271" t="s">
        <v>147</v>
      </c>
      <c r="D313" s="274" t="s">
        <v>292</v>
      </c>
      <c r="E313" s="109"/>
      <c r="F313" s="103" t="s">
        <v>4687</v>
      </c>
      <c r="G313" s="103" t="s">
        <v>297</v>
      </c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</row>
    <row r="314">
      <c r="A314" s="348"/>
      <c r="B314" s="351"/>
      <c r="C314" s="350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</row>
    <row r="315">
      <c r="A315" s="359" t="s">
        <v>329</v>
      </c>
      <c r="B315" s="360" t="s">
        <v>330</v>
      </c>
      <c r="C315" s="361" t="s">
        <v>331</v>
      </c>
      <c r="D315" s="335" t="s">
        <v>333</v>
      </c>
      <c r="E315" s="336"/>
      <c r="F315" s="337" t="s">
        <v>337</v>
      </c>
      <c r="G315" s="337" t="s">
        <v>4688</v>
      </c>
      <c r="H315" s="336"/>
      <c r="I315" s="336"/>
      <c r="J315" s="336"/>
      <c r="K315" s="336"/>
      <c r="L315" s="336"/>
      <c r="M315" s="336"/>
      <c r="N315" s="336"/>
      <c r="O315" s="336"/>
      <c r="P315" s="336"/>
      <c r="Q315" s="336"/>
      <c r="R315" s="336"/>
      <c r="S315" s="336"/>
      <c r="T315" s="336"/>
      <c r="U315" s="336"/>
      <c r="V315" s="336"/>
      <c r="W315" s="336"/>
      <c r="X315" s="336"/>
      <c r="Y315" s="336"/>
      <c r="Z315" s="336"/>
      <c r="AA315" s="336"/>
      <c r="AB315" s="336"/>
      <c r="AC315" s="336"/>
    </row>
    <row r="316">
      <c r="A316" s="348"/>
      <c r="B316" s="351"/>
      <c r="C316" s="350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</row>
    <row r="317">
      <c r="A317" s="346" t="s">
        <v>4689</v>
      </c>
      <c r="B317" s="362" t="s">
        <v>4690</v>
      </c>
      <c r="C317" s="271" t="s">
        <v>4691</v>
      </c>
      <c r="D317" s="274" t="s">
        <v>4692</v>
      </c>
      <c r="E317" s="109"/>
      <c r="F317" s="103" t="s">
        <v>4693</v>
      </c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</row>
    <row r="318">
      <c r="A318" s="348"/>
      <c r="B318" s="351"/>
      <c r="C318" s="350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</row>
    <row r="319">
      <c r="A319" s="346" t="s">
        <v>4694</v>
      </c>
      <c r="B319" s="362" t="s">
        <v>4695</v>
      </c>
      <c r="C319" s="271" t="s">
        <v>40</v>
      </c>
      <c r="D319" s="274" t="s">
        <v>4696</v>
      </c>
      <c r="E319" s="109"/>
      <c r="F319" s="103" t="s">
        <v>4697</v>
      </c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</row>
    <row r="320">
      <c r="A320" s="348"/>
      <c r="B320" s="351"/>
      <c r="C320" s="350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</row>
    <row r="321">
      <c r="A321" s="346" t="s">
        <v>4698</v>
      </c>
      <c r="B321" s="363" t="s">
        <v>4699</v>
      </c>
      <c r="C321" s="353" t="s">
        <v>4700</v>
      </c>
      <c r="D321" s="103" t="s">
        <v>4701</v>
      </c>
      <c r="E321" s="109"/>
      <c r="F321" s="103" t="s">
        <v>4702</v>
      </c>
      <c r="G321" s="103" t="s">
        <v>4703</v>
      </c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</row>
    <row r="322">
      <c r="A322" s="346" t="s">
        <v>1942</v>
      </c>
      <c r="B322" s="362" t="s">
        <v>4704</v>
      </c>
      <c r="C322" s="271" t="s">
        <v>4705</v>
      </c>
      <c r="D322" s="274" t="s">
        <v>4706</v>
      </c>
      <c r="E322" s="109"/>
      <c r="F322" s="103" t="s">
        <v>4707</v>
      </c>
      <c r="G322" s="103" t="s">
        <v>4708</v>
      </c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</row>
    <row r="323">
      <c r="A323" s="348"/>
      <c r="B323" s="351"/>
      <c r="C323" s="350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</row>
    <row r="324">
      <c r="A324" s="346" t="s">
        <v>3616</v>
      </c>
      <c r="B324" s="362" t="s">
        <v>4709</v>
      </c>
      <c r="C324" s="330" t="s">
        <v>4044</v>
      </c>
      <c r="D324" s="274" t="s">
        <v>4710</v>
      </c>
      <c r="E324" s="109"/>
      <c r="F324" s="103" t="s">
        <v>4711</v>
      </c>
      <c r="G324" s="103" t="s">
        <v>4712</v>
      </c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</row>
    <row r="325">
      <c r="A325" s="348"/>
      <c r="B325" s="351"/>
      <c r="C325" s="350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</row>
    <row r="326">
      <c r="A326" s="346" t="s">
        <v>4713</v>
      </c>
      <c r="B326" s="362" t="s">
        <v>4714</v>
      </c>
      <c r="C326" s="331" t="s">
        <v>3585</v>
      </c>
      <c r="D326" s="274" t="s">
        <v>4715</v>
      </c>
      <c r="E326" s="109"/>
      <c r="F326" s="103" t="s">
        <v>4716</v>
      </c>
      <c r="G326" s="103" t="s">
        <v>4717</v>
      </c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</row>
    <row r="327" ht="16.5" customHeight="1">
      <c r="A327" s="348"/>
      <c r="B327" s="351"/>
      <c r="C327" s="350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</row>
    <row r="328">
      <c r="A328" s="364" t="s">
        <v>345</v>
      </c>
      <c r="B328" s="365" t="s">
        <v>346</v>
      </c>
      <c r="C328" s="366" t="s">
        <v>4718</v>
      </c>
      <c r="D328" s="314" t="s">
        <v>355</v>
      </c>
      <c r="E328" s="315"/>
      <c r="F328" s="316" t="s">
        <v>358</v>
      </c>
      <c r="G328" s="316" t="s">
        <v>4719</v>
      </c>
      <c r="H328" s="315"/>
      <c r="I328" s="315"/>
      <c r="J328" s="315"/>
      <c r="K328" s="315"/>
      <c r="L328" s="315"/>
      <c r="M328" s="315"/>
      <c r="N328" s="315"/>
      <c r="O328" s="315"/>
      <c r="P328" s="315"/>
      <c r="Q328" s="315"/>
      <c r="R328" s="315"/>
      <c r="S328" s="315"/>
      <c r="T328" s="315"/>
      <c r="U328" s="315"/>
      <c r="V328" s="315"/>
      <c r="W328" s="315"/>
      <c r="X328" s="315"/>
      <c r="Y328" s="315"/>
      <c r="Z328" s="315"/>
      <c r="AA328" s="315"/>
      <c r="AB328" s="315"/>
      <c r="AC328" s="315"/>
    </row>
    <row r="329">
      <c r="A329" s="364" t="s">
        <v>477</v>
      </c>
      <c r="B329" s="365" t="s">
        <v>479</v>
      </c>
      <c r="C329" s="269" t="s">
        <v>40</v>
      </c>
      <c r="D329" s="314" t="s">
        <v>481</v>
      </c>
      <c r="E329" s="315"/>
      <c r="F329" s="316" t="s">
        <v>486</v>
      </c>
      <c r="G329" s="316" t="s">
        <v>4720</v>
      </c>
      <c r="H329" s="315"/>
      <c r="I329" s="315"/>
      <c r="J329" s="315"/>
      <c r="K329" s="315"/>
      <c r="L329" s="315"/>
      <c r="M329" s="315"/>
      <c r="N329" s="315"/>
      <c r="O329" s="315"/>
      <c r="P329" s="315"/>
      <c r="Q329" s="315"/>
      <c r="R329" s="315"/>
      <c r="S329" s="315"/>
      <c r="T329" s="315"/>
      <c r="U329" s="315"/>
      <c r="V329" s="315"/>
      <c r="W329" s="315"/>
      <c r="X329" s="315"/>
      <c r="Y329" s="315"/>
      <c r="Z329" s="315"/>
      <c r="AA329" s="315"/>
      <c r="AB329" s="315"/>
      <c r="AC329" s="315"/>
    </row>
    <row r="330">
      <c r="A330" s="348"/>
      <c r="B330" s="351"/>
      <c r="C330" s="350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</row>
    <row r="331">
      <c r="A331" s="346" t="s">
        <v>4721</v>
      </c>
      <c r="B331" s="367" t="s">
        <v>4722</v>
      </c>
      <c r="C331" s="271" t="s">
        <v>40</v>
      </c>
      <c r="D331" s="274" t="s">
        <v>4723</v>
      </c>
      <c r="E331" s="109"/>
      <c r="F331" s="103" t="s">
        <v>4724</v>
      </c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</row>
    <row r="332">
      <c r="A332" s="364" t="s">
        <v>463</v>
      </c>
      <c r="B332" s="365" t="s">
        <v>465</v>
      </c>
      <c r="C332" s="368" t="s">
        <v>468</v>
      </c>
      <c r="D332" s="314" t="s">
        <v>469</v>
      </c>
      <c r="E332" s="315"/>
      <c r="F332" s="316" t="s">
        <v>475</v>
      </c>
      <c r="G332" s="316" t="s">
        <v>4725</v>
      </c>
      <c r="H332" s="315"/>
      <c r="I332" s="315"/>
      <c r="J332" s="315"/>
      <c r="K332" s="315"/>
      <c r="L332" s="315"/>
      <c r="M332" s="315"/>
      <c r="N332" s="315"/>
      <c r="O332" s="315"/>
      <c r="P332" s="315"/>
      <c r="Q332" s="315"/>
      <c r="R332" s="315"/>
      <c r="S332" s="315"/>
      <c r="T332" s="315"/>
      <c r="U332" s="315"/>
      <c r="V332" s="315"/>
      <c r="W332" s="315"/>
      <c r="X332" s="315"/>
      <c r="Y332" s="315"/>
      <c r="Z332" s="315"/>
      <c r="AA332" s="315"/>
      <c r="AB332" s="315"/>
      <c r="AC332" s="315"/>
    </row>
    <row r="333">
      <c r="A333" s="348"/>
      <c r="B333" s="351"/>
      <c r="C333" s="350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</row>
    <row r="334">
      <c r="A334" s="346" t="s">
        <v>4726</v>
      </c>
      <c r="B334" s="347" t="s">
        <v>4727</v>
      </c>
      <c r="C334" s="330" t="s">
        <v>4728</v>
      </c>
      <c r="D334" s="274" t="s">
        <v>4729</v>
      </c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</row>
    <row r="335">
      <c r="A335" s="348"/>
      <c r="B335" s="351"/>
      <c r="C335" s="350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</row>
    <row r="336">
      <c r="A336" s="346" t="s">
        <v>4730</v>
      </c>
      <c r="B336" s="363" t="s">
        <v>4731</v>
      </c>
      <c r="C336" s="271" t="s">
        <v>4732</v>
      </c>
      <c r="D336" s="274" t="s">
        <v>4733</v>
      </c>
      <c r="E336" s="109"/>
      <c r="F336" s="103" t="s">
        <v>4734</v>
      </c>
      <c r="G336" s="103" t="s">
        <v>4735</v>
      </c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</row>
    <row r="337">
      <c r="A337" s="348"/>
      <c r="B337" s="351"/>
      <c r="C337" s="350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</row>
    <row r="338">
      <c r="A338" s="352" t="s">
        <v>4749</v>
      </c>
      <c r="B338" s="362" t="s">
        <v>4750</v>
      </c>
      <c r="C338" s="331" t="s">
        <v>4751</v>
      </c>
      <c r="D338" s="274" t="s">
        <v>4752</v>
      </c>
      <c r="E338" s="109"/>
      <c r="F338" s="103" t="s">
        <v>4753</v>
      </c>
      <c r="G338" s="103" t="s">
        <v>4754</v>
      </c>
      <c r="H338" s="103" t="s">
        <v>4755</v>
      </c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</row>
    <row r="339">
      <c r="A339" s="348"/>
      <c r="B339" s="351"/>
      <c r="C339" s="350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</row>
    <row r="340">
      <c r="A340" s="346" t="s">
        <v>1521</v>
      </c>
      <c r="B340" s="362" t="s">
        <v>4756</v>
      </c>
      <c r="C340" s="271" t="s">
        <v>4227</v>
      </c>
      <c r="D340" s="274" t="s">
        <v>4757</v>
      </c>
      <c r="E340" s="109"/>
      <c r="F340" s="103" t="s">
        <v>4758</v>
      </c>
      <c r="G340" s="103" t="s">
        <v>4759</v>
      </c>
      <c r="H340" s="103" t="s">
        <v>4760</v>
      </c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</row>
    <row r="341">
      <c r="A341" s="348"/>
      <c r="B341" s="351"/>
      <c r="C341" s="350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</row>
    <row r="342">
      <c r="A342" s="369" t="s">
        <v>2569</v>
      </c>
      <c r="B342" s="370" t="s">
        <v>4761</v>
      </c>
      <c r="C342" s="371" t="s">
        <v>4791</v>
      </c>
      <c r="D342" s="79" t="s">
        <v>4794</v>
      </c>
      <c r="E342" s="83"/>
      <c r="F342" s="75" t="s">
        <v>4801</v>
      </c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</row>
    <row r="343">
      <c r="A343" s="346" t="s">
        <v>4809</v>
      </c>
      <c r="B343" s="301" t="s">
        <v>4810</v>
      </c>
      <c r="C343" s="271" t="s">
        <v>40</v>
      </c>
      <c r="D343" s="274" t="s">
        <v>4812</v>
      </c>
      <c r="E343" s="109"/>
      <c r="F343" s="103" t="s">
        <v>4818</v>
      </c>
      <c r="G343" s="103" t="s">
        <v>4820</v>
      </c>
      <c r="H343" s="103" t="s">
        <v>4821</v>
      </c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</row>
    <row r="344">
      <c r="A344" s="364" t="s">
        <v>362</v>
      </c>
      <c r="B344" s="365" t="s">
        <v>363</v>
      </c>
      <c r="C344" s="269" t="s">
        <v>365</v>
      </c>
      <c r="D344" s="314" t="s">
        <v>367</v>
      </c>
      <c r="E344" s="372">
        <v>9.752587946E9</v>
      </c>
      <c r="F344" s="316" t="s">
        <v>371</v>
      </c>
      <c r="G344" s="315"/>
      <c r="H344" s="315"/>
      <c r="I344" s="315"/>
      <c r="J344" s="315"/>
      <c r="K344" s="315"/>
      <c r="L344" s="315"/>
      <c r="M344" s="315"/>
      <c r="N344" s="315"/>
      <c r="O344" s="315"/>
      <c r="P344" s="315"/>
      <c r="Q344" s="315"/>
      <c r="R344" s="315"/>
      <c r="S344" s="315"/>
      <c r="T344" s="315"/>
      <c r="U344" s="315"/>
      <c r="V344" s="315"/>
      <c r="W344" s="315"/>
      <c r="X344" s="315"/>
      <c r="Y344" s="315"/>
      <c r="Z344" s="315"/>
      <c r="AA344" s="315"/>
      <c r="AB344" s="315"/>
      <c r="AC344" s="315"/>
    </row>
    <row r="345">
      <c r="A345" s="348"/>
      <c r="B345" s="351"/>
      <c r="C345" s="350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</row>
    <row r="346">
      <c r="A346" s="346" t="s">
        <v>3962</v>
      </c>
      <c r="B346" s="367" t="s">
        <v>4843</v>
      </c>
      <c r="C346" s="271" t="s">
        <v>4867</v>
      </c>
      <c r="D346" s="274" t="s">
        <v>4869</v>
      </c>
      <c r="E346" s="109"/>
      <c r="F346" s="103" t="s">
        <v>4877</v>
      </c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</row>
    <row r="347">
      <c r="A347" s="348"/>
      <c r="B347" s="351"/>
      <c r="C347" s="350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</row>
    <row r="348">
      <c r="A348" s="375" t="s">
        <v>302</v>
      </c>
      <c r="B348" s="376" t="s">
        <v>307</v>
      </c>
      <c r="C348" s="269" t="s">
        <v>72</v>
      </c>
      <c r="D348" s="314" t="s">
        <v>308</v>
      </c>
      <c r="E348" s="315"/>
      <c r="F348" s="316" t="s">
        <v>312</v>
      </c>
      <c r="G348" s="315"/>
      <c r="H348" s="315"/>
      <c r="I348" s="315"/>
      <c r="J348" s="315"/>
      <c r="K348" s="315"/>
      <c r="L348" s="315"/>
      <c r="M348" s="315"/>
      <c r="N348" s="315"/>
      <c r="O348" s="315"/>
      <c r="P348" s="315"/>
      <c r="Q348" s="315"/>
      <c r="R348" s="315"/>
      <c r="S348" s="315"/>
      <c r="T348" s="315"/>
      <c r="U348" s="315"/>
      <c r="V348" s="315"/>
      <c r="W348" s="315"/>
      <c r="X348" s="315"/>
      <c r="Y348" s="315"/>
      <c r="Z348" s="315"/>
      <c r="AA348" s="315"/>
      <c r="AB348" s="315"/>
      <c r="AC348" s="315"/>
    </row>
    <row r="349">
      <c r="A349" s="348"/>
      <c r="B349" s="351"/>
      <c r="C349" s="350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</row>
    <row r="350">
      <c r="A350" s="346" t="s">
        <v>4922</v>
      </c>
      <c r="B350" s="362" t="s">
        <v>4925</v>
      </c>
      <c r="C350" s="271" t="s">
        <v>4926</v>
      </c>
      <c r="D350" s="274" t="s">
        <v>4928</v>
      </c>
      <c r="E350" s="109"/>
      <c r="F350" s="103" t="s">
        <v>4930</v>
      </c>
      <c r="G350" s="103" t="s">
        <v>4930</v>
      </c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</row>
    <row r="351">
      <c r="A351" s="348"/>
      <c r="B351" s="351"/>
      <c r="C351" s="350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</row>
    <row r="352">
      <c r="A352" s="364" t="s">
        <v>433</v>
      </c>
      <c r="B352" s="377" t="s">
        <v>4955</v>
      </c>
      <c r="C352" s="269" t="s">
        <v>454</v>
      </c>
      <c r="D352" s="314" t="s">
        <v>455</v>
      </c>
      <c r="E352" s="315"/>
      <c r="F352" s="316" t="s">
        <v>458</v>
      </c>
      <c r="G352" s="316" t="s">
        <v>4988</v>
      </c>
      <c r="H352" s="315"/>
      <c r="I352" s="315"/>
      <c r="J352" s="315"/>
      <c r="K352" s="315"/>
      <c r="L352" s="315"/>
      <c r="M352" s="315"/>
      <c r="N352" s="315"/>
      <c r="O352" s="315"/>
      <c r="P352" s="315"/>
      <c r="Q352" s="315"/>
      <c r="R352" s="315"/>
      <c r="S352" s="315"/>
      <c r="T352" s="315"/>
      <c r="U352" s="315"/>
      <c r="V352" s="315"/>
      <c r="W352" s="315"/>
      <c r="X352" s="315"/>
      <c r="Y352" s="315"/>
      <c r="Z352" s="315"/>
      <c r="AA352" s="315"/>
      <c r="AB352" s="315"/>
      <c r="AC352" s="315"/>
    </row>
    <row r="353">
      <c r="A353" s="348"/>
      <c r="B353" s="351"/>
      <c r="C353" s="350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</row>
    <row r="354">
      <c r="A354" s="346" t="s">
        <v>5006</v>
      </c>
      <c r="B354" s="301" t="s">
        <v>5007</v>
      </c>
      <c r="C354" s="271" t="s">
        <v>40</v>
      </c>
      <c r="D354" s="274" t="s">
        <v>5009</v>
      </c>
      <c r="E354" s="109"/>
      <c r="F354" s="103" t="s">
        <v>5011</v>
      </c>
      <c r="G354" s="103" t="s">
        <v>5013</v>
      </c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</row>
    <row r="355">
      <c r="A355" s="348"/>
      <c r="B355" s="351"/>
      <c r="C355" s="350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</row>
    <row r="356">
      <c r="A356" s="346" t="s">
        <v>5029</v>
      </c>
      <c r="B356" s="362" t="s">
        <v>5030</v>
      </c>
      <c r="C356" s="271" t="s">
        <v>5031</v>
      </c>
      <c r="D356" s="274" t="s">
        <v>5032</v>
      </c>
      <c r="E356" s="109"/>
      <c r="F356" s="103" t="s">
        <v>5038</v>
      </c>
      <c r="G356" s="103" t="s">
        <v>5039</v>
      </c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</row>
    <row r="357">
      <c r="A357" s="348"/>
      <c r="B357" s="351"/>
      <c r="C357" s="350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</row>
    <row r="358">
      <c r="A358" s="346" t="s">
        <v>5049</v>
      </c>
      <c r="B358" s="362" t="s">
        <v>5050</v>
      </c>
      <c r="C358" s="271" t="s">
        <v>72</v>
      </c>
      <c r="D358" s="274" t="s">
        <v>5051</v>
      </c>
      <c r="E358" s="109"/>
      <c r="F358" s="103" t="s">
        <v>5054</v>
      </c>
      <c r="G358" s="103" t="s">
        <v>5055</v>
      </c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</row>
    <row r="359">
      <c r="A359" s="348"/>
      <c r="B359" s="351"/>
      <c r="C359" s="350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</row>
    <row r="360">
      <c r="A360" s="346" t="s">
        <v>5065</v>
      </c>
      <c r="B360" s="362" t="s">
        <v>5066</v>
      </c>
      <c r="C360" s="382" t="s">
        <v>5069</v>
      </c>
      <c r="D360" s="274" t="s">
        <v>5072</v>
      </c>
      <c r="E360" s="109"/>
      <c r="F360" s="103" t="s">
        <v>5074</v>
      </c>
      <c r="G360" s="103" t="s">
        <v>5076</v>
      </c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</row>
    <row r="361">
      <c r="A361" s="348"/>
      <c r="B361" s="351"/>
      <c r="C361" s="350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</row>
    <row r="362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</row>
    <row r="363">
      <c r="A363" s="348"/>
      <c r="B363" s="351"/>
      <c r="C363" s="350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</row>
    <row r="364">
      <c r="A364" s="346" t="s">
        <v>5092</v>
      </c>
      <c r="B364" s="301" t="s">
        <v>5093</v>
      </c>
      <c r="C364" s="271" t="s">
        <v>4477</v>
      </c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</row>
    <row r="365">
      <c r="A365" s="348"/>
      <c r="B365" s="351"/>
      <c r="C365" s="350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</row>
    <row r="366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</row>
    <row r="367">
      <c r="A367" s="348"/>
      <c r="B367" s="351"/>
      <c r="C367" s="350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</row>
    <row r="368">
      <c r="A368" s="364" t="s">
        <v>377</v>
      </c>
      <c r="B368" s="365" t="s">
        <v>378</v>
      </c>
      <c r="C368" s="269" t="s">
        <v>380</v>
      </c>
      <c r="D368" s="314" t="s">
        <v>384</v>
      </c>
      <c r="E368" s="315"/>
      <c r="F368" s="316" t="s">
        <v>386</v>
      </c>
      <c r="G368" s="316" t="s">
        <v>5126</v>
      </c>
      <c r="H368" s="315"/>
      <c r="I368" s="315"/>
      <c r="J368" s="315"/>
      <c r="K368" s="315"/>
      <c r="L368" s="315"/>
      <c r="M368" s="315"/>
      <c r="N368" s="315"/>
      <c r="O368" s="315"/>
      <c r="P368" s="315"/>
      <c r="Q368" s="315"/>
      <c r="R368" s="315"/>
      <c r="S368" s="315"/>
      <c r="T368" s="315"/>
      <c r="U368" s="315"/>
      <c r="V368" s="315"/>
      <c r="W368" s="315"/>
      <c r="X368" s="315"/>
      <c r="Y368" s="315"/>
      <c r="Z368" s="315"/>
      <c r="AA368" s="315"/>
      <c r="AB368" s="315"/>
      <c r="AC368" s="315"/>
    </row>
    <row r="369">
      <c r="A369" s="348"/>
      <c r="B369" s="351"/>
      <c r="C369" s="350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</row>
    <row r="370">
      <c r="A370" s="346"/>
      <c r="B370" s="362"/>
      <c r="C370" s="271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</row>
    <row r="371">
      <c r="A371" s="271" t="s">
        <v>5145</v>
      </c>
      <c r="B371" s="362" t="s">
        <v>5148</v>
      </c>
      <c r="C371" s="271" t="s">
        <v>40</v>
      </c>
      <c r="D371" s="274" t="s">
        <v>5151</v>
      </c>
      <c r="E371" s="109"/>
      <c r="F371" s="103" t="s">
        <v>5155</v>
      </c>
      <c r="G371" s="103" t="s">
        <v>5156</v>
      </c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</row>
    <row r="372">
      <c r="A372" s="271" t="s">
        <v>5164</v>
      </c>
      <c r="B372" s="301" t="s">
        <v>5166</v>
      </c>
      <c r="C372" s="271" t="s">
        <v>3849</v>
      </c>
      <c r="D372" s="274" t="s">
        <v>5169</v>
      </c>
      <c r="E372" s="109"/>
      <c r="F372" s="103" t="s">
        <v>5177</v>
      </c>
      <c r="G372" s="103" t="s">
        <v>5179</v>
      </c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</row>
    <row r="373">
      <c r="A373" s="271" t="s">
        <v>5187</v>
      </c>
      <c r="B373" s="351"/>
      <c r="C373" s="350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</row>
    <row r="374">
      <c r="A374" s="271" t="s">
        <v>5198</v>
      </c>
      <c r="B374" s="362" t="s">
        <v>5199</v>
      </c>
      <c r="C374" s="271" t="s">
        <v>5200</v>
      </c>
      <c r="D374" s="274" t="s">
        <v>5202</v>
      </c>
      <c r="E374" s="109"/>
      <c r="F374" s="103" t="s">
        <v>5210</v>
      </c>
      <c r="G374" s="103" t="s">
        <v>5211</v>
      </c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</row>
    <row r="375">
      <c r="A375" s="271"/>
      <c r="B375" s="351"/>
      <c r="C375" s="350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</row>
    <row r="376">
      <c r="A376" s="271"/>
      <c r="B376" s="351"/>
      <c r="C376" s="350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</row>
    <row r="377">
      <c r="A377" s="271" t="s">
        <v>5238</v>
      </c>
      <c r="B377" s="362" t="s">
        <v>5239</v>
      </c>
      <c r="C377" s="271" t="s">
        <v>5269</v>
      </c>
      <c r="D377" s="274" t="s">
        <v>5270</v>
      </c>
      <c r="E377" s="109"/>
      <c r="F377" s="103" t="s">
        <v>5277</v>
      </c>
      <c r="G377" s="103" t="s">
        <v>5278</v>
      </c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</row>
    <row r="378">
      <c r="A378" s="271" t="s">
        <v>4762</v>
      </c>
      <c r="B378" s="362" t="s">
        <v>5286</v>
      </c>
      <c r="C378" s="271" t="s">
        <v>72</v>
      </c>
      <c r="D378" s="274" t="s">
        <v>5287</v>
      </c>
      <c r="E378" s="109"/>
      <c r="F378" s="103" t="s">
        <v>5294</v>
      </c>
      <c r="G378" s="103" t="s">
        <v>5296</v>
      </c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</row>
    <row r="379">
      <c r="A379" s="271" t="s">
        <v>1654</v>
      </c>
      <c r="B379" s="362" t="s">
        <v>5305</v>
      </c>
      <c r="C379" s="330" t="s">
        <v>5308</v>
      </c>
      <c r="D379" s="274" t="s">
        <v>5310</v>
      </c>
      <c r="E379" s="109"/>
      <c r="F379" s="103" t="s">
        <v>5318</v>
      </c>
      <c r="G379" s="103" t="s">
        <v>5320</v>
      </c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</row>
    <row r="380">
      <c r="A380" s="269" t="s">
        <v>493</v>
      </c>
      <c r="B380" s="365" t="s">
        <v>494</v>
      </c>
      <c r="C380" s="269" t="s">
        <v>72</v>
      </c>
      <c r="D380" s="314" t="s">
        <v>497</v>
      </c>
      <c r="E380" s="315"/>
      <c r="F380" s="316" t="s">
        <v>499</v>
      </c>
      <c r="G380" s="316" t="s">
        <v>5341</v>
      </c>
      <c r="H380" s="315"/>
      <c r="I380" s="315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  <c r="Z380" s="315"/>
      <c r="AA380" s="315"/>
      <c r="AB380" s="315"/>
      <c r="AC380" s="315"/>
    </row>
    <row r="381">
      <c r="A381" s="271" t="s">
        <v>3238</v>
      </c>
      <c r="B381" s="362" t="s">
        <v>2562</v>
      </c>
      <c r="C381" s="271" t="s">
        <v>40</v>
      </c>
      <c r="D381" s="274" t="s">
        <v>5353</v>
      </c>
      <c r="E381" s="109"/>
      <c r="F381" s="103" t="s">
        <v>5364</v>
      </c>
      <c r="G381" s="103" t="s">
        <v>5365</v>
      </c>
      <c r="H381" s="103" t="s">
        <v>5366</v>
      </c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</row>
    <row r="382">
      <c r="A382" s="271" t="s">
        <v>5377</v>
      </c>
      <c r="B382" s="362" t="s">
        <v>5379</v>
      </c>
      <c r="C382" s="271" t="s">
        <v>40</v>
      </c>
      <c r="D382" s="274" t="s">
        <v>5383</v>
      </c>
      <c r="E382" s="109"/>
      <c r="F382" s="103" t="s">
        <v>5390</v>
      </c>
      <c r="G382" s="103" t="s">
        <v>5392</v>
      </c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</row>
    <row r="383">
      <c r="A383" s="271"/>
      <c r="B383" s="362" t="s">
        <v>5401</v>
      </c>
      <c r="C383" s="271" t="s">
        <v>5200</v>
      </c>
      <c r="D383" s="274" t="s">
        <v>5404</v>
      </c>
      <c r="E383" s="109"/>
      <c r="F383" s="103" t="s">
        <v>5413</v>
      </c>
      <c r="G383" s="103" t="s">
        <v>5415</v>
      </c>
      <c r="H383" s="103" t="s">
        <v>5416</v>
      </c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</row>
    <row r="384">
      <c r="A384" s="271" t="s">
        <v>404</v>
      </c>
      <c r="B384" s="362" t="s">
        <v>5424</v>
      </c>
      <c r="C384" s="271" t="s">
        <v>40</v>
      </c>
      <c r="D384" s="274" t="s">
        <v>5429</v>
      </c>
      <c r="E384" s="109"/>
      <c r="F384" s="103" t="s">
        <v>5434</v>
      </c>
      <c r="G384" s="103" t="s">
        <v>5436</v>
      </c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</row>
    <row r="385">
      <c r="A385" s="269"/>
      <c r="B385" s="365" t="s">
        <v>405</v>
      </c>
      <c r="C385" s="269" t="s">
        <v>406</v>
      </c>
      <c r="D385" s="314" t="s">
        <v>407</v>
      </c>
      <c r="E385" s="315"/>
      <c r="F385" s="316" t="s">
        <v>412</v>
      </c>
      <c r="G385" s="316" t="s">
        <v>5454</v>
      </c>
      <c r="H385" s="316" t="s">
        <v>5455</v>
      </c>
      <c r="I385" s="315"/>
      <c r="J385" s="315"/>
      <c r="K385" s="315"/>
      <c r="L385" s="315"/>
      <c r="M385" s="315"/>
      <c r="N385" s="315"/>
      <c r="O385" s="315"/>
      <c r="P385" s="315"/>
      <c r="Q385" s="315"/>
      <c r="R385" s="315"/>
      <c r="S385" s="315"/>
      <c r="T385" s="315"/>
      <c r="U385" s="315"/>
      <c r="V385" s="315"/>
      <c r="W385" s="315"/>
      <c r="X385" s="315"/>
      <c r="Y385" s="315"/>
      <c r="Z385" s="315"/>
      <c r="AA385" s="315"/>
      <c r="AB385" s="315"/>
      <c r="AC385" s="315"/>
    </row>
    <row r="386">
      <c r="A386" s="269"/>
      <c r="B386" s="365" t="s">
        <v>423</v>
      </c>
      <c r="C386" s="269" t="s">
        <v>72</v>
      </c>
      <c r="D386" s="314" t="s">
        <v>424</v>
      </c>
      <c r="E386" s="315"/>
      <c r="F386" s="316" t="s">
        <v>428</v>
      </c>
      <c r="G386" s="316"/>
      <c r="H386" s="315"/>
      <c r="I386" s="315"/>
      <c r="J386" s="315"/>
      <c r="K386" s="315"/>
      <c r="L386" s="315"/>
      <c r="M386" s="315"/>
      <c r="N386" s="315"/>
      <c r="O386" s="315"/>
      <c r="P386" s="315"/>
      <c r="Q386" s="315"/>
      <c r="R386" s="315"/>
      <c r="S386" s="315"/>
      <c r="T386" s="315"/>
      <c r="U386" s="315"/>
      <c r="V386" s="315"/>
      <c r="W386" s="315"/>
      <c r="X386" s="315"/>
      <c r="Y386" s="315"/>
      <c r="Z386" s="315"/>
      <c r="AA386" s="315"/>
      <c r="AB386" s="315"/>
      <c r="AC386" s="315"/>
    </row>
    <row r="387">
      <c r="A387" s="271" t="s">
        <v>5485</v>
      </c>
      <c r="B387" s="362" t="s">
        <v>5486</v>
      </c>
      <c r="C387" s="271" t="s">
        <v>40</v>
      </c>
      <c r="D387" s="274" t="s">
        <v>5487</v>
      </c>
      <c r="E387" s="109"/>
      <c r="F387" s="103" t="s">
        <v>5494</v>
      </c>
      <c r="G387" s="103" t="s">
        <v>5495</v>
      </c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</row>
    <row r="388">
      <c r="A388" s="271"/>
      <c r="B388" s="367" t="s">
        <v>5504</v>
      </c>
      <c r="C388" s="271" t="s">
        <v>5537</v>
      </c>
      <c r="D388" s="274" t="s">
        <v>5539</v>
      </c>
      <c r="E388" s="109"/>
      <c r="F388" s="103" t="s">
        <v>5546</v>
      </c>
      <c r="G388" s="103" t="s">
        <v>5547</v>
      </c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</row>
    <row r="389">
      <c r="A389" s="271" t="s">
        <v>5378</v>
      </c>
      <c r="B389" s="363" t="s">
        <v>5555</v>
      </c>
      <c r="C389" s="330" t="s">
        <v>5556</v>
      </c>
      <c r="D389" s="274" t="s">
        <v>5557</v>
      </c>
      <c r="E389" s="109"/>
      <c r="F389" s="103" t="s">
        <v>5564</v>
      </c>
      <c r="G389" s="103" t="s">
        <v>5565</v>
      </c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</row>
    <row r="390">
      <c r="A390" s="271" t="s">
        <v>5575</v>
      </c>
      <c r="B390" s="301" t="s">
        <v>5576</v>
      </c>
      <c r="C390" s="271" t="s">
        <v>40</v>
      </c>
      <c r="D390" s="274" t="s">
        <v>5577</v>
      </c>
      <c r="E390" s="109"/>
      <c r="F390" s="103" t="s">
        <v>5583</v>
      </c>
      <c r="G390" s="103" t="s">
        <v>5584</v>
      </c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</row>
    <row r="39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</row>
    <row r="392">
      <c r="A392" s="269" t="s">
        <v>5489</v>
      </c>
      <c r="B392" s="376" t="s">
        <v>5603</v>
      </c>
      <c r="C392" s="269" t="s">
        <v>40</v>
      </c>
      <c r="D392" s="314" t="s">
        <v>5604</v>
      </c>
      <c r="E392" s="315"/>
      <c r="F392" s="316" t="s">
        <v>5608</v>
      </c>
      <c r="G392" s="316" t="s">
        <v>5610</v>
      </c>
      <c r="H392" s="315"/>
      <c r="I392" s="315"/>
      <c r="J392" s="315"/>
      <c r="K392" s="315"/>
      <c r="L392" s="315"/>
      <c r="M392" s="315"/>
      <c r="N392" s="315"/>
      <c r="O392" s="315"/>
      <c r="P392" s="315"/>
      <c r="Q392" s="315"/>
      <c r="R392" s="315"/>
      <c r="S392" s="315"/>
      <c r="T392" s="315"/>
      <c r="U392" s="315"/>
      <c r="V392" s="315"/>
      <c r="W392" s="315"/>
      <c r="X392" s="315"/>
      <c r="Y392" s="315"/>
      <c r="Z392" s="315"/>
      <c r="AA392" s="315"/>
      <c r="AB392" s="315"/>
      <c r="AC392" s="315"/>
    </row>
    <row r="393">
      <c r="A393" s="269" t="s">
        <v>506</v>
      </c>
      <c r="B393" s="365" t="s">
        <v>507</v>
      </c>
      <c r="C393" s="269" t="s">
        <v>508</v>
      </c>
      <c r="D393" s="406" t="s">
        <v>514</v>
      </c>
      <c r="E393" s="315"/>
      <c r="F393" s="316" t="s">
        <v>515</v>
      </c>
      <c r="G393" s="316" t="s">
        <v>516</v>
      </c>
      <c r="H393" s="315"/>
      <c r="I393" s="315"/>
      <c r="J393" s="315"/>
      <c r="K393" s="315"/>
      <c r="L393" s="315"/>
      <c r="M393" s="315"/>
      <c r="N393" s="315"/>
      <c r="O393" s="315"/>
      <c r="P393" s="315"/>
      <c r="Q393" s="315"/>
      <c r="R393" s="315"/>
      <c r="S393" s="315"/>
      <c r="T393" s="315"/>
      <c r="U393" s="315"/>
      <c r="V393" s="315"/>
      <c r="W393" s="315"/>
      <c r="X393" s="315"/>
      <c r="Y393" s="315"/>
      <c r="Z393" s="315"/>
      <c r="AA393" s="315"/>
      <c r="AB393" s="315"/>
      <c r="AC393" s="315"/>
    </row>
    <row r="394">
      <c r="A394" s="271"/>
      <c r="B394" s="362" t="s">
        <v>5648</v>
      </c>
      <c r="C394" s="271" t="s">
        <v>1019</v>
      </c>
      <c r="D394" s="274" t="s">
        <v>5650</v>
      </c>
      <c r="E394" s="109"/>
      <c r="F394" s="103" t="s">
        <v>5658</v>
      </c>
      <c r="G394" s="103" t="s">
        <v>5659</v>
      </c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</row>
    <row r="395">
      <c r="A395" s="271" t="s">
        <v>5665</v>
      </c>
      <c r="B395" s="362" t="s">
        <v>5668</v>
      </c>
      <c r="C395" s="271" t="s">
        <v>3585</v>
      </c>
      <c r="D395" s="274" t="s">
        <v>5673</v>
      </c>
      <c r="E395" s="109"/>
      <c r="F395" s="103" t="s">
        <v>5678</v>
      </c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</row>
    <row r="396">
      <c r="A396" s="271" t="s">
        <v>5693</v>
      </c>
      <c r="B396" s="367" t="s">
        <v>5696</v>
      </c>
      <c r="C396" s="271" t="s">
        <v>40</v>
      </c>
      <c r="D396" s="274" t="s">
        <v>5739</v>
      </c>
      <c r="E396" s="109"/>
      <c r="F396" s="103" t="s">
        <v>5749</v>
      </c>
      <c r="G396" s="103" t="s">
        <v>5751</v>
      </c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</row>
    <row r="397">
      <c r="A397" s="271" t="s">
        <v>5181</v>
      </c>
      <c r="B397" s="411" t="s">
        <v>5763</v>
      </c>
      <c r="C397" s="271" t="s">
        <v>5764</v>
      </c>
      <c r="D397" s="274" t="s">
        <v>5765</v>
      </c>
      <c r="E397" s="109"/>
      <c r="F397" s="103" t="s">
        <v>5771</v>
      </c>
    </row>
    <row r="398">
      <c r="A398" s="412"/>
      <c r="B398" s="413" t="s">
        <v>5777</v>
      </c>
      <c r="C398" s="412" t="s">
        <v>5778</v>
      </c>
      <c r="D398" s="136" t="s">
        <v>5779</v>
      </c>
      <c r="F398" s="87" t="s">
        <v>5790</v>
      </c>
      <c r="G398" s="87" t="s">
        <v>5793</v>
      </c>
    </row>
    <row r="399">
      <c r="A399" s="412"/>
      <c r="B399" s="415" t="s">
        <v>5794</v>
      </c>
      <c r="C399" s="84" t="s">
        <v>5820</v>
      </c>
      <c r="D399" s="136" t="s">
        <v>5822</v>
      </c>
      <c r="F399" s="87" t="s">
        <v>5829</v>
      </c>
      <c r="G399" s="87" t="s">
        <v>5830</v>
      </c>
    </row>
    <row r="400">
      <c r="A400" s="271" t="s">
        <v>5185</v>
      </c>
      <c r="B400" s="301" t="s">
        <v>5832</v>
      </c>
      <c r="C400" s="410" t="s">
        <v>5834</v>
      </c>
      <c r="D400" s="274" t="s">
        <v>5837</v>
      </c>
      <c r="E400" s="109"/>
      <c r="F400" s="103" t="s">
        <v>5843</v>
      </c>
      <c r="G400" s="87" t="s">
        <v>5845</v>
      </c>
    </row>
    <row r="401">
      <c r="A401" s="271" t="s">
        <v>2237</v>
      </c>
      <c r="B401" s="418" t="s">
        <v>5846</v>
      </c>
      <c r="C401" s="271" t="s">
        <v>4477</v>
      </c>
      <c r="D401" s="274" t="s">
        <v>5847</v>
      </c>
      <c r="E401" s="109"/>
      <c r="F401" s="103" t="s">
        <v>5854</v>
      </c>
    </row>
    <row r="402">
      <c r="A402" s="412"/>
      <c r="B402" s="420" t="s">
        <v>5859</v>
      </c>
      <c r="C402" s="84" t="s">
        <v>4477</v>
      </c>
      <c r="D402" s="136" t="s">
        <v>5861</v>
      </c>
      <c r="F402" s="87" t="s">
        <v>5866</v>
      </c>
    </row>
    <row r="403">
      <c r="A403" s="412"/>
      <c r="B403" s="420" t="s">
        <v>5868</v>
      </c>
      <c r="C403" s="412" t="s">
        <v>5870</v>
      </c>
      <c r="D403" s="136" t="s">
        <v>5871</v>
      </c>
      <c r="F403" s="87" t="s">
        <v>5878</v>
      </c>
    </row>
    <row r="404">
      <c r="A404" s="271" t="s">
        <v>5883</v>
      </c>
      <c r="B404" s="421" t="s">
        <v>5886</v>
      </c>
      <c r="C404" s="271" t="s">
        <v>5887</v>
      </c>
      <c r="D404" s="236" t="s">
        <v>5888</v>
      </c>
      <c r="E404" s="14"/>
      <c r="F404" s="184" t="s">
        <v>5896</v>
      </c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</row>
    <row r="405">
      <c r="A405" s="271" t="s">
        <v>5905</v>
      </c>
      <c r="B405" s="422" t="s">
        <v>5907</v>
      </c>
      <c r="C405" s="271" t="s">
        <v>5911</v>
      </c>
      <c r="D405" s="236" t="s">
        <v>5912</v>
      </c>
      <c r="E405" s="14"/>
      <c r="F405" s="184" t="s">
        <v>5923</v>
      </c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</row>
    <row r="406">
      <c r="A406" s="271" t="s">
        <v>5412</v>
      </c>
      <c r="B406" s="424" t="s">
        <v>5932</v>
      </c>
      <c r="C406" s="271" t="s">
        <v>40</v>
      </c>
      <c r="D406" s="236" t="s">
        <v>5951</v>
      </c>
      <c r="E406" s="14"/>
      <c r="F406" s="184" t="s">
        <v>5961</v>
      </c>
      <c r="G406" s="186" t="s">
        <v>5965</v>
      </c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</row>
    <row r="407">
      <c r="A407" s="271" t="s">
        <v>5191</v>
      </c>
      <c r="B407" s="425" t="s">
        <v>5975</v>
      </c>
      <c r="C407" s="271" t="s">
        <v>5977</v>
      </c>
      <c r="D407" s="236" t="s">
        <v>5978</v>
      </c>
      <c r="E407" s="14"/>
      <c r="F407" s="184" t="s">
        <v>5983</v>
      </c>
      <c r="G407" s="186" t="s">
        <v>5985</v>
      </c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</row>
    <row r="408">
      <c r="A408" s="271" t="s">
        <v>4789</v>
      </c>
      <c r="B408" s="426" t="s">
        <v>4790</v>
      </c>
      <c r="C408" s="427" t="s">
        <v>5999</v>
      </c>
      <c r="D408" s="236" t="s">
        <v>6001</v>
      </c>
      <c r="E408" s="428">
        <f>+16506199864</f>
        <v>16506199864</v>
      </c>
      <c r="F408" s="429" t="s">
        <v>6018</v>
      </c>
      <c r="G408" s="430" t="s">
        <v>4793</v>
      </c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</row>
    <row r="409">
      <c r="A409" s="271" t="s">
        <v>5218</v>
      </c>
      <c r="B409" s="432" t="s">
        <v>6029</v>
      </c>
      <c r="C409" s="427" t="s">
        <v>6032</v>
      </c>
      <c r="D409" s="236" t="s">
        <v>6034</v>
      </c>
      <c r="E409" s="429">
        <v>9.910977255E9</v>
      </c>
      <c r="F409" s="429" t="s">
        <v>6046</v>
      </c>
      <c r="G409" s="430" t="s">
        <v>6048</v>
      </c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</row>
    <row r="410">
      <c r="A410" s="271" t="s">
        <v>45</v>
      </c>
      <c r="B410" s="432" t="s">
        <v>6060</v>
      </c>
      <c r="C410" s="427" t="s">
        <v>4044</v>
      </c>
      <c r="D410" s="236" t="s">
        <v>6062</v>
      </c>
      <c r="E410" s="14"/>
      <c r="F410" s="429" t="s">
        <v>6070</v>
      </c>
      <c r="G410" s="430" t="s">
        <v>6071</v>
      </c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</row>
    <row r="411">
      <c r="A411" s="271" t="s">
        <v>13</v>
      </c>
      <c r="B411" s="432" t="s">
        <v>6078</v>
      </c>
      <c r="C411" s="432" t="s">
        <v>6080</v>
      </c>
      <c r="D411" s="236" t="s">
        <v>6081</v>
      </c>
      <c r="E411" s="429">
        <v>9.871180123E9</v>
      </c>
      <c r="F411" s="429" t="s">
        <v>6092</v>
      </c>
      <c r="G411" s="430" t="s">
        <v>6093</v>
      </c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</row>
    <row r="412">
      <c r="A412" s="271" t="s">
        <v>6103</v>
      </c>
      <c r="B412" s="339" t="s">
        <v>6105</v>
      </c>
      <c r="C412" s="282" t="s">
        <v>72</v>
      </c>
      <c r="D412" s="236" t="s">
        <v>6106</v>
      </c>
      <c r="E412" s="14"/>
      <c r="F412" s="184" t="s">
        <v>6116</v>
      </c>
      <c r="G412" s="186" t="s">
        <v>6118</v>
      </c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</row>
    <row r="413">
      <c r="A413" s="271" t="s">
        <v>6132</v>
      </c>
      <c r="B413" s="433" t="s">
        <v>6134</v>
      </c>
      <c r="C413" s="282" t="s">
        <v>72</v>
      </c>
      <c r="D413" s="236" t="s">
        <v>6139</v>
      </c>
      <c r="E413" s="414">
        <f>+919718956878</f>
        <v>919718956878</v>
      </c>
      <c r="F413" s="409" t="s">
        <v>6148</v>
      </c>
      <c r="G413" s="168" t="s">
        <v>6149</v>
      </c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</row>
    <row r="414">
      <c r="A414" s="271" t="s">
        <v>5240</v>
      </c>
      <c r="B414" s="339" t="s">
        <v>6156</v>
      </c>
      <c r="C414" s="282" t="s">
        <v>6157</v>
      </c>
      <c r="D414" s="236" t="s">
        <v>6158</v>
      </c>
      <c r="E414" s="14"/>
      <c r="F414" s="184" t="s">
        <v>6167</v>
      </c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</row>
    <row r="415">
      <c r="A415" s="271" t="s">
        <v>2661</v>
      </c>
      <c r="B415" s="339" t="s">
        <v>6174</v>
      </c>
      <c r="C415" s="282" t="s">
        <v>3697</v>
      </c>
      <c r="D415" s="236" t="s">
        <v>6176</v>
      </c>
      <c r="E415" s="14"/>
      <c r="F415" s="184" t="s">
        <v>6182</v>
      </c>
      <c r="G415" s="186" t="s">
        <v>6183</v>
      </c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</row>
    <row r="416">
      <c r="A416" s="271" t="s">
        <v>6192</v>
      </c>
      <c r="B416" s="339" t="s">
        <v>6194</v>
      </c>
      <c r="C416" s="282" t="s">
        <v>40</v>
      </c>
      <c r="D416" s="236" t="s">
        <v>6196</v>
      </c>
      <c r="E416" s="14"/>
      <c r="F416" s="184" t="s">
        <v>6201</v>
      </c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</row>
    <row r="417">
      <c r="A417" s="271" t="s">
        <v>2746</v>
      </c>
      <c r="B417" s="339" t="s">
        <v>6213</v>
      </c>
      <c r="C417" s="282" t="s">
        <v>72</v>
      </c>
      <c r="D417" s="434" t="s">
        <v>6215</v>
      </c>
      <c r="E417" s="14"/>
      <c r="F417" s="184" t="s">
        <v>6221</v>
      </c>
      <c r="G417" s="186" t="s">
        <v>6223</v>
      </c>
      <c r="H417" s="186" t="s">
        <v>6225</v>
      </c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</row>
    <row r="418">
      <c r="A418" s="271" t="s">
        <v>6232</v>
      </c>
      <c r="B418" s="339" t="s">
        <v>6233</v>
      </c>
      <c r="C418" s="271" t="s">
        <v>6234</v>
      </c>
      <c r="D418" s="236" t="s">
        <v>6235</v>
      </c>
      <c r="E418" s="14"/>
      <c r="F418" s="184" t="s">
        <v>6240</v>
      </c>
      <c r="G418" s="186" t="s">
        <v>6242</v>
      </c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</row>
    <row r="419">
      <c r="A419" s="271" t="s">
        <v>6250</v>
      </c>
      <c r="B419" s="339" t="s">
        <v>6253</v>
      </c>
      <c r="C419" s="282" t="s">
        <v>4477</v>
      </c>
      <c r="D419" s="236" t="s">
        <v>6257</v>
      </c>
      <c r="E419" s="14"/>
      <c r="F419" s="184" t="s">
        <v>6263</v>
      </c>
      <c r="G419" s="186" t="s">
        <v>6265</v>
      </c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</row>
    <row r="420">
      <c r="A420" s="271" t="s">
        <v>2750</v>
      </c>
      <c r="B420" s="339" t="s">
        <v>6272</v>
      </c>
      <c r="C420" s="282" t="s">
        <v>6273</v>
      </c>
      <c r="D420" s="236" t="s">
        <v>6274</v>
      </c>
      <c r="E420" s="14"/>
      <c r="F420" s="184" t="s">
        <v>6284</v>
      </c>
      <c r="G420" s="186" t="s">
        <v>6287</v>
      </c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</row>
    <row r="421">
      <c r="A421" s="271" t="s">
        <v>2977</v>
      </c>
      <c r="B421" s="339" t="s">
        <v>6293</v>
      </c>
      <c r="C421" s="282" t="s">
        <v>6295</v>
      </c>
      <c r="D421" s="236" t="s">
        <v>6296</v>
      </c>
      <c r="E421" s="14"/>
      <c r="F421" s="184" t="s">
        <v>6307</v>
      </c>
      <c r="G421" s="186" t="s">
        <v>6309</v>
      </c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</row>
    <row r="422">
      <c r="A422" s="271" t="s">
        <v>6316</v>
      </c>
      <c r="B422" s="339" t="s">
        <v>6317</v>
      </c>
      <c r="C422" s="282" t="s">
        <v>3585</v>
      </c>
      <c r="D422" s="236" t="s">
        <v>6319</v>
      </c>
      <c r="E422" s="14"/>
      <c r="F422" s="184" t="s">
        <v>6330</v>
      </c>
      <c r="G422" s="186" t="s">
        <v>6331</v>
      </c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</row>
    <row r="423">
      <c r="A423" s="271" t="s">
        <v>568</v>
      </c>
      <c r="B423" s="339" t="s">
        <v>6337</v>
      </c>
      <c r="C423" s="282" t="s">
        <v>3697</v>
      </c>
      <c r="D423" s="236" t="s">
        <v>6339</v>
      </c>
      <c r="E423" s="14"/>
      <c r="F423" s="184" t="s">
        <v>6349</v>
      </c>
      <c r="G423" s="186" t="s">
        <v>6350</v>
      </c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</row>
    <row r="424">
      <c r="A424" s="271" t="s">
        <v>4960</v>
      </c>
      <c r="B424" s="339" t="s">
        <v>6359</v>
      </c>
      <c r="C424" s="282" t="s">
        <v>3697</v>
      </c>
      <c r="D424" s="236" t="s">
        <v>6361</v>
      </c>
      <c r="E424" s="14"/>
      <c r="F424" s="184" t="s">
        <v>6367</v>
      </c>
      <c r="G424" s="186" t="s">
        <v>6368</v>
      </c>
      <c r="H424" s="186" t="s">
        <v>6369</v>
      </c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</row>
    <row r="425">
      <c r="A425" s="271" t="s">
        <v>6376</v>
      </c>
      <c r="B425" s="339" t="s">
        <v>6378</v>
      </c>
      <c r="C425" s="282" t="s">
        <v>6380</v>
      </c>
      <c r="D425" s="236" t="s">
        <v>6382</v>
      </c>
      <c r="E425" s="14"/>
      <c r="F425" s="184" t="s">
        <v>6391</v>
      </c>
      <c r="G425" s="186" t="s">
        <v>6392</v>
      </c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</row>
    <row r="426">
      <c r="A426" s="435" t="s">
        <v>6399</v>
      </c>
      <c r="B426" s="339" t="s">
        <v>6400</v>
      </c>
      <c r="C426" s="435" t="s">
        <v>6401</v>
      </c>
      <c r="D426" s="236" t="s">
        <v>6403</v>
      </c>
      <c r="E426" s="14"/>
      <c r="F426" s="184" t="s">
        <v>6410</v>
      </c>
      <c r="G426" s="186" t="s">
        <v>6410</v>
      </c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</row>
    <row r="427">
      <c r="A427" s="271" t="s">
        <v>6422</v>
      </c>
      <c r="B427" s="339" t="s">
        <v>6423</v>
      </c>
      <c r="C427" s="437" t="s">
        <v>3697</v>
      </c>
      <c r="D427" s="236" t="s">
        <v>6424</v>
      </c>
      <c r="E427" s="14"/>
      <c r="F427" s="184" t="s">
        <v>6431</v>
      </c>
      <c r="G427" s="186" t="s">
        <v>6433</v>
      </c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</row>
    <row r="428">
      <c r="A428" s="271" t="s">
        <v>6442</v>
      </c>
      <c r="B428" s="408" t="s">
        <v>6444</v>
      </c>
      <c r="C428" s="438" t="s">
        <v>6445</v>
      </c>
      <c r="D428" s="236" t="s">
        <v>6446</v>
      </c>
      <c r="E428" s="414">
        <f>+919916950113</f>
        <v>919916950113</v>
      </c>
      <c r="F428" s="409" t="s">
        <v>6462</v>
      </c>
      <c r="G428" s="168" t="s">
        <v>6463</v>
      </c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</row>
    <row r="429">
      <c r="A429" s="271" t="s">
        <v>6471</v>
      </c>
      <c r="B429" s="439" t="s">
        <v>6473</v>
      </c>
      <c r="C429" s="271" t="s">
        <v>6476</v>
      </c>
      <c r="D429" s="236" t="s">
        <v>6477</v>
      </c>
      <c r="E429" s="14"/>
      <c r="F429" s="184" t="s">
        <v>6483</v>
      </c>
      <c r="G429" s="186" t="s">
        <v>6485</v>
      </c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</row>
    <row r="430">
      <c r="A430" s="271" t="s">
        <v>6492</v>
      </c>
      <c r="B430" s="439" t="s">
        <v>6494</v>
      </c>
      <c r="C430" s="271" t="s">
        <v>6495</v>
      </c>
      <c r="D430" s="236" t="s">
        <v>6497</v>
      </c>
      <c r="E430" s="14"/>
      <c r="F430" s="184" t="s">
        <v>6502</v>
      </c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</row>
    <row r="431">
      <c r="A431" s="271" t="s">
        <v>5348</v>
      </c>
      <c r="B431" s="440" t="s">
        <v>6513</v>
      </c>
      <c r="C431" s="271" t="s">
        <v>6517</v>
      </c>
      <c r="D431" s="236" t="s">
        <v>6519</v>
      </c>
      <c r="E431" s="14"/>
      <c r="F431" s="184" t="s">
        <v>6526</v>
      </c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</row>
    <row r="432">
      <c r="A432" s="271" t="s">
        <v>1556</v>
      </c>
      <c r="B432" s="440" t="s">
        <v>6537</v>
      </c>
      <c r="C432" s="271" t="s">
        <v>72</v>
      </c>
      <c r="D432" s="236" t="s">
        <v>6539</v>
      </c>
      <c r="E432" s="14"/>
      <c r="F432" s="184" t="s">
        <v>6546</v>
      </c>
      <c r="G432" s="186" t="s">
        <v>6549</v>
      </c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</row>
    <row r="433">
      <c r="A433" s="271" t="s">
        <v>5356</v>
      </c>
      <c r="B433" s="441" t="s">
        <v>6559</v>
      </c>
      <c r="C433" s="271" t="s">
        <v>4044</v>
      </c>
      <c r="D433" s="236" t="s">
        <v>6563</v>
      </c>
      <c r="E433" s="14"/>
      <c r="F433" s="184" t="s">
        <v>6570</v>
      </c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</row>
    <row r="434">
      <c r="A434" s="63"/>
      <c r="B434" s="413" t="s">
        <v>6583</v>
      </c>
      <c r="C434" s="63" t="s">
        <v>4044</v>
      </c>
      <c r="D434" s="444" t="s">
        <v>6585</v>
      </c>
      <c r="E434" s="65"/>
      <c r="F434" s="25" t="s">
        <v>6594</v>
      </c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</row>
    <row r="435">
      <c r="A435" s="271" t="s">
        <v>5590</v>
      </c>
      <c r="B435" s="418" t="s">
        <v>6608</v>
      </c>
      <c r="C435" s="271" t="s">
        <v>6610</v>
      </c>
      <c r="D435" s="236" t="s">
        <v>6612</v>
      </c>
      <c r="E435" s="14"/>
      <c r="F435" s="184" t="s">
        <v>6618</v>
      </c>
      <c r="G435" s="186" t="s">
        <v>6619</v>
      </c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</row>
    <row r="436">
      <c r="A436" s="271" t="s">
        <v>6631</v>
      </c>
      <c r="B436" s="445" t="s">
        <v>6632</v>
      </c>
      <c r="C436" s="410" t="s">
        <v>6667</v>
      </c>
      <c r="D436" s="236" t="s">
        <v>6670</v>
      </c>
      <c r="E436" s="14"/>
      <c r="F436" s="184" t="s">
        <v>6676</v>
      </c>
      <c r="G436" s="186" t="s">
        <v>6678</v>
      </c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</row>
    <row r="437">
      <c r="A437" s="63"/>
      <c r="B437" s="413" t="s">
        <v>6685</v>
      </c>
      <c r="C437" s="84" t="s">
        <v>6687</v>
      </c>
      <c r="D437" s="444" t="s">
        <v>6688</v>
      </c>
      <c r="E437" s="65"/>
      <c r="F437" s="25" t="s">
        <v>6695</v>
      </c>
      <c r="G437" s="25" t="s">
        <v>6696</v>
      </c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</row>
    <row r="438">
      <c r="A438" s="271" t="s">
        <v>5618</v>
      </c>
      <c r="B438" s="446" t="s">
        <v>6699</v>
      </c>
      <c r="C438" s="271" t="s">
        <v>40</v>
      </c>
      <c r="D438" s="236" t="s">
        <v>6701</v>
      </c>
      <c r="E438" s="14"/>
      <c r="F438" s="184" t="s">
        <v>6708</v>
      </c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</row>
    <row r="439">
      <c r="A439" s="271" t="s">
        <v>4811</v>
      </c>
      <c r="B439" s="440" t="s">
        <v>6717</v>
      </c>
      <c r="C439" s="271" t="s">
        <v>380</v>
      </c>
      <c r="D439" s="236" t="s">
        <v>6719</v>
      </c>
      <c r="E439" s="14"/>
      <c r="F439" s="184" t="s">
        <v>6722</v>
      </c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</row>
    <row r="440">
      <c r="A440" s="271" t="s">
        <v>6728</v>
      </c>
      <c r="B440" s="439" t="s">
        <v>6731</v>
      </c>
      <c r="C440" s="271" t="s">
        <v>508</v>
      </c>
      <c r="D440" s="236" t="s">
        <v>6732</v>
      </c>
      <c r="E440" s="14"/>
      <c r="F440" s="184" t="s">
        <v>6733</v>
      </c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</row>
    <row r="441">
      <c r="A441" s="271" t="s">
        <v>6734</v>
      </c>
      <c r="B441" s="447" t="s">
        <v>6735</v>
      </c>
      <c r="C441" s="271" t="s">
        <v>72</v>
      </c>
      <c r="D441" s="236" t="s">
        <v>6736</v>
      </c>
      <c r="E441" s="14"/>
      <c r="F441" s="184" t="s">
        <v>6737</v>
      </c>
      <c r="G441" s="186" t="s">
        <v>6738</v>
      </c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</row>
    <row r="442">
      <c r="A442" s="271" t="s">
        <v>3102</v>
      </c>
      <c r="B442" s="301" t="s">
        <v>6739</v>
      </c>
      <c r="C442" s="271" t="s">
        <v>6740</v>
      </c>
      <c r="D442" s="236" t="s">
        <v>6741</v>
      </c>
      <c r="E442" s="14"/>
      <c r="F442" s="184" t="s">
        <v>6742</v>
      </c>
      <c r="G442" s="186" t="s">
        <v>6743</v>
      </c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</row>
    <row r="443">
      <c r="A443" s="271" t="s">
        <v>6744</v>
      </c>
      <c r="B443" s="439" t="s">
        <v>6745</v>
      </c>
      <c r="C443" s="271" t="s">
        <v>6746</v>
      </c>
      <c r="D443" s="236" t="s">
        <v>6747</v>
      </c>
      <c r="E443" s="14"/>
      <c r="F443" s="184" t="s">
        <v>6748</v>
      </c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</row>
    <row r="444">
      <c r="A444" s="269" t="s">
        <v>390</v>
      </c>
      <c r="B444" s="448" t="s">
        <v>392</v>
      </c>
      <c r="C444" s="269" t="s">
        <v>395</v>
      </c>
      <c r="D444" s="449" t="s">
        <v>397</v>
      </c>
      <c r="E444" s="450"/>
      <c r="F444" s="451" t="s">
        <v>399</v>
      </c>
      <c r="G444" s="451" t="s">
        <v>400</v>
      </c>
      <c r="H444" s="450"/>
      <c r="I444" s="450"/>
      <c r="J444" s="450"/>
      <c r="K444" s="450"/>
      <c r="L444" s="450"/>
      <c r="M444" s="450"/>
      <c r="N444" s="450"/>
      <c r="O444" s="450"/>
      <c r="P444" s="450"/>
      <c r="Q444" s="450"/>
      <c r="R444" s="450"/>
      <c r="S444" s="450"/>
      <c r="T444" s="450"/>
      <c r="U444" s="450"/>
      <c r="V444" s="450"/>
      <c r="W444" s="450"/>
      <c r="X444" s="450"/>
      <c r="Y444" s="450"/>
      <c r="Z444" s="450"/>
      <c r="AA444" s="450"/>
      <c r="AB444" s="450"/>
      <c r="AC444" s="450"/>
    </row>
    <row r="445">
      <c r="A445" s="271" t="s">
        <v>6749</v>
      </c>
      <c r="B445" s="301" t="s">
        <v>6750</v>
      </c>
      <c r="C445" s="410" t="s">
        <v>6751</v>
      </c>
      <c r="D445" s="236" t="s">
        <v>6752</v>
      </c>
      <c r="E445" s="14"/>
      <c r="F445" s="184" t="s">
        <v>6754</v>
      </c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</row>
    <row r="446">
      <c r="A446" s="328" t="s">
        <v>6756</v>
      </c>
      <c r="B446" s="460" t="s">
        <v>6758</v>
      </c>
      <c r="C446" s="271" t="s">
        <v>6762</v>
      </c>
      <c r="D446" s="236" t="s">
        <v>6763</v>
      </c>
      <c r="E446" s="14"/>
      <c r="F446" s="184" t="s">
        <v>6764</v>
      </c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</row>
    <row r="447">
      <c r="A447" s="271" t="s">
        <v>6768</v>
      </c>
      <c r="B447" s="439" t="s">
        <v>6769</v>
      </c>
      <c r="C447" s="271" t="s">
        <v>1011</v>
      </c>
      <c r="D447" s="236" t="s">
        <v>6770</v>
      </c>
      <c r="E447" s="14"/>
      <c r="F447" s="184" t="s">
        <v>6772</v>
      </c>
      <c r="G447" s="186" t="s">
        <v>6774</v>
      </c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</row>
    <row r="448">
      <c r="A448" s="271" t="s">
        <v>6777</v>
      </c>
      <c r="B448" s="440" t="s">
        <v>6778</v>
      </c>
      <c r="C448" s="271" t="s">
        <v>72</v>
      </c>
      <c r="D448" s="236" t="s">
        <v>6779</v>
      </c>
      <c r="E448" s="14"/>
      <c r="F448" s="184" t="s">
        <v>6780</v>
      </c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</row>
    <row r="449">
      <c r="A449" s="269" t="s">
        <v>289</v>
      </c>
      <c r="B449" s="463" t="s">
        <v>290</v>
      </c>
      <c r="C449" s="269" t="s">
        <v>291</v>
      </c>
      <c r="D449" s="449" t="s">
        <v>292</v>
      </c>
      <c r="E449" s="450"/>
      <c r="F449" s="451" t="s">
        <v>297</v>
      </c>
      <c r="G449" s="450"/>
      <c r="H449" s="450"/>
      <c r="I449" s="450"/>
      <c r="J449" s="450"/>
      <c r="K449" s="450"/>
      <c r="L449" s="450"/>
      <c r="M449" s="450"/>
      <c r="N449" s="450"/>
      <c r="O449" s="450"/>
      <c r="P449" s="450"/>
      <c r="Q449" s="450"/>
      <c r="R449" s="450"/>
      <c r="S449" s="450"/>
      <c r="T449" s="450"/>
      <c r="U449" s="450"/>
      <c r="V449" s="450"/>
      <c r="W449" s="450"/>
      <c r="X449" s="450"/>
      <c r="Y449" s="450"/>
      <c r="Z449" s="450"/>
      <c r="AA449" s="450"/>
      <c r="AB449" s="450"/>
      <c r="AC449" s="450"/>
    </row>
    <row r="450">
      <c r="A450" s="271" t="s">
        <v>6787</v>
      </c>
      <c r="B450" s="445" t="s">
        <v>6788</v>
      </c>
      <c r="C450" s="271" t="s">
        <v>6805</v>
      </c>
      <c r="D450" s="236" t="s">
        <v>6806</v>
      </c>
      <c r="E450" s="14"/>
      <c r="F450" s="184" t="s">
        <v>6809</v>
      </c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</row>
    <row r="451">
      <c r="A451" s="412" t="s">
        <v>4896</v>
      </c>
      <c r="B451" s="470" t="s">
        <v>6815</v>
      </c>
      <c r="C451" s="412" t="s">
        <v>72</v>
      </c>
      <c r="D451" s="183" t="s">
        <v>6819</v>
      </c>
      <c r="E451" s="40"/>
      <c r="F451" s="186" t="s">
        <v>6823</v>
      </c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</row>
    <row r="452">
      <c r="A452" s="412" t="s">
        <v>1962</v>
      </c>
      <c r="B452" s="473" t="s">
        <v>6830</v>
      </c>
      <c r="C452" s="412" t="s">
        <v>40</v>
      </c>
      <c r="D452" s="183" t="s">
        <v>6833</v>
      </c>
      <c r="E452" s="40"/>
      <c r="F452" s="186" t="s">
        <v>6840</v>
      </c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</row>
    <row r="453">
      <c r="A453" s="412" t="s">
        <v>6848</v>
      </c>
      <c r="B453" s="476" t="s">
        <v>6849</v>
      </c>
      <c r="C453" s="412" t="s">
        <v>72</v>
      </c>
      <c r="D453" s="183" t="s">
        <v>6875</v>
      </c>
      <c r="E453" s="40"/>
      <c r="F453" s="186" t="s">
        <v>6882</v>
      </c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</row>
    <row r="454">
      <c r="A454" s="412" t="s">
        <v>5426</v>
      </c>
      <c r="B454" s="477" t="s">
        <v>5428</v>
      </c>
      <c r="C454" s="412" t="s">
        <v>6890</v>
      </c>
      <c r="D454" s="183" t="s">
        <v>6892</v>
      </c>
      <c r="E454" s="40"/>
      <c r="F454" s="186" t="s">
        <v>5432</v>
      </c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</row>
    <row r="455">
      <c r="A455" s="412" t="s">
        <v>5440</v>
      </c>
      <c r="B455" s="479" t="s">
        <v>6908</v>
      </c>
      <c r="C455" s="412" t="s">
        <v>5977</v>
      </c>
      <c r="D455" s="183" t="s">
        <v>6928</v>
      </c>
      <c r="E455" s="40"/>
      <c r="F455" s="186" t="s">
        <v>6936</v>
      </c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</row>
    <row r="456">
      <c r="A456" s="412" t="s">
        <v>6945</v>
      </c>
      <c r="B456" s="481" t="s">
        <v>6946</v>
      </c>
      <c r="C456" s="412" t="s">
        <v>40</v>
      </c>
      <c r="D456" s="183" t="s">
        <v>6952</v>
      </c>
      <c r="E456" s="40"/>
      <c r="F456" s="186" t="s">
        <v>6959</v>
      </c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</row>
    <row r="457">
      <c r="A457" s="412" t="s">
        <v>3117</v>
      </c>
      <c r="B457" s="473" t="s">
        <v>6965</v>
      </c>
      <c r="C457" s="412" t="s">
        <v>6969</v>
      </c>
      <c r="D457" s="183" t="s">
        <v>6971</v>
      </c>
      <c r="E457" s="40"/>
      <c r="F457" s="186" t="s">
        <v>6984</v>
      </c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</row>
    <row r="458">
      <c r="A458" s="412" t="s">
        <v>5833</v>
      </c>
      <c r="B458" s="483" t="s">
        <v>6992</v>
      </c>
      <c r="C458" s="279" t="s">
        <v>6995</v>
      </c>
      <c r="D458" s="183" t="s">
        <v>6998</v>
      </c>
      <c r="E458" s="40"/>
      <c r="F458" s="186" t="s">
        <v>7007</v>
      </c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</row>
    <row r="459">
      <c r="A459" s="412" t="s">
        <v>7018</v>
      </c>
      <c r="B459" s="477" t="s">
        <v>7019</v>
      </c>
      <c r="C459" s="412" t="s">
        <v>40</v>
      </c>
      <c r="D459" s="183" t="s">
        <v>7021</v>
      </c>
      <c r="E459" s="40"/>
      <c r="F459" s="186" t="s">
        <v>7030</v>
      </c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</row>
    <row r="460">
      <c r="A460" s="412" t="s">
        <v>7040</v>
      </c>
      <c r="B460" s="479" t="s">
        <v>7041</v>
      </c>
      <c r="C460" s="412" t="s">
        <v>7057</v>
      </c>
      <c r="D460" s="484" t="s">
        <v>7060</v>
      </c>
      <c r="E460" s="40"/>
      <c r="F460" s="186" t="s">
        <v>7069</v>
      </c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</row>
    <row r="461">
      <c r="A461" s="412" t="s">
        <v>7080</v>
      </c>
      <c r="B461" s="485" t="s">
        <v>7082</v>
      </c>
      <c r="C461" s="412" t="s">
        <v>40</v>
      </c>
      <c r="D461" s="485" t="s">
        <v>7115</v>
      </c>
      <c r="E461" s="40"/>
      <c r="F461" s="186" t="s">
        <v>7124</v>
      </c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</row>
    <row r="462">
      <c r="A462" s="412" t="s">
        <v>7131</v>
      </c>
      <c r="B462" s="486" t="s">
        <v>7133</v>
      </c>
      <c r="C462" s="412" t="s">
        <v>7135</v>
      </c>
      <c r="D462" s="183" t="s">
        <v>7136</v>
      </c>
      <c r="E462" s="40"/>
      <c r="F462" s="186" t="s">
        <v>7139</v>
      </c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</row>
    <row r="463">
      <c r="A463" s="412" t="s">
        <v>7149</v>
      </c>
      <c r="B463" s="488" t="s">
        <v>7152</v>
      </c>
      <c r="C463" s="44" t="s">
        <v>72</v>
      </c>
      <c r="D463" s="183" t="s">
        <v>7155</v>
      </c>
      <c r="E463" s="40"/>
      <c r="F463" s="186" t="s">
        <v>7161</v>
      </c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</row>
    <row r="464">
      <c r="A464" s="63" t="s">
        <v>7165</v>
      </c>
      <c r="B464" s="66" t="s">
        <v>7166</v>
      </c>
      <c r="C464" s="275" t="s">
        <v>40</v>
      </c>
      <c r="D464" s="444" t="s">
        <v>7170</v>
      </c>
      <c r="E464" s="65"/>
      <c r="F464" s="25" t="s">
        <v>7180</v>
      </c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</row>
    <row r="465">
      <c r="A465" s="489" t="s">
        <v>569</v>
      </c>
      <c r="B465" s="490" t="s">
        <v>7189</v>
      </c>
      <c r="C465" s="491" t="s">
        <v>72</v>
      </c>
      <c r="D465" s="492" t="s">
        <v>7193</v>
      </c>
      <c r="E465" s="493"/>
      <c r="F465" s="493" t="s">
        <v>7198</v>
      </c>
      <c r="G465" s="493" t="s">
        <v>7200</v>
      </c>
      <c r="H465" s="493"/>
      <c r="I465" s="493"/>
      <c r="J465" s="493"/>
      <c r="K465" s="493"/>
      <c r="L465" s="493"/>
      <c r="M465" s="493"/>
      <c r="N465" s="493"/>
      <c r="O465" s="493"/>
      <c r="P465" s="493"/>
      <c r="Q465" s="493"/>
      <c r="R465" s="493"/>
      <c r="S465" s="493"/>
      <c r="T465" s="493"/>
      <c r="U465" s="493"/>
      <c r="V465" s="493"/>
      <c r="W465" s="493"/>
      <c r="X465" s="493"/>
      <c r="Y465" s="493"/>
      <c r="Z465" s="493"/>
      <c r="AA465" s="493"/>
      <c r="AB465" s="493"/>
      <c r="AC465" s="493"/>
    </row>
    <row r="466">
      <c r="A466" s="494" t="s">
        <v>774</v>
      </c>
      <c r="B466" s="490" t="s">
        <v>7211</v>
      </c>
      <c r="C466" s="494" t="s">
        <v>72</v>
      </c>
      <c r="D466" s="492" t="s">
        <v>7215</v>
      </c>
      <c r="E466" s="493"/>
      <c r="F466" s="495" t="s">
        <v>7224</v>
      </c>
      <c r="G466" s="493" t="s">
        <v>7226</v>
      </c>
      <c r="H466" s="493" t="s">
        <v>7227</v>
      </c>
      <c r="I466" s="493"/>
      <c r="J466" s="493"/>
      <c r="K466" s="493"/>
      <c r="L466" s="493"/>
      <c r="M466" s="493"/>
      <c r="N466" s="493"/>
      <c r="O466" s="493"/>
      <c r="P466" s="493"/>
      <c r="Q466" s="493"/>
      <c r="R466" s="493"/>
      <c r="S466" s="493"/>
      <c r="T466" s="493"/>
      <c r="U466" s="493"/>
      <c r="V466" s="493"/>
      <c r="W466" s="493"/>
      <c r="X466" s="493"/>
      <c r="Y466" s="493"/>
      <c r="Z466" s="493"/>
      <c r="AA466" s="493"/>
      <c r="AB466" s="493"/>
      <c r="AC466" s="493"/>
    </row>
    <row r="467">
      <c r="A467" s="275" t="s">
        <v>2553</v>
      </c>
      <c r="B467" s="277" t="s">
        <v>7239</v>
      </c>
      <c r="C467" s="275" t="s">
        <v>4238</v>
      </c>
      <c r="D467" s="183" t="s">
        <v>7240</v>
      </c>
      <c r="E467" s="40"/>
      <c r="F467" s="186" t="s">
        <v>7250</v>
      </c>
      <c r="G467" s="186" t="s">
        <v>7252</v>
      </c>
      <c r="H467" s="186" t="s">
        <v>7254</v>
      </c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</row>
    <row r="468">
      <c r="A468" s="496" t="s">
        <v>7262</v>
      </c>
      <c r="B468" s="488" t="s">
        <v>7264</v>
      </c>
      <c r="C468" s="412" t="s">
        <v>72</v>
      </c>
      <c r="D468" s="136" t="s">
        <v>7265</v>
      </c>
      <c r="F468" s="87" t="s">
        <v>7271</v>
      </c>
      <c r="G468" s="87" t="s">
        <v>7273</v>
      </c>
    </row>
    <row r="469">
      <c r="A469" s="496" t="s">
        <v>7275</v>
      </c>
      <c r="B469" s="320" t="s">
        <v>7276</v>
      </c>
      <c r="C469" s="498" t="s">
        <v>72</v>
      </c>
      <c r="D469" s="136" t="s">
        <v>7281</v>
      </c>
      <c r="F469" s="87" t="s">
        <v>7283</v>
      </c>
      <c r="G469" s="87" t="s">
        <v>7285</v>
      </c>
    </row>
    <row r="470">
      <c r="A470" s="412" t="s">
        <v>7288</v>
      </c>
      <c r="B470" s="500" t="s">
        <v>7289</v>
      </c>
      <c r="C470" s="412" t="s">
        <v>72</v>
      </c>
      <c r="D470" s="136" t="s">
        <v>7295</v>
      </c>
      <c r="F470" s="87" t="s">
        <v>7300</v>
      </c>
    </row>
    <row r="471">
      <c r="A471" s="412" t="s">
        <v>7303</v>
      </c>
      <c r="B471" s="501" t="s">
        <v>7306</v>
      </c>
      <c r="C471" s="502" t="s">
        <v>7307</v>
      </c>
      <c r="D471" s="136" t="s">
        <v>7308</v>
      </c>
      <c r="F471" s="87" t="s">
        <v>7313</v>
      </c>
      <c r="G471" s="87" t="s">
        <v>7314</v>
      </c>
    </row>
    <row r="472">
      <c r="A472" s="412" t="s">
        <v>5405</v>
      </c>
      <c r="B472" s="486" t="s">
        <v>7315</v>
      </c>
      <c r="C472" s="412" t="s">
        <v>5031</v>
      </c>
      <c r="D472" s="183" t="s">
        <v>7318</v>
      </c>
      <c r="E472" s="40"/>
      <c r="F472" s="186" t="s">
        <v>7327</v>
      </c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>
      <c r="A473" s="503"/>
      <c r="B473" s="504"/>
      <c r="C473" s="503"/>
    </row>
    <row r="474">
      <c r="A474" s="503"/>
      <c r="B474" s="504"/>
      <c r="C474" s="503"/>
    </row>
    <row r="488">
      <c r="A488" s="503"/>
      <c r="B488" s="504"/>
      <c r="C488" s="503"/>
    </row>
    <row r="489">
      <c r="A489" s="503"/>
      <c r="B489" s="504"/>
      <c r="C489" s="503"/>
    </row>
    <row r="490">
      <c r="A490" s="503"/>
      <c r="B490" s="504"/>
      <c r="C490" s="503"/>
    </row>
    <row r="491">
      <c r="A491" s="503"/>
      <c r="B491" s="504"/>
      <c r="C491" s="503"/>
    </row>
    <row r="492">
      <c r="A492" s="503"/>
      <c r="B492" s="504"/>
      <c r="C492" s="503"/>
    </row>
    <row r="493">
      <c r="A493" s="503"/>
      <c r="B493" s="504"/>
      <c r="C493" s="503"/>
    </row>
    <row r="494">
      <c r="A494" s="503"/>
      <c r="B494" s="504"/>
      <c r="C494" s="503"/>
    </row>
    <row r="495">
      <c r="A495" s="503"/>
      <c r="B495" s="504"/>
      <c r="C495" s="503"/>
    </row>
    <row r="496">
      <c r="A496" s="503"/>
      <c r="B496" s="504"/>
      <c r="C496" s="503"/>
    </row>
    <row r="497">
      <c r="A497" s="503"/>
      <c r="B497" s="504"/>
      <c r="C497" s="503"/>
    </row>
    <row r="498">
      <c r="A498" s="503"/>
      <c r="B498" s="504"/>
      <c r="C498" s="503"/>
    </row>
    <row r="499">
      <c r="A499" s="503"/>
      <c r="B499" s="504"/>
      <c r="C499" s="503"/>
    </row>
    <row r="500">
      <c r="A500" s="503"/>
      <c r="B500" s="504"/>
      <c r="C500" s="503"/>
    </row>
    <row r="501">
      <c r="A501" s="503"/>
      <c r="B501" s="504"/>
      <c r="C501" s="503"/>
    </row>
    <row r="502">
      <c r="A502" s="503"/>
      <c r="B502" s="504"/>
      <c r="C502" s="503"/>
    </row>
    <row r="503">
      <c r="A503" s="503"/>
      <c r="B503" s="504"/>
      <c r="C503" s="503"/>
    </row>
    <row r="504">
      <c r="A504" s="503"/>
      <c r="B504" s="504"/>
      <c r="C504" s="503"/>
    </row>
    <row r="505">
      <c r="A505" s="503"/>
      <c r="B505" s="504"/>
      <c r="C505" s="503"/>
    </row>
    <row r="506">
      <c r="A506" s="503"/>
      <c r="B506" s="504"/>
      <c r="C506" s="503"/>
    </row>
    <row r="507">
      <c r="A507" s="503"/>
      <c r="B507" s="504"/>
      <c r="C507" s="503"/>
    </row>
    <row r="508">
      <c r="A508" s="503"/>
      <c r="B508" s="504"/>
      <c r="C508" s="503"/>
    </row>
    <row r="509">
      <c r="A509" s="503"/>
      <c r="B509" s="504"/>
      <c r="C509" s="503"/>
    </row>
    <row r="510">
      <c r="A510" s="503"/>
      <c r="B510" s="504"/>
      <c r="C510" s="503"/>
    </row>
    <row r="511">
      <c r="A511" s="503"/>
      <c r="B511" s="504"/>
      <c r="C511" s="503"/>
    </row>
    <row r="512">
      <c r="A512" s="503"/>
      <c r="B512" s="504"/>
      <c r="C512" s="503"/>
    </row>
    <row r="513">
      <c r="A513" s="503"/>
      <c r="B513" s="504"/>
      <c r="C513" s="503"/>
    </row>
    <row r="514">
      <c r="A514" s="503"/>
      <c r="B514" s="504"/>
      <c r="C514" s="503"/>
    </row>
    <row r="515">
      <c r="A515" s="503"/>
      <c r="B515" s="504"/>
      <c r="C515" s="503"/>
    </row>
    <row r="516">
      <c r="A516" s="503"/>
      <c r="B516" s="504"/>
      <c r="C516" s="503"/>
    </row>
    <row r="517">
      <c r="A517" s="503"/>
      <c r="B517" s="504"/>
      <c r="C517" s="503"/>
    </row>
    <row r="518">
      <c r="A518" s="503"/>
      <c r="B518" s="504"/>
      <c r="C518" s="503"/>
    </row>
    <row r="519">
      <c r="A519" s="503"/>
      <c r="B519" s="504"/>
      <c r="C519" s="503"/>
    </row>
    <row r="520">
      <c r="A520" s="503"/>
      <c r="B520" s="504"/>
      <c r="C520" s="503"/>
    </row>
    <row r="521">
      <c r="A521" s="503"/>
      <c r="B521" s="504"/>
      <c r="C521" s="503"/>
    </row>
    <row r="522">
      <c r="A522" s="503"/>
      <c r="B522" s="504"/>
      <c r="C522" s="503"/>
    </row>
    <row r="523">
      <c r="A523" s="503"/>
      <c r="B523" s="504"/>
      <c r="C523" s="503"/>
    </row>
    <row r="524">
      <c r="A524" s="503"/>
      <c r="B524" s="504"/>
      <c r="C524" s="503"/>
    </row>
    <row r="525">
      <c r="A525" s="503"/>
      <c r="B525" s="504"/>
      <c r="C525" s="503"/>
    </row>
    <row r="526">
      <c r="A526" s="503"/>
      <c r="B526" s="504"/>
      <c r="C526" s="503"/>
    </row>
    <row r="527">
      <c r="A527" s="503"/>
      <c r="B527" s="504"/>
      <c r="C527" s="503"/>
    </row>
    <row r="528">
      <c r="A528" s="503"/>
      <c r="B528" s="504"/>
      <c r="C528" s="503"/>
    </row>
    <row r="529">
      <c r="A529" s="503"/>
      <c r="B529" s="504"/>
      <c r="C529" s="503"/>
    </row>
    <row r="530">
      <c r="A530" s="503"/>
      <c r="B530" s="504"/>
      <c r="C530" s="503"/>
    </row>
    <row r="531">
      <c r="A531" s="503"/>
      <c r="B531" s="504"/>
      <c r="C531" s="503"/>
    </row>
    <row r="532">
      <c r="A532" s="503"/>
      <c r="B532" s="504"/>
      <c r="C532" s="503"/>
    </row>
    <row r="533">
      <c r="A533" s="503"/>
      <c r="B533" s="504"/>
      <c r="C533" s="503"/>
    </row>
    <row r="534">
      <c r="A534" s="503"/>
      <c r="B534" s="504"/>
      <c r="C534" s="503"/>
    </row>
    <row r="535">
      <c r="A535" s="503"/>
      <c r="B535" s="504"/>
      <c r="C535" s="503"/>
    </row>
    <row r="536">
      <c r="A536" s="503"/>
      <c r="B536" s="504"/>
      <c r="C536" s="503"/>
    </row>
    <row r="537">
      <c r="A537" s="503"/>
      <c r="B537" s="504"/>
      <c r="C537" s="503"/>
    </row>
    <row r="538">
      <c r="A538" s="503"/>
      <c r="B538" s="504"/>
      <c r="C538" s="503"/>
    </row>
    <row r="539">
      <c r="A539" s="503"/>
      <c r="B539" s="504"/>
      <c r="C539" s="503"/>
    </row>
    <row r="540">
      <c r="A540" s="503"/>
      <c r="B540" s="504"/>
      <c r="C540" s="503"/>
    </row>
    <row r="541">
      <c r="A541" s="503"/>
      <c r="B541" s="504"/>
      <c r="C541" s="503"/>
    </row>
    <row r="542">
      <c r="A542" s="503"/>
      <c r="B542" s="504"/>
      <c r="C542" s="503"/>
    </row>
    <row r="543">
      <c r="A543" s="503"/>
      <c r="B543" s="504"/>
      <c r="C543" s="503"/>
    </row>
    <row r="544">
      <c r="A544" s="503"/>
      <c r="B544" s="504"/>
      <c r="C544" s="503"/>
    </row>
    <row r="545">
      <c r="A545" s="503"/>
      <c r="B545" s="504"/>
      <c r="C545" s="503"/>
    </row>
    <row r="546">
      <c r="A546" s="503"/>
      <c r="B546" s="504"/>
      <c r="C546" s="503"/>
    </row>
    <row r="547">
      <c r="A547" s="503"/>
      <c r="B547" s="504"/>
      <c r="C547" s="503"/>
    </row>
    <row r="548">
      <c r="A548" s="503"/>
      <c r="B548" s="504"/>
      <c r="C548" s="503"/>
    </row>
    <row r="549">
      <c r="A549" s="503"/>
      <c r="B549" s="504"/>
      <c r="C549" s="503"/>
    </row>
    <row r="550">
      <c r="A550" s="503"/>
      <c r="B550" s="504"/>
      <c r="C550" s="503"/>
    </row>
    <row r="551">
      <c r="A551" s="503"/>
      <c r="B551" s="504"/>
      <c r="C551" s="503"/>
    </row>
    <row r="552">
      <c r="A552" s="503"/>
      <c r="B552" s="504"/>
      <c r="C552" s="503"/>
    </row>
    <row r="553">
      <c r="A553" s="503"/>
      <c r="B553" s="504"/>
      <c r="C553" s="503"/>
    </row>
    <row r="554">
      <c r="A554" s="503"/>
      <c r="B554" s="504"/>
      <c r="C554" s="503"/>
    </row>
    <row r="555">
      <c r="A555" s="503"/>
      <c r="B555" s="504"/>
      <c r="C555" s="503"/>
    </row>
    <row r="556">
      <c r="A556" s="503"/>
      <c r="B556" s="504"/>
      <c r="C556" s="503"/>
    </row>
    <row r="557">
      <c r="A557" s="503"/>
      <c r="B557" s="504"/>
      <c r="C557" s="503"/>
    </row>
    <row r="558">
      <c r="A558" s="503"/>
      <c r="B558" s="504"/>
      <c r="C558" s="503"/>
    </row>
    <row r="559">
      <c r="A559" s="503"/>
      <c r="B559" s="504"/>
      <c r="C559" s="503"/>
    </row>
    <row r="560">
      <c r="A560" s="503"/>
      <c r="B560" s="504"/>
      <c r="C560" s="503"/>
    </row>
    <row r="561">
      <c r="A561" s="503"/>
      <c r="B561" s="504"/>
      <c r="C561" s="503"/>
    </row>
    <row r="562">
      <c r="A562" s="503"/>
      <c r="B562" s="504"/>
      <c r="C562" s="503"/>
    </row>
    <row r="563">
      <c r="A563" s="503"/>
      <c r="B563" s="504"/>
      <c r="C563" s="503"/>
    </row>
    <row r="564">
      <c r="A564" s="503"/>
      <c r="B564" s="504"/>
      <c r="C564" s="503"/>
    </row>
    <row r="565">
      <c r="A565" s="503"/>
      <c r="B565" s="504"/>
      <c r="C565" s="503"/>
    </row>
    <row r="566">
      <c r="A566" s="503"/>
      <c r="B566" s="504"/>
      <c r="C566" s="503"/>
    </row>
    <row r="567">
      <c r="A567" s="503"/>
      <c r="B567" s="504"/>
      <c r="C567" s="503"/>
    </row>
    <row r="568">
      <c r="A568" s="503"/>
      <c r="B568" s="504"/>
      <c r="C568" s="503"/>
    </row>
    <row r="569">
      <c r="A569" s="503"/>
      <c r="B569" s="504"/>
      <c r="C569" s="503"/>
    </row>
    <row r="570">
      <c r="A570" s="503"/>
      <c r="B570" s="504"/>
      <c r="C570" s="503"/>
    </row>
    <row r="571">
      <c r="A571" s="503"/>
      <c r="B571" s="504"/>
      <c r="C571" s="503"/>
    </row>
    <row r="572">
      <c r="A572" s="503"/>
      <c r="B572" s="504"/>
      <c r="C572" s="503"/>
    </row>
    <row r="573">
      <c r="A573" s="503"/>
      <c r="B573" s="504"/>
      <c r="C573" s="503"/>
    </row>
    <row r="574">
      <c r="A574" s="503"/>
      <c r="B574" s="504"/>
      <c r="C574" s="503"/>
    </row>
    <row r="575">
      <c r="A575" s="503"/>
      <c r="B575" s="504"/>
      <c r="C575" s="503"/>
    </row>
    <row r="576">
      <c r="A576" s="503"/>
      <c r="B576" s="504"/>
      <c r="C576" s="503"/>
    </row>
    <row r="577">
      <c r="A577" s="503"/>
      <c r="B577" s="504"/>
      <c r="C577" s="503"/>
    </row>
    <row r="578">
      <c r="A578" s="503"/>
      <c r="B578" s="504"/>
      <c r="C578" s="503"/>
    </row>
    <row r="579">
      <c r="A579" s="503"/>
      <c r="B579" s="504"/>
      <c r="C579" s="503"/>
    </row>
    <row r="580">
      <c r="A580" s="503"/>
      <c r="B580" s="504"/>
      <c r="C580" s="503"/>
    </row>
    <row r="581">
      <c r="A581" s="503"/>
      <c r="B581" s="504"/>
      <c r="C581" s="503"/>
    </row>
    <row r="582">
      <c r="A582" s="503"/>
      <c r="B582" s="504"/>
      <c r="C582" s="503"/>
    </row>
    <row r="583">
      <c r="A583" s="503"/>
      <c r="B583" s="504"/>
      <c r="C583" s="503"/>
    </row>
    <row r="584">
      <c r="A584" s="503"/>
      <c r="B584" s="504"/>
      <c r="C584" s="503"/>
    </row>
    <row r="585">
      <c r="A585" s="503"/>
      <c r="B585" s="504"/>
      <c r="C585" s="503"/>
    </row>
    <row r="586">
      <c r="A586" s="503"/>
      <c r="B586" s="504"/>
      <c r="C586" s="503"/>
    </row>
    <row r="587">
      <c r="A587" s="503"/>
      <c r="B587" s="504"/>
      <c r="C587" s="503"/>
    </row>
    <row r="588">
      <c r="A588" s="503"/>
      <c r="B588" s="504"/>
      <c r="C588" s="503"/>
    </row>
    <row r="589">
      <c r="A589" s="503"/>
      <c r="B589" s="504"/>
      <c r="C589" s="503"/>
    </row>
    <row r="590">
      <c r="A590" s="503"/>
      <c r="B590" s="504"/>
      <c r="C590" s="503"/>
    </row>
    <row r="591">
      <c r="A591" s="503"/>
      <c r="B591" s="504"/>
      <c r="C591" s="503"/>
    </row>
    <row r="592">
      <c r="A592" s="503"/>
      <c r="B592" s="504"/>
      <c r="C592" s="503"/>
    </row>
    <row r="593">
      <c r="A593" s="503"/>
      <c r="B593" s="504"/>
      <c r="C593" s="503"/>
    </row>
    <row r="594">
      <c r="A594" s="503"/>
      <c r="B594" s="504"/>
      <c r="C594" s="503"/>
    </row>
    <row r="595">
      <c r="A595" s="503"/>
      <c r="B595" s="504"/>
      <c r="C595" s="503"/>
    </row>
    <row r="596">
      <c r="A596" s="503"/>
      <c r="B596" s="504"/>
      <c r="C596" s="503"/>
    </row>
    <row r="597">
      <c r="A597" s="503"/>
      <c r="B597" s="504"/>
      <c r="C597" s="503"/>
    </row>
    <row r="598">
      <c r="A598" s="503"/>
      <c r="B598" s="504"/>
      <c r="C598" s="503"/>
    </row>
    <row r="599">
      <c r="A599" s="503"/>
      <c r="B599" s="504"/>
      <c r="C599" s="503"/>
    </row>
    <row r="600">
      <c r="A600" s="503"/>
      <c r="B600" s="504"/>
      <c r="C600" s="503"/>
    </row>
    <row r="601">
      <c r="A601" s="503"/>
      <c r="B601" s="504"/>
      <c r="C601" s="503"/>
    </row>
    <row r="602">
      <c r="A602" s="503"/>
      <c r="B602" s="504"/>
      <c r="C602" s="503"/>
    </row>
    <row r="603">
      <c r="A603" s="503"/>
      <c r="B603" s="504"/>
      <c r="C603" s="503"/>
    </row>
    <row r="604">
      <c r="A604" s="503"/>
      <c r="B604" s="504"/>
      <c r="C604" s="503"/>
    </row>
    <row r="605">
      <c r="A605" s="503"/>
      <c r="B605" s="504"/>
      <c r="C605" s="503"/>
    </row>
    <row r="606">
      <c r="A606" s="503"/>
      <c r="B606" s="504"/>
      <c r="C606" s="503"/>
    </row>
    <row r="607">
      <c r="A607" s="503"/>
      <c r="B607" s="504"/>
      <c r="C607" s="503"/>
    </row>
    <row r="608">
      <c r="A608" s="503"/>
      <c r="B608" s="504"/>
      <c r="C608" s="503"/>
    </row>
    <row r="609">
      <c r="A609" s="503"/>
      <c r="B609" s="504"/>
      <c r="C609" s="503"/>
    </row>
    <row r="610">
      <c r="A610" s="503"/>
      <c r="B610" s="504"/>
      <c r="C610" s="503"/>
    </row>
    <row r="611">
      <c r="A611" s="503"/>
      <c r="B611" s="504"/>
      <c r="C611" s="503"/>
    </row>
    <row r="612">
      <c r="A612" s="503"/>
      <c r="B612" s="504"/>
      <c r="C612" s="503"/>
    </row>
    <row r="613">
      <c r="A613" s="503"/>
      <c r="B613" s="504"/>
      <c r="C613" s="503"/>
    </row>
    <row r="614">
      <c r="A614" s="503"/>
      <c r="B614" s="504"/>
      <c r="C614" s="503"/>
    </row>
    <row r="615">
      <c r="A615" s="503"/>
      <c r="B615" s="504"/>
      <c r="C615" s="503"/>
    </row>
    <row r="616">
      <c r="A616" s="503"/>
      <c r="B616" s="504"/>
      <c r="C616" s="503"/>
    </row>
    <row r="617">
      <c r="A617" s="503"/>
      <c r="B617" s="504"/>
      <c r="C617" s="503"/>
    </row>
    <row r="618">
      <c r="A618" s="503"/>
      <c r="B618" s="504"/>
      <c r="C618" s="503"/>
    </row>
    <row r="619">
      <c r="A619" s="503"/>
      <c r="B619" s="504"/>
      <c r="C619" s="503"/>
    </row>
    <row r="620">
      <c r="A620" s="503"/>
      <c r="B620" s="504"/>
      <c r="C620" s="503"/>
    </row>
    <row r="621">
      <c r="A621" s="503"/>
      <c r="B621" s="504"/>
      <c r="C621" s="503"/>
    </row>
    <row r="622">
      <c r="A622" s="503"/>
      <c r="B622" s="504"/>
      <c r="C622" s="503"/>
    </row>
    <row r="623">
      <c r="A623" s="503"/>
      <c r="B623" s="504"/>
      <c r="C623" s="503"/>
    </row>
    <row r="624">
      <c r="A624" s="503"/>
      <c r="B624" s="504"/>
      <c r="C624" s="503"/>
    </row>
    <row r="625">
      <c r="A625" s="503"/>
      <c r="B625" s="504"/>
      <c r="C625" s="503"/>
    </row>
    <row r="626">
      <c r="A626" s="503"/>
      <c r="B626" s="504"/>
      <c r="C626" s="503"/>
    </row>
    <row r="627">
      <c r="A627" s="503"/>
      <c r="B627" s="504"/>
      <c r="C627" s="503"/>
    </row>
    <row r="628">
      <c r="A628" s="503"/>
      <c r="B628" s="504"/>
      <c r="C628" s="503"/>
    </row>
    <row r="629">
      <c r="A629" s="503"/>
      <c r="B629" s="504"/>
      <c r="C629" s="503"/>
    </row>
    <row r="630">
      <c r="A630" s="503"/>
      <c r="B630" s="504"/>
      <c r="C630" s="503"/>
    </row>
    <row r="631">
      <c r="A631" s="503"/>
      <c r="B631" s="504"/>
      <c r="C631" s="503"/>
    </row>
    <row r="632">
      <c r="A632" s="503"/>
      <c r="B632" s="504"/>
      <c r="C632" s="503"/>
    </row>
    <row r="633">
      <c r="A633" s="503"/>
      <c r="B633" s="504"/>
      <c r="C633" s="503"/>
    </row>
    <row r="634">
      <c r="A634" s="503"/>
      <c r="B634" s="504"/>
      <c r="C634" s="503"/>
    </row>
    <row r="635">
      <c r="A635" s="503"/>
      <c r="B635" s="504"/>
      <c r="C635" s="503"/>
    </row>
    <row r="636">
      <c r="A636" s="503"/>
      <c r="B636" s="504"/>
      <c r="C636" s="503"/>
    </row>
    <row r="637">
      <c r="A637" s="503"/>
      <c r="B637" s="504"/>
      <c r="C637" s="503"/>
    </row>
    <row r="638">
      <c r="A638" s="503"/>
      <c r="B638" s="504"/>
      <c r="C638" s="503"/>
    </row>
    <row r="639">
      <c r="A639" s="503"/>
      <c r="B639" s="504"/>
      <c r="C639" s="503"/>
    </row>
    <row r="640">
      <c r="A640" s="503"/>
      <c r="B640" s="504"/>
      <c r="C640" s="503"/>
    </row>
    <row r="641">
      <c r="A641" s="503"/>
      <c r="B641" s="504"/>
      <c r="C641" s="503"/>
    </row>
    <row r="642">
      <c r="A642" s="503"/>
      <c r="B642" s="504"/>
      <c r="C642" s="503"/>
    </row>
    <row r="643">
      <c r="A643" s="503"/>
      <c r="B643" s="504"/>
      <c r="C643" s="503"/>
    </row>
    <row r="644">
      <c r="A644" s="503"/>
      <c r="B644" s="504"/>
      <c r="C644" s="503"/>
    </row>
    <row r="645">
      <c r="A645" s="503"/>
      <c r="B645" s="504"/>
      <c r="C645" s="503"/>
    </row>
    <row r="646">
      <c r="A646" s="503"/>
      <c r="B646" s="504"/>
      <c r="C646" s="503"/>
    </row>
    <row r="647">
      <c r="A647" s="503"/>
      <c r="B647" s="504"/>
      <c r="C647" s="503"/>
    </row>
    <row r="648">
      <c r="A648" s="503"/>
      <c r="B648" s="504"/>
      <c r="C648" s="503"/>
    </row>
    <row r="649">
      <c r="A649" s="503"/>
      <c r="B649" s="504"/>
      <c r="C649" s="503"/>
    </row>
    <row r="650">
      <c r="A650" s="503"/>
      <c r="B650" s="504"/>
      <c r="C650" s="503"/>
    </row>
    <row r="651">
      <c r="A651" s="503"/>
      <c r="B651" s="504"/>
      <c r="C651" s="503"/>
    </row>
    <row r="652">
      <c r="A652" s="503"/>
      <c r="B652" s="504"/>
      <c r="C652" s="503"/>
    </row>
    <row r="653">
      <c r="A653" s="503"/>
      <c r="B653" s="504"/>
      <c r="C653" s="503"/>
    </row>
    <row r="654">
      <c r="A654" s="503"/>
      <c r="B654" s="504"/>
      <c r="C654" s="503"/>
    </row>
    <row r="655">
      <c r="A655" s="503"/>
      <c r="B655" s="504"/>
      <c r="C655" s="503"/>
    </row>
    <row r="656">
      <c r="A656" s="503"/>
      <c r="B656" s="504"/>
      <c r="C656" s="503"/>
    </row>
    <row r="657">
      <c r="A657" s="503"/>
      <c r="B657" s="504"/>
      <c r="C657" s="503"/>
    </row>
    <row r="658">
      <c r="A658" s="503"/>
      <c r="B658" s="504"/>
      <c r="C658" s="503"/>
    </row>
    <row r="659">
      <c r="A659" s="503"/>
      <c r="B659" s="504"/>
      <c r="C659" s="503"/>
    </row>
    <row r="660">
      <c r="A660" s="503"/>
      <c r="B660" s="504"/>
      <c r="C660" s="503"/>
    </row>
    <row r="661">
      <c r="A661" s="503"/>
      <c r="B661" s="504"/>
      <c r="C661" s="503"/>
    </row>
    <row r="662">
      <c r="A662" s="503"/>
      <c r="B662" s="504"/>
      <c r="C662" s="503"/>
    </row>
    <row r="663">
      <c r="A663" s="503"/>
      <c r="B663" s="504"/>
      <c r="C663" s="503"/>
    </row>
    <row r="664">
      <c r="A664" s="503"/>
      <c r="B664" s="504"/>
      <c r="C664" s="503"/>
    </row>
    <row r="665">
      <c r="A665" s="503"/>
      <c r="B665" s="504"/>
      <c r="C665" s="503"/>
    </row>
    <row r="666">
      <c r="A666" s="503"/>
      <c r="B666" s="504"/>
      <c r="C666" s="503"/>
    </row>
    <row r="667">
      <c r="A667" s="503"/>
      <c r="B667" s="504"/>
      <c r="C667" s="503"/>
    </row>
    <row r="668">
      <c r="A668" s="503"/>
      <c r="B668" s="504"/>
      <c r="C668" s="503"/>
    </row>
    <row r="669">
      <c r="A669" s="503"/>
      <c r="B669" s="504"/>
      <c r="C669" s="503"/>
    </row>
    <row r="670">
      <c r="A670" s="503"/>
      <c r="B670" s="504"/>
      <c r="C670" s="503"/>
    </row>
    <row r="671">
      <c r="A671" s="503"/>
      <c r="B671" s="504"/>
      <c r="C671" s="503"/>
    </row>
    <row r="672">
      <c r="A672" s="503"/>
      <c r="B672" s="504"/>
      <c r="C672" s="503"/>
    </row>
    <row r="673">
      <c r="A673" s="503"/>
      <c r="B673" s="504"/>
      <c r="C673" s="503"/>
    </row>
    <row r="674">
      <c r="A674" s="503"/>
      <c r="B674" s="504"/>
      <c r="C674" s="503"/>
    </row>
    <row r="675">
      <c r="A675" s="503"/>
      <c r="B675" s="504"/>
      <c r="C675" s="503"/>
    </row>
    <row r="676">
      <c r="A676" s="503"/>
      <c r="B676" s="504"/>
      <c r="C676" s="503"/>
    </row>
    <row r="677">
      <c r="A677" s="503"/>
      <c r="B677" s="504"/>
      <c r="C677" s="503"/>
    </row>
    <row r="678">
      <c r="A678" s="503"/>
      <c r="B678" s="504"/>
      <c r="C678" s="503"/>
    </row>
    <row r="679">
      <c r="A679" s="503"/>
      <c r="B679" s="504"/>
      <c r="C679" s="503"/>
    </row>
    <row r="680">
      <c r="A680" s="503"/>
      <c r="B680" s="504"/>
      <c r="C680" s="503"/>
    </row>
    <row r="681">
      <c r="A681" s="503"/>
      <c r="B681" s="504"/>
      <c r="C681" s="503"/>
    </row>
    <row r="682">
      <c r="A682" s="503"/>
      <c r="B682" s="504"/>
      <c r="C682" s="503"/>
    </row>
    <row r="683">
      <c r="A683" s="503"/>
      <c r="B683" s="504"/>
      <c r="C683" s="503"/>
    </row>
    <row r="684">
      <c r="A684" s="503"/>
      <c r="B684" s="504"/>
      <c r="C684" s="503"/>
    </row>
    <row r="685">
      <c r="A685" s="503"/>
      <c r="B685" s="504"/>
      <c r="C685" s="503"/>
    </row>
    <row r="686">
      <c r="A686" s="503"/>
      <c r="B686" s="504"/>
      <c r="C686" s="503"/>
    </row>
    <row r="687">
      <c r="A687" s="503"/>
      <c r="B687" s="504"/>
      <c r="C687" s="503"/>
    </row>
    <row r="688">
      <c r="A688" s="503"/>
      <c r="B688" s="504"/>
      <c r="C688" s="503"/>
    </row>
    <row r="689">
      <c r="A689" s="503"/>
      <c r="B689" s="504"/>
      <c r="C689" s="503"/>
    </row>
    <row r="690">
      <c r="A690" s="503"/>
      <c r="B690" s="504"/>
      <c r="C690" s="503"/>
    </row>
    <row r="691">
      <c r="A691" s="503"/>
      <c r="B691" s="504"/>
      <c r="C691" s="503"/>
    </row>
    <row r="692">
      <c r="A692" s="503"/>
      <c r="B692" s="504"/>
      <c r="C692" s="503"/>
    </row>
    <row r="693">
      <c r="A693" s="503"/>
      <c r="B693" s="504"/>
      <c r="C693" s="503"/>
    </row>
    <row r="694">
      <c r="A694" s="503"/>
      <c r="B694" s="504"/>
      <c r="C694" s="503"/>
    </row>
    <row r="695">
      <c r="A695" s="503"/>
      <c r="B695" s="504"/>
      <c r="C695" s="503"/>
    </row>
    <row r="696">
      <c r="A696" s="503"/>
      <c r="B696" s="504"/>
      <c r="C696" s="503"/>
    </row>
    <row r="697">
      <c r="A697" s="503"/>
      <c r="B697" s="504"/>
      <c r="C697" s="503"/>
    </row>
    <row r="698">
      <c r="A698" s="503"/>
      <c r="B698" s="504"/>
      <c r="C698" s="503"/>
    </row>
    <row r="699">
      <c r="A699" s="503"/>
      <c r="B699" s="504"/>
      <c r="C699" s="503"/>
    </row>
    <row r="700">
      <c r="A700" s="503"/>
      <c r="B700" s="504"/>
      <c r="C700" s="503"/>
    </row>
    <row r="701">
      <c r="A701" s="503"/>
      <c r="B701" s="504"/>
      <c r="C701" s="503"/>
    </row>
    <row r="702">
      <c r="A702" s="503"/>
      <c r="B702" s="504"/>
      <c r="C702" s="503"/>
    </row>
    <row r="703">
      <c r="A703" s="503"/>
      <c r="B703" s="504"/>
      <c r="C703" s="503"/>
    </row>
    <row r="704">
      <c r="A704" s="503"/>
      <c r="B704" s="504"/>
      <c r="C704" s="503"/>
    </row>
    <row r="705">
      <c r="A705" s="503"/>
      <c r="B705" s="504"/>
      <c r="C705" s="503"/>
    </row>
    <row r="706">
      <c r="A706" s="503"/>
      <c r="B706" s="504"/>
      <c r="C706" s="503"/>
    </row>
    <row r="707">
      <c r="A707" s="503"/>
      <c r="B707" s="504"/>
      <c r="C707" s="503"/>
    </row>
    <row r="708">
      <c r="A708" s="503"/>
      <c r="B708" s="504"/>
      <c r="C708" s="503"/>
    </row>
    <row r="709">
      <c r="A709" s="503"/>
      <c r="B709" s="504"/>
      <c r="C709" s="503"/>
    </row>
    <row r="710">
      <c r="A710" s="503"/>
      <c r="B710" s="504"/>
      <c r="C710" s="503"/>
    </row>
    <row r="711">
      <c r="A711" s="503"/>
      <c r="B711" s="504"/>
      <c r="C711" s="503"/>
    </row>
    <row r="712">
      <c r="A712" s="503"/>
      <c r="B712" s="504"/>
      <c r="C712" s="503"/>
    </row>
    <row r="713">
      <c r="A713" s="503"/>
      <c r="B713" s="504"/>
      <c r="C713" s="503"/>
    </row>
    <row r="714">
      <c r="A714" s="503"/>
      <c r="B714" s="504"/>
      <c r="C714" s="503"/>
    </row>
    <row r="715">
      <c r="A715" s="503"/>
      <c r="B715" s="504"/>
      <c r="C715" s="503"/>
    </row>
    <row r="716">
      <c r="A716" s="503"/>
      <c r="B716" s="504"/>
      <c r="C716" s="503"/>
    </row>
    <row r="717">
      <c r="A717" s="503"/>
      <c r="B717" s="504"/>
      <c r="C717" s="503"/>
    </row>
    <row r="718">
      <c r="A718" s="503"/>
      <c r="B718" s="504"/>
      <c r="C718" s="503"/>
    </row>
    <row r="719">
      <c r="A719" s="503"/>
      <c r="B719" s="504"/>
      <c r="C719" s="503"/>
    </row>
    <row r="720">
      <c r="A720" s="503"/>
      <c r="B720" s="504"/>
      <c r="C720" s="503"/>
    </row>
    <row r="721">
      <c r="A721" s="503"/>
      <c r="B721" s="504"/>
      <c r="C721" s="503"/>
    </row>
    <row r="722">
      <c r="A722" s="503"/>
      <c r="B722" s="504"/>
      <c r="C722" s="503"/>
    </row>
    <row r="723">
      <c r="A723" s="503"/>
      <c r="B723" s="504"/>
      <c r="C723" s="503"/>
    </row>
    <row r="724">
      <c r="A724" s="503"/>
      <c r="B724" s="504"/>
      <c r="C724" s="503"/>
    </row>
    <row r="725">
      <c r="A725" s="503"/>
      <c r="B725" s="504"/>
      <c r="C725" s="503"/>
    </row>
    <row r="726">
      <c r="A726" s="503"/>
      <c r="B726" s="504"/>
      <c r="C726" s="503"/>
    </row>
    <row r="727">
      <c r="A727" s="503"/>
      <c r="B727" s="504"/>
      <c r="C727" s="503"/>
    </row>
    <row r="728">
      <c r="A728" s="503"/>
      <c r="B728" s="504"/>
      <c r="C728" s="503"/>
    </row>
    <row r="729">
      <c r="A729" s="503"/>
      <c r="B729" s="504"/>
      <c r="C729" s="503"/>
    </row>
    <row r="730">
      <c r="A730" s="503"/>
      <c r="B730" s="504"/>
      <c r="C730" s="503"/>
    </row>
    <row r="731">
      <c r="A731" s="503"/>
      <c r="B731" s="504"/>
      <c r="C731" s="503"/>
    </row>
    <row r="732">
      <c r="A732" s="503"/>
      <c r="B732" s="504"/>
      <c r="C732" s="503"/>
    </row>
    <row r="733">
      <c r="A733" s="503"/>
      <c r="B733" s="504"/>
      <c r="C733" s="503"/>
    </row>
    <row r="734">
      <c r="A734" s="503"/>
      <c r="B734" s="504"/>
      <c r="C734" s="503"/>
    </row>
    <row r="735">
      <c r="A735" s="503"/>
      <c r="B735" s="504"/>
      <c r="C735" s="503"/>
    </row>
    <row r="736">
      <c r="A736" s="503"/>
      <c r="B736" s="504"/>
      <c r="C736" s="503"/>
    </row>
    <row r="737">
      <c r="A737" s="503"/>
      <c r="B737" s="504"/>
      <c r="C737" s="503"/>
    </row>
    <row r="738">
      <c r="A738" s="503"/>
      <c r="B738" s="504"/>
      <c r="C738" s="503"/>
    </row>
    <row r="739">
      <c r="A739" s="503"/>
      <c r="B739" s="504"/>
      <c r="C739" s="503"/>
    </row>
    <row r="740">
      <c r="A740" s="503"/>
      <c r="B740" s="504"/>
      <c r="C740" s="503"/>
    </row>
    <row r="741">
      <c r="A741" s="503"/>
      <c r="B741" s="504"/>
      <c r="C741" s="503"/>
    </row>
    <row r="742">
      <c r="A742" s="503"/>
      <c r="B742" s="504"/>
      <c r="C742" s="503"/>
    </row>
    <row r="743">
      <c r="A743" s="503"/>
      <c r="B743" s="504"/>
      <c r="C743" s="503"/>
    </row>
    <row r="744">
      <c r="A744" s="503"/>
      <c r="B744" s="504"/>
      <c r="C744" s="503"/>
    </row>
    <row r="745">
      <c r="A745" s="503"/>
      <c r="B745" s="504"/>
      <c r="C745" s="503"/>
    </row>
    <row r="746">
      <c r="A746" s="503"/>
      <c r="B746" s="504"/>
      <c r="C746" s="503"/>
    </row>
    <row r="747">
      <c r="A747" s="503"/>
      <c r="B747" s="504"/>
      <c r="C747" s="503"/>
    </row>
    <row r="748">
      <c r="A748" s="503"/>
      <c r="B748" s="504"/>
      <c r="C748" s="503"/>
    </row>
    <row r="749">
      <c r="A749" s="503"/>
      <c r="B749" s="504"/>
      <c r="C749" s="503"/>
    </row>
    <row r="750">
      <c r="A750" s="503"/>
      <c r="B750" s="504"/>
      <c r="C750" s="503"/>
    </row>
    <row r="751">
      <c r="A751" s="503"/>
      <c r="B751" s="504"/>
      <c r="C751" s="503"/>
    </row>
    <row r="752">
      <c r="A752" s="503"/>
      <c r="B752" s="504"/>
      <c r="C752" s="503"/>
    </row>
    <row r="753">
      <c r="A753" s="503"/>
      <c r="B753" s="504"/>
      <c r="C753" s="503"/>
    </row>
    <row r="754">
      <c r="A754" s="503"/>
      <c r="B754" s="504"/>
      <c r="C754" s="503"/>
    </row>
    <row r="755">
      <c r="A755" s="503"/>
      <c r="B755" s="504"/>
      <c r="C755" s="503"/>
    </row>
    <row r="756">
      <c r="A756" s="503"/>
      <c r="B756" s="504"/>
      <c r="C756" s="503"/>
    </row>
    <row r="757">
      <c r="A757" s="503"/>
      <c r="B757" s="504"/>
      <c r="C757" s="503"/>
    </row>
    <row r="758">
      <c r="A758" s="503"/>
      <c r="B758" s="504"/>
      <c r="C758" s="503"/>
    </row>
    <row r="759">
      <c r="A759" s="503"/>
      <c r="B759" s="504"/>
      <c r="C759" s="503"/>
    </row>
    <row r="760">
      <c r="A760" s="503"/>
      <c r="B760" s="504"/>
      <c r="C760" s="503"/>
    </row>
    <row r="761">
      <c r="A761" s="503"/>
      <c r="B761" s="504"/>
      <c r="C761" s="503"/>
    </row>
    <row r="762">
      <c r="A762" s="503"/>
      <c r="B762" s="504"/>
      <c r="C762" s="503"/>
    </row>
    <row r="763">
      <c r="A763" s="503"/>
      <c r="B763" s="504"/>
      <c r="C763" s="503"/>
    </row>
    <row r="764">
      <c r="A764" s="503"/>
      <c r="B764" s="504"/>
      <c r="C764" s="503"/>
    </row>
    <row r="765">
      <c r="A765" s="503"/>
      <c r="B765" s="504"/>
      <c r="C765" s="503"/>
    </row>
    <row r="766">
      <c r="A766" s="503"/>
      <c r="B766" s="504"/>
      <c r="C766" s="503"/>
    </row>
    <row r="767">
      <c r="A767" s="503"/>
      <c r="B767" s="504"/>
      <c r="C767" s="503"/>
    </row>
    <row r="768">
      <c r="A768" s="503"/>
      <c r="B768" s="504"/>
      <c r="C768" s="503"/>
    </row>
    <row r="769">
      <c r="A769" s="503"/>
      <c r="B769" s="504"/>
      <c r="C769" s="503"/>
    </row>
    <row r="770">
      <c r="A770" s="503"/>
      <c r="B770" s="504"/>
      <c r="C770" s="503"/>
    </row>
    <row r="771">
      <c r="A771" s="503"/>
      <c r="B771" s="504"/>
      <c r="C771" s="503"/>
    </row>
    <row r="772">
      <c r="A772" s="503"/>
      <c r="B772" s="504"/>
      <c r="C772" s="503"/>
    </row>
    <row r="773">
      <c r="A773" s="503"/>
      <c r="B773" s="504"/>
      <c r="C773" s="503"/>
    </row>
    <row r="774">
      <c r="A774" s="503"/>
      <c r="B774" s="504"/>
      <c r="C774" s="503"/>
    </row>
    <row r="775">
      <c r="A775" s="503"/>
      <c r="B775" s="504"/>
      <c r="C775" s="503"/>
    </row>
    <row r="776">
      <c r="A776" s="503"/>
      <c r="B776" s="504"/>
      <c r="C776" s="503"/>
    </row>
    <row r="777">
      <c r="A777" s="503"/>
      <c r="B777" s="504"/>
      <c r="C777" s="503"/>
    </row>
    <row r="778">
      <c r="A778" s="503"/>
      <c r="B778" s="504"/>
      <c r="C778" s="503"/>
    </row>
    <row r="779">
      <c r="A779" s="503"/>
      <c r="B779" s="504"/>
      <c r="C779" s="503"/>
    </row>
    <row r="780">
      <c r="A780" s="503"/>
      <c r="B780" s="504"/>
      <c r="C780" s="503"/>
    </row>
    <row r="781">
      <c r="A781" s="503"/>
      <c r="B781" s="504"/>
      <c r="C781" s="503"/>
    </row>
    <row r="782">
      <c r="A782" s="503"/>
      <c r="B782" s="504"/>
      <c r="C782" s="503"/>
    </row>
    <row r="783">
      <c r="A783" s="503"/>
      <c r="B783" s="504"/>
      <c r="C783" s="503"/>
    </row>
    <row r="784">
      <c r="A784" s="503"/>
      <c r="B784" s="504"/>
      <c r="C784" s="503"/>
    </row>
    <row r="785">
      <c r="A785" s="503"/>
      <c r="B785" s="504"/>
      <c r="C785" s="503"/>
    </row>
    <row r="786">
      <c r="A786" s="503"/>
      <c r="B786" s="504"/>
      <c r="C786" s="503"/>
    </row>
    <row r="787">
      <c r="A787" s="503"/>
      <c r="B787" s="504"/>
      <c r="C787" s="503"/>
    </row>
    <row r="788">
      <c r="A788" s="503"/>
      <c r="B788" s="504"/>
      <c r="C788" s="503"/>
    </row>
    <row r="789">
      <c r="A789" s="503"/>
      <c r="B789" s="504"/>
      <c r="C789" s="503"/>
    </row>
    <row r="790">
      <c r="A790" s="503"/>
      <c r="B790" s="504"/>
      <c r="C790" s="503"/>
    </row>
    <row r="791">
      <c r="A791" s="503"/>
      <c r="B791" s="504"/>
      <c r="C791" s="503"/>
    </row>
    <row r="792">
      <c r="A792" s="503"/>
      <c r="B792" s="504"/>
      <c r="C792" s="503"/>
    </row>
    <row r="793">
      <c r="A793" s="503"/>
      <c r="B793" s="504"/>
      <c r="C793" s="503"/>
    </row>
    <row r="794">
      <c r="A794" s="503"/>
      <c r="B794" s="504"/>
      <c r="C794" s="503"/>
    </row>
    <row r="795">
      <c r="A795" s="503"/>
      <c r="B795" s="504"/>
      <c r="C795" s="503"/>
    </row>
    <row r="796">
      <c r="A796" s="503"/>
      <c r="B796" s="504"/>
      <c r="C796" s="503"/>
    </row>
    <row r="797">
      <c r="A797" s="503"/>
      <c r="B797" s="504"/>
      <c r="C797" s="503"/>
    </row>
    <row r="798">
      <c r="A798" s="503"/>
      <c r="B798" s="504"/>
      <c r="C798" s="503"/>
    </row>
    <row r="799">
      <c r="A799" s="503"/>
      <c r="B799" s="504"/>
      <c r="C799" s="503"/>
    </row>
    <row r="800">
      <c r="A800" s="503"/>
      <c r="B800" s="504"/>
      <c r="C800" s="503"/>
    </row>
    <row r="801">
      <c r="A801" s="503"/>
      <c r="B801" s="504"/>
      <c r="C801" s="503"/>
    </row>
    <row r="802">
      <c r="A802" s="503"/>
      <c r="B802" s="504"/>
      <c r="C802" s="503"/>
    </row>
    <row r="803">
      <c r="A803" s="503"/>
      <c r="B803" s="504"/>
      <c r="C803" s="503"/>
    </row>
    <row r="804">
      <c r="A804" s="503"/>
      <c r="B804" s="504"/>
      <c r="C804" s="503"/>
    </row>
    <row r="805">
      <c r="A805" s="503"/>
      <c r="B805" s="504"/>
      <c r="C805" s="503"/>
    </row>
    <row r="806">
      <c r="A806" s="503"/>
      <c r="B806" s="504"/>
      <c r="C806" s="503"/>
    </row>
    <row r="807">
      <c r="A807" s="503"/>
      <c r="B807" s="504"/>
      <c r="C807" s="503"/>
    </row>
    <row r="808">
      <c r="A808" s="503"/>
      <c r="B808" s="504"/>
      <c r="C808" s="503"/>
    </row>
    <row r="809">
      <c r="A809" s="503"/>
      <c r="B809" s="504"/>
      <c r="C809" s="503"/>
    </row>
    <row r="810">
      <c r="A810" s="503"/>
      <c r="B810" s="504"/>
      <c r="C810" s="503"/>
    </row>
    <row r="811">
      <c r="A811" s="503"/>
      <c r="B811" s="504"/>
      <c r="C811" s="503"/>
    </row>
    <row r="812">
      <c r="A812" s="503"/>
      <c r="B812" s="504"/>
      <c r="C812" s="503"/>
    </row>
    <row r="813">
      <c r="A813" s="503"/>
      <c r="B813" s="504"/>
      <c r="C813" s="503"/>
    </row>
    <row r="814">
      <c r="A814" s="503"/>
      <c r="B814" s="504"/>
      <c r="C814" s="503"/>
    </row>
    <row r="815">
      <c r="A815" s="503"/>
      <c r="B815" s="504"/>
      <c r="C815" s="503"/>
    </row>
    <row r="816">
      <c r="A816" s="503"/>
      <c r="B816" s="504"/>
      <c r="C816" s="503"/>
    </row>
    <row r="817">
      <c r="A817" s="503"/>
      <c r="B817" s="504"/>
      <c r="C817" s="503"/>
    </row>
    <row r="818">
      <c r="A818" s="503"/>
      <c r="B818" s="504"/>
      <c r="C818" s="503"/>
    </row>
    <row r="819">
      <c r="A819" s="503"/>
      <c r="B819" s="504"/>
      <c r="C819" s="503"/>
    </row>
    <row r="820">
      <c r="A820" s="503"/>
      <c r="B820" s="504"/>
      <c r="C820" s="503"/>
    </row>
    <row r="821">
      <c r="A821" s="503"/>
      <c r="B821" s="504"/>
      <c r="C821" s="503"/>
    </row>
    <row r="822">
      <c r="A822" s="503"/>
      <c r="B822" s="504"/>
      <c r="C822" s="503"/>
    </row>
    <row r="823">
      <c r="A823" s="503"/>
      <c r="B823" s="504"/>
      <c r="C823" s="503"/>
    </row>
    <row r="824">
      <c r="A824" s="503"/>
      <c r="B824" s="504"/>
      <c r="C824" s="503"/>
    </row>
    <row r="825">
      <c r="A825" s="503"/>
      <c r="B825" s="504"/>
      <c r="C825" s="503"/>
    </row>
    <row r="826">
      <c r="A826" s="503"/>
      <c r="B826" s="504"/>
      <c r="C826" s="503"/>
    </row>
    <row r="827">
      <c r="A827" s="503"/>
      <c r="B827" s="504"/>
      <c r="C827" s="503"/>
    </row>
    <row r="828">
      <c r="A828" s="503"/>
      <c r="B828" s="504"/>
      <c r="C828" s="503"/>
    </row>
    <row r="829">
      <c r="A829" s="503"/>
      <c r="B829" s="504"/>
      <c r="C829" s="503"/>
    </row>
    <row r="830">
      <c r="A830" s="503"/>
      <c r="B830" s="504"/>
      <c r="C830" s="503"/>
    </row>
    <row r="831">
      <c r="A831" s="503"/>
      <c r="B831" s="504"/>
      <c r="C831" s="503"/>
    </row>
    <row r="832">
      <c r="A832" s="503"/>
      <c r="B832" s="504"/>
      <c r="C832" s="503"/>
    </row>
    <row r="833">
      <c r="A833" s="503"/>
      <c r="B833" s="504"/>
      <c r="C833" s="503"/>
    </row>
    <row r="834">
      <c r="A834" s="503"/>
      <c r="B834" s="504"/>
      <c r="C834" s="503"/>
    </row>
    <row r="835">
      <c r="A835" s="503"/>
      <c r="B835" s="504"/>
      <c r="C835" s="503"/>
    </row>
    <row r="836">
      <c r="A836" s="503"/>
      <c r="B836" s="504"/>
      <c r="C836" s="503"/>
    </row>
    <row r="837">
      <c r="A837" s="503"/>
      <c r="B837" s="504"/>
      <c r="C837" s="503"/>
    </row>
    <row r="838">
      <c r="A838" s="503"/>
      <c r="B838" s="504"/>
      <c r="C838" s="503"/>
    </row>
    <row r="839">
      <c r="A839" s="503"/>
      <c r="B839" s="504"/>
      <c r="C839" s="503"/>
    </row>
    <row r="840">
      <c r="A840" s="503"/>
      <c r="B840" s="504"/>
      <c r="C840" s="503"/>
    </row>
    <row r="841">
      <c r="A841" s="503"/>
      <c r="B841" s="504"/>
      <c r="C841" s="503"/>
    </row>
    <row r="842">
      <c r="A842" s="503"/>
      <c r="B842" s="504"/>
      <c r="C842" s="503"/>
    </row>
    <row r="843">
      <c r="A843" s="503"/>
      <c r="B843" s="504"/>
      <c r="C843" s="503"/>
    </row>
    <row r="844">
      <c r="A844" s="503"/>
      <c r="B844" s="504"/>
      <c r="C844" s="503"/>
    </row>
    <row r="845">
      <c r="A845" s="503"/>
      <c r="B845" s="504"/>
      <c r="C845" s="503"/>
    </row>
    <row r="846">
      <c r="A846" s="503"/>
      <c r="B846" s="504"/>
      <c r="C846" s="503"/>
    </row>
    <row r="847">
      <c r="A847" s="503"/>
      <c r="B847" s="504"/>
      <c r="C847" s="503"/>
    </row>
    <row r="848">
      <c r="A848" s="503"/>
      <c r="B848" s="504"/>
      <c r="C848" s="503"/>
    </row>
    <row r="849">
      <c r="A849" s="503"/>
      <c r="B849" s="504"/>
      <c r="C849" s="503"/>
    </row>
    <row r="850">
      <c r="A850" s="503"/>
      <c r="B850" s="504"/>
      <c r="C850" s="503"/>
    </row>
    <row r="851">
      <c r="A851" s="503"/>
      <c r="B851" s="504"/>
      <c r="C851" s="503"/>
    </row>
    <row r="852">
      <c r="A852" s="503"/>
      <c r="B852" s="504"/>
      <c r="C852" s="503"/>
    </row>
    <row r="853">
      <c r="A853" s="503"/>
      <c r="B853" s="504"/>
      <c r="C853" s="503"/>
    </row>
    <row r="854">
      <c r="A854" s="503"/>
      <c r="B854" s="504"/>
      <c r="C854" s="503"/>
    </row>
    <row r="855">
      <c r="A855" s="503"/>
      <c r="B855" s="504"/>
      <c r="C855" s="503"/>
    </row>
    <row r="856">
      <c r="A856" s="503"/>
      <c r="B856" s="504"/>
      <c r="C856" s="503"/>
    </row>
    <row r="857">
      <c r="A857" s="503"/>
      <c r="B857" s="504"/>
      <c r="C857" s="503"/>
    </row>
    <row r="858">
      <c r="A858" s="503"/>
      <c r="B858" s="504"/>
      <c r="C858" s="503"/>
    </row>
    <row r="859">
      <c r="A859" s="503"/>
      <c r="B859" s="504"/>
      <c r="C859" s="503"/>
    </row>
    <row r="860">
      <c r="A860" s="503"/>
      <c r="B860" s="504"/>
      <c r="C860" s="503"/>
    </row>
    <row r="861">
      <c r="A861" s="503"/>
      <c r="B861" s="504"/>
      <c r="C861" s="503"/>
    </row>
    <row r="862">
      <c r="A862" s="503"/>
      <c r="B862" s="504"/>
      <c r="C862" s="503"/>
    </row>
    <row r="863">
      <c r="A863" s="503"/>
      <c r="B863" s="504"/>
      <c r="C863" s="503"/>
    </row>
    <row r="864">
      <c r="A864" s="503"/>
      <c r="B864" s="504"/>
      <c r="C864" s="503"/>
    </row>
    <row r="865">
      <c r="A865" s="503"/>
      <c r="B865" s="504"/>
      <c r="C865" s="503"/>
    </row>
    <row r="866">
      <c r="A866" s="503"/>
      <c r="B866" s="504"/>
      <c r="C866" s="503"/>
    </row>
    <row r="867">
      <c r="A867" s="503"/>
      <c r="B867" s="504"/>
      <c r="C867" s="503"/>
    </row>
    <row r="868">
      <c r="A868" s="503"/>
      <c r="B868" s="504"/>
      <c r="C868" s="503"/>
    </row>
    <row r="869">
      <c r="A869" s="503"/>
      <c r="B869" s="504"/>
      <c r="C869" s="503"/>
    </row>
    <row r="870">
      <c r="A870" s="503"/>
      <c r="B870" s="504"/>
      <c r="C870" s="503"/>
    </row>
    <row r="871">
      <c r="A871" s="503"/>
      <c r="B871" s="504"/>
      <c r="C871" s="503"/>
    </row>
    <row r="872">
      <c r="A872" s="503"/>
      <c r="B872" s="504"/>
      <c r="C872" s="503"/>
    </row>
    <row r="873">
      <c r="A873" s="503"/>
      <c r="B873" s="504"/>
      <c r="C873" s="503"/>
    </row>
    <row r="874">
      <c r="A874" s="503"/>
      <c r="B874" s="504"/>
      <c r="C874" s="503"/>
    </row>
    <row r="875">
      <c r="A875" s="503"/>
      <c r="B875" s="504"/>
      <c r="C875" s="503"/>
    </row>
    <row r="876">
      <c r="A876" s="503"/>
      <c r="B876" s="504"/>
      <c r="C876" s="503"/>
    </row>
    <row r="877">
      <c r="A877" s="503"/>
      <c r="B877" s="504"/>
      <c r="C877" s="503"/>
    </row>
    <row r="878">
      <c r="A878" s="503"/>
      <c r="B878" s="504"/>
      <c r="C878" s="503"/>
    </row>
    <row r="879">
      <c r="A879" s="503"/>
      <c r="B879" s="504"/>
      <c r="C879" s="503"/>
    </row>
    <row r="880">
      <c r="A880" s="503"/>
      <c r="B880" s="504"/>
      <c r="C880" s="503"/>
    </row>
    <row r="881">
      <c r="A881" s="503"/>
      <c r="B881" s="504"/>
      <c r="C881" s="503"/>
    </row>
    <row r="882">
      <c r="A882" s="503"/>
      <c r="B882" s="504"/>
      <c r="C882" s="503"/>
    </row>
    <row r="883">
      <c r="A883" s="503"/>
      <c r="B883" s="504"/>
      <c r="C883" s="503"/>
    </row>
    <row r="884">
      <c r="A884" s="503"/>
      <c r="B884" s="504"/>
      <c r="C884" s="503"/>
    </row>
    <row r="885">
      <c r="A885" s="503"/>
      <c r="B885" s="504"/>
      <c r="C885" s="503"/>
    </row>
    <row r="886">
      <c r="A886" s="503"/>
      <c r="B886" s="504"/>
      <c r="C886" s="503"/>
    </row>
    <row r="887">
      <c r="A887" s="503"/>
      <c r="B887" s="504"/>
      <c r="C887" s="503"/>
    </row>
    <row r="888">
      <c r="A888" s="503"/>
      <c r="B888" s="504"/>
      <c r="C888" s="503"/>
    </row>
    <row r="889">
      <c r="A889" s="503"/>
      <c r="B889" s="504"/>
      <c r="C889" s="503"/>
    </row>
    <row r="890">
      <c r="A890" s="503"/>
      <c r="B890" s="504"/>
      <c r="C890" s="503"/>
    </row>
    <row r="891">
      <c r="A891" s="503"/>
      <c r="B891" s="504"/>
      <c r="C891" s="503"/>
    </row>
    <row r="892">
      <c r="A892" s="503"/>
      <c r="B892" s="504"/>
      <c r="C892" s="503"/>
    </row>
    <row r="893">
      <c r="A893" s="503"/>
      <c r="B893" s="504"/>
      <c r="C893" s="503"/>
    </row>
    <row r="894">
      <c r="A894" s="503"/>
      <c r="B894" s="504"/>
      <c r="C894" s="503"/>
    </row>
    <row r="895">
      <c r="A895" s="503"/>
      <c r="B895" s="504"/>
      <c r="C895" s="503"/>
    </row>
    <row r="896">
      <c r="A896" s="503"/>
      <c r="B896" s="504"/>
      <c r="C896" s="503"/>
    </row>
    <row r="897">
      <c r="A897" s="503"/>
      <c r="B897" s="504"/>
      <c r="C897" s="503"/>
    </row>
    <row r="898">
      <c r="A898" s="503"/>
      <c r="B898" s="504"/>
      <c r="C898" s="503"/>
    </row>
    <row r="899">
      <c r="A899" s="503"/>
      <c r="B899" s="504"/>
      <c r="C899" s="503"/>
    </row>
    <row r="900">
      <c r="A900" s="503"/>
      <c r="B900" s="504"/>
      <c r="C900" s="503"/>
    </row>
    <row r="901">
      <c r="A901" s="503"/>
      <c r="B901" s="504"/>
      <c r="C901" s="503"/>
    </row>
    <row r="902">
      <c r="A902" s="503"/>
      <c r="B902" s="504"/>
      <c r="C902" s="503"/>
    </row>
    <row r="903">
      <c r="A903" s="503"/>
      <c r="B903" s="504"/>
      <c r="C903" s="503"/>
    </row>
    <row r="904">
      <c r="A904" s="503"/>
      <c r="B904" s="504"/>
      <c r="C904" s="503"/>
    </row>
    <row r="905">
      <c r="A905" s="503"/>
      <c r="B905" s="504"/>
      <c r="C905" s="503"/>
    </row>
    <row r="906">
      <c r="A906" s="503"/>
      <c r="B906" s="504"/>
      <c r="C906" s="503"/>
    </row>
    <row r="907">
      <c r="A907" s="503"/>
      <c r="B907" s="504"/>
      <c r="C907" s="503"/>
    </row>
    <row r="908">
      <c r="A908" s="503"/>
      <c r="B908" s="504"/>
      <c r="C908" s="503"/>
    </row>
    <row r="909">
      <c r="A909" s="503"/>
      <c r="B909" s="504"/>
      <c r="C909" s="503"/>
    </row>
    <row r="910">
      <c r="A910" s="503"/>
      <c r="B910" s="504"/>
      <c r="C910" s="503"/>
    </row>
    <row r="911">
      <c r="A911" s="503"/>
      <c r="B911" s="504"/>
      <c r="C911" s="503"/>
    </row>
    <row r="912">
      <c r="A912" s="503"/>
      <c r="B912" s="504"/>
      <c r="C912" s="503"/>
    </row>
    <row r="913">
      <c r="A913" s="503"/>
      <c r="B913" s="504"/>
      <c r="C913" s="503"/>
    </row>
    <row r="914">
      <c r="A914" s="503"/>
      <c r="B914" s="504"/>
      <c r="C914" s="503"/>
    </row>
    <row r="915">
      <c r="A915" s="503"/>
      <c r="B915" s="504"/>
      <c r="C915" s="503"/>
    </row>
    <row r="916">
      <c r="A916" s="503"/>
      <c r="B916" s="504"/>
      <c r="C916" s="503"/>
    </row>
    <row r="917">
      <c r="A917" s="503"/>
      <c r="B917" s="504"/>
      <c r="C917" s="503"/>
    </row>
    <row r="918">
      <c r="A918" s="503"/>
      <c r="B918" s="504"/>
      <c r="C918" s="503"/>
    </row>
    <row r="919">
      <c r="A919" s="503"/>
      <c r="B919" s="504"/>
      <c r="C919" s="503"/>
    </row>
    <row r="920">
      <c r="A920" s="503"/>
      <c r="B920" s="504"/>
      <c r="C920" s="503"/>
    </row>
    <row r="921">
      <c r="A921" s="503"/>
      <c r="B921" s="504"/>
      <c r="C921" s="503"/>
    </row>
    <row r="922">
      <c r="A922" s="503"/>
      <c r="B922" s="504"/>
      <c r="C922" s="503"/>
    </row>
    <row r="923">
      <c r="A923" s="503"/>
      <c r="B923" s="504"/>
      <c r="C923" s="503"/>
    </row>
    <row r="924">
      <c r="A924" s="503"/>
      <c r="B924" s="504"/>
      <c r="C924" s="503"/>
    </row>
    <row r="925">
      <c r="A925" s="503"/>
      <c r="B925" s="504"/>
      <c r="C925" s="503"/>
    </row>
    <row r="926">
      <c r="A926" s="503"/>
      <c r="B926" s="504"/>
      <c r="C926" s="503"/>
    </row>
    <row r="927">
      <c r="A927" s="503"/>
      <c r="B927" s="504"/>
      <c r="C927" s="503"/>
    </row>
    <row r="928">
      <c r="A928" s="503"/>
      <c r="B928" s="504"/>
      <c r="C928" s="503"/>
    </row>
    <row r="929">
      <c r="A929" s="503"/>
      <c r="B929" s="504"/>
      <c r="C929" s="503"/>
    </row>
    <row r="930">
      <c r="A930" s="503"/>
      <c r="B930" s="504"/>
      <c r="C930" s="503"/>
    </row>
    <row r="931">
      <c r="A931" s="503"/>
      <c r="B931" s="504"/>
      <c r="C931" s="503"/>
    </row>
    <row r="932">
      <c r="A932" s="503"/>
      <c r="B932" s="504"/>
      <c r="C932" s="503"/>
    </row>
    <row r="933">
      <c r="A933" s="503"/>
      <c r="B933" s="504"/>
      <c r="C933" s="503"/>
    </row>
    <row r="934">
      <c r="A934" s="503"/>
      <c r="B934" s="504"/>
      <c r="C934" s="503"/>
    </row>
    <row r="935">
      <c r="A935" s="503"/>
      <c r="B935" s="504"/>
      <c r="C935" s="503"/>
    </row>
    <row r="936">
      <c r="A936" s="503"/>
      <c r="B936" s="504"/>
      <c r="C936" s="503"/>
    </row>
    <row r="937">
      <c r="A937" s="503"/>
      <c r="B937" s="504"/>
      <c r="C937" s="503"/>
    </row>
    <row r="938">
      <c r="A938" s="503"/>
      <c r="B938" s="504"/>
      <c r="C938" s="503"/>
    </row>
    <row r="939">
      <c r="A939" s="503"/>
      <c r="B939" s="504"/>
      <c r="C939" s="503"/>
    </row>
    <row r="940">
      <c r="A940" s="503"/>
      <c r="B940" s="504"/>
      <c r="C940" s="503"/>
    </row>
    <row r="941">
      <c r="A941" s="503"/>
      <c r="B941" s="504"/>
      <c r="C941" s="503"/>
    </row>
    <row r="942">
      <c r="A942" s="503"/>
      <c r="B942" s="504"/>
      <c r="C942" s="503"/>
    </row>
    <row r="943">
      <c r="A943" s="503"/>
      <c r="B943" s="504"/>
      <c r="C943" s="503"/>
    </row>
    <row r="944">
      <c r="A944" s="503"/>
      <c r="B944" s="504"/>
      <c r="C944" s="503"/>
    </row>
    <row r="945">
      <c r="A945" s="503"/>
      <c r="B945" s="504"/>
      <c r="C945" s="503"/>
    </row>
    <row r="946">
      <c r="A946" s="503"/>
      <c r="B946" s="504"/>
      <c r="C946" s="503"/>
    </row>
    <row r="947">
      <c r="A947" s="503"/>
      <c r="B947" s="504"/>
      <c r="C947" s="503"/>
    </row>
    <row r="948">
      <c r="A948" s="503"/>
      <c r="B948" s="504"/>
      <c r="C948" s="503"/>
    </row>
    <row r="949">
      <c r="A949" s="503"/>
      <c r="B949" s="504"/>
      <c r="C949" s="503"/>
    </row>
    <row r="950">
      <c r="A950" s="503"/>
      <c r="B950" s="504"/>
      <c r="C950" s="503"/>
    </row>
    <row r="951">
      <c r="A951" s="503"/>
      <c r="B951" s="504"/>
      <c r="C951" s="503"/>
    </row>
    <row r="952">
      <c r="A952" s="503"/>
      <c r="B952" s="504"/>
      <c r="C952" s="503"/>
    </row>
    <row r="953">
      <c r="A953" s="503"/>
      <c r="B953" s="504"/>
      <c r="C953" s="503"/>
    </row>
    <row r="954">
      <c r="A954" s="503"/>
      <c r="B954" s="504"/>
      <c r="C954" s="503"/>
    </row>
    <row r="955">
      <c r="A955" s="503"/>
      <c r="B955" s="504"/>
      <c r="C955" s="503"/>
    </row>
    <row r="956">
      <c r="A956" s="503"/>
      <c r="B956" s="504"/>
      <c r="C956" s="503"/>
    </row>
    <row r="957">
      <c r="A957" s="503"/>
      <c r="B957" s="504"/>
      <c r="C957" s="503"/>
    </row>
    <row r="958">
      <c r="A958" s="503"/>
      <c r="B958" s="504"/>
      <c r="C958" s="503"/>
    </row>
    <row r="959">
      <c r="A959" s="503"/>
      <c r="B959" s="504"/>
      <c r="C959" s="503"/>
    </row>
    <row r="960">
      <c r="A960" s="503"/>
      <c r="B960" s="504"/>
      <c r="C960" s="503"/>
    </row>
    <row r="961">
      <c r="A961" s="503"/>
      <c r="B961" s="504"/>
      <c r="C961" s="503"/>
    </row>
    <row r="962">
      <c r="A962" s="503"/>
      <c r="B962" s="504"/>
      <c r="C962" s="503"/>
    </row>
    <row r="963">
      <c r="A963" s="503"/>
      <c r="B963" s="504"/>
      <c r="C963" s="503"/>
    </row>
    <row r="964">
      <c r="A964" s="503"/>
      <c r="B964" s="504"/>
      <c r="C964" s="503"/>
    </row>
    <row r="965">
      <c r="A965" s="503"/>
      <c r="B965" s="504"/>
      <c r="C965" s="503"/>
    </row>
    <row r="966">
      <c r="A966" s="503"/>
      <c r="B966" s="504"/>
      <c r="C966" s="503"/>
    </row>
    <row r="967">
      <c r="A967" s="503"/>
      <c r="B967" s="504"/>
      <c r="C967" s="503"/>
    </row>
    <row r="968">
      <c r="A968" s="503"/>
      <c r="B968" s="504"/>
      <c r="C968" s="503"/>
    </row>
    <row r="969">
      <c r="A969" s="503"/>
      <c r="B969" s="504"/>
      <c r="C969" s="503"/>
    </row>
    <row r="970">
      <c r="A970" s="503"/>
      <c r="B970" s="504"/>
      <c r="C970" s="503"/>
    </row>
    <row r="971">
      <c r="A971" s="503"/>
      <c r="B971" s="504"/>
      <c r="C971" s="503"/>
    </row>
    <row r="972">
      <c r="A972" s="503"/>
      <c r="B972" s="504"/>
      <c r="C972" s="503"/>
    </row>
    <row r="973">
      <c r="A973" s="503"/>
      <c r="B973" s="504"/>
      <c r="C973" s="503"/>
    </row>
    <row r="974">
      <c r="A974" s="503"/>
      <c r="B974" s="504"/>
      <c r="C974" s="503"/>
    </row>
    <row r="975">
      <c r="A975" s="503"/>
      <c r="B975" s="504"/>
      <c r="C975" s="503"/>
    </row>
    <row r="976">
      <c r="A976" s="503"/>
      <c r="B976" s="504"/>
      <c r="C976" s="503"/>
    </row>
    <row r="977">
      <c r="A977" s="503"/>
      <c r="B977" s="504"/>
      <c r="C977" s="503"/>
    </row>
    <row r="978">
      <c r="A978" s="503"/>
      <c r="B978" s="504"/>
      <c r="C978" s="503"/>
    </row>
    <row r="979">
      <c r="A979" s="503"/>
      <c r="B979" s="504"/>
      <c r="C979" s="503"/>
    </row>
    <row r="980">
      <c r="A980" s="503"/>
      <c r="B980" s="504"/>
      <c r="C980" s="503"/>
    </row>
    <row r="981">
      <c r="A981" s="503"/>
      <c r="B981" s="504"/>
      <c r="C981" s="503"/>
    </row>
    <row r="982">
      <c r="A982" s="503"/>
      <c r="B982" s="504"/>
      <c r="C982" s="503"/>
    </row>
    <row r="983">
      <c r="A983" s="503"/>
      <c r="B983" s="504"/>
      <c r="C983" s="503"/>
    </row>
    <row r="984">
      <c r="A984" s="503"/>
      <c r="B984" s="504"/>
      <c r="C984" s="503"/>
    </row>
    <row r="985">
      <c r="A985" s="503"/>
      <c r="B985" s="504"/>
      <c r="C985" s="503"/>
    </row>
    <row r="986">
      <c r="A986" s="503"/>
      <c r="B986" s="504"/>
      <c r="C986" s="503"/>
    </row>
    <row r="987">
      <c r="A987" s="503"/>
      <c r="B987" s="504"/>
      <c r="C987" s="503"/>
    </row>
    <row r="988">
      <c r="A988" s="503"/>
      <c r="B988" s="504"/>
      <c r="C988" s="503"/>
    </row>
    <row r="989">
      <c r="A989" s="503"/>
      <c r="B989" s="504"/>
      <c r="C989" s="503"/>
    </row>
    <row r="990">
      <c r="A990" s="503"/>
      <c r="B990" s="504"/>
      <c r="C990" s="503"/>
    </row>
    <row r="991">
      <c r="A991" s="503"/>
      <c r="B991" s="504"/>
      <c r="C991" s="503"/>
    </row>
  </sheetData>
  <mergeCells count="2">
    <mergeCell ref="A2:H2"/>
    <mergeCell ref="A214:H214"/>
  </mergeCells>
  <conditionalFormatting sqref="C411">
    <cfRule type="expression" dxfId="0" priority="1">
      <formula>COUNTIF($B:$B, $C411) &gt; 1</formula>
    </cfRule>
  </conditionalFormatting>
  <conditionalFormatting sqref="B1:B410 B412:B991">
    <cfRule type="expression" dxfId="0" priority="2">
      <formula>COUNTIF($B:$B, $B1) &gt; 1</formula>
    </cfRule>
  </conditionalFormatting>
  <hyperlinks>
    <hyperlink r:id="rId1" ref="D3"/>
    <hyperlink r:id="rId2" ref="D4"/>
    <hyperlink r:id="rId3" ref="D5"/>
    <hyperlink r:id="rId4" ref="D7"/>
    <hyperlink r:id="rId5" ref="D8"/>
    <hyperlink r:id="rId6" ref="D9"/>
    <hyperlink r:id="rId7" ref="D11"/>
    <hyperlink r:id="rId8" ref="B12"/>
    <hyperlink r:id="rId9" ref="D12"/>
    <hyperlink r:id="rId10" ref="D13"/>
    <hyperlink r:id="rId11" ref="D15"/>
    <hyperlink r:id="rId12" ref="D16"/>
    <hyperlink r:id="rId13" ref="D18"/>
    <hyperlink r:id="rId14" ref="D19"/>
    <hyperlink r:id="rId15" ref="D21"/>
    <hyperlink r:id="rId16" ref="D24"/>
    <hyperlink r:id="rId17" ref="D25"/>
    <hyperlink r:id="rId18" ref="D27"/>
    <hyperlink r:id="rId19" ref="D30"/>
    <hyperlink r:id="rId20" ref="D31"/>
    <hyperlink r:id="rId21" ref="D33"/>
    <hyperlink r:id="rId22" ref="D34"/>
    <hyperlink r:id="rId23" ref="B36"/>
    <hyperlink r:id="rId24" ref="D36"/>
    <hyperlink r:id="rId25" ref="D37"/>
    <hyperlink r:id="rId26" ref="B39"/>
    <hyperlink r:id="rId27" ref="D39"/>
    <hyperlink r:id="rId28" ref="B41"/>
    <hyperlink r:id="rId29" ref="D41"/>
    <hyperlink r:id="rId30" ref="D42"/>
    <hyperlink r:id="rId31" ref="B44"/>
    <hyperlink r:id="rId32" ref="D44"/>
    <hyperlink r:id="rId33" ref="D45"/>
    <hyperlink r:id="rId34" ref="D47"/>
    <hyperlink r:id="rId35" ref="D48"/>
    <hyperlink r:id="rId36" ref="B50"/>
    <hyperlink r:id="rId37" ref="D50"/>
    <hyperlink r:id="rId38" ref="D51"/>
    <hyperlink r:id="rId39" ref="B53"/>
    <hyperlink r:id="rId40" ref="D53"/>
    <hyperlink r:id="rId41" ref="B56"/>
    <hyperlink r:id="rId42" ref="D56"/>
    <hyperlink r:id="rId43" ref="D57"/>
    <hyperlink r:id="rId44" ref="B59"/>
    <hyperlink r:id="rId45" ref="D59"/>
    <hyperlink r:id="rId46" ref="C60"/>
    <hyperlink r:id="rId47" ref="D60"/>
    <hyperlink r:id="rId48" ref="D62"/>
    <hyperlink r:id="rId49" ref="D65"/>
    <hyperlink r:id="rId50" ref="D66"/>
    <hyperlink r:id="rId51" ref="D68"/>
    <hyperlink r:id="rId52" ref="B71"/>
    <hyperlink r:id="rId53" ref="D71"/>
    <hyperlink r:id="rId54" ref="D72"/>
    <hyperlink r:id="rId55" ref="B74"/>
    <hyperlink r:id="rId56" ref="D74"/>
    <hyperlink r:id="rId57" ref="D77"/>
    <hyperlink r:id="rId58" ref="D78"/>
    <hyperlink r:id="rId59" ref="B80"/>
    <hyperlink r:id="rId60" ref="D80"/>
    <hyperlink r:id="rId61" ref="D81"/>
    <hyperlink r:id="rId62" ref="D83"/>
    <hyperlink r:id="rId63" ref="D84"/>
    <hyperlink r:id="rId64" ref="D86"/>
    <hyperlink r:id="rId65" ref="D87"/>
    <hyperlink r:id="rId66" ref="B89"/>
    <hyperlink r:id="rId67" ref="D89"/>
    <hyperlink r:id="rId68" ref="D90"/>
    <hyperlink r:id="rId69" ref="B92"/>
    <hyperlink r:id="rId70" ref="D92"/>
    <hyperlink r:id="rId71" ref="D93"/>
    <hyperlink r:id="rId72" ref="B95"/>
    <hyperlink r:id="rId73" ref="D95"/>
    <hyperlink r:id="rId74" ref="B98"/>
    <hyperlink r:id="rId75" ref="D98"/>
    <hyperlink r:id="rId76" ref="B101"/>
    <hyperlink r:id="rId77" ref="D101"/>
    <hyperlink r:id="rId78" ref="B104"/>
    <hyperlink r:id="rId79" ref="D104"/>
    <hyperlink r:id="rId80" ref="B107"/>
    <hyperlink r:id="rId81" ref="D107"/>
    <hyperlink r:id="rId82" ref="B110"/>
    <hyperlink r:id="rId83" ref="D110"/>
    <hyperlink r:id="rId84" ref="B113"/>
    <hyperlink r:id="rId85" ref="D113"/>
    <hyperlink r:id="rId86" ref="B116"/>
    <hyperlink r:id="rId87" ref="D116"/>
    <hyperlink r:id="rId88" ref="B119"/>
    <hyperlink r:id="rId89" ref="D119"/>
    <hyperlink r:id="rId90" ref="B122"/>
    <hyperlink r:id="rId91" ref="D122"/>
    <hyperlink r:id="rId92" ref="B125"/>
    <hyperlink r:id="rId93" ref="D125"/>
    <hyperlink r:id="rId94" ref="B128"/>
    <hyperlink r:id="rId95" ref="D128"/>
    <hyperlink r:id="rId96" ref="B131"/>
    <hyperlink r:id="rId97" ref="D131"/>
    <hyperlink r:id="rId98" ref="B134"/>
    <hyperlink r:id="rId99" ref="D134"/>
    <hyperlink r:id="rId100" ref="B137"/>
    <hyperlink r:id="rId101" ref="D137"/>
    <hyperlink r:id="rId102" ref="B140"/>
    <hyperlink r:id="rId103" ref="D140"/>
    <hyperlink r:id="rId104" ref="A143"/>
    <hyperlink r:id="rId105" ref="B143"/>
    <hyperlink r:id="rId106" ref="D143"/>
    <hyperlink r:id="rId107" ref="B146"/>
    <hyperlink r:id="rId108" ref="D146"/>
    <hyperlink r:id="rId109" ref="B149"/>
    <hyperlink r:id="rId110" ref="D149"/>
    <hyperlink r:id="rId111" ref="B152"/>
    <hyperlink r:id="rId112" ref="D152"/>
    <hyperlink r:id="rId113" ref="B155"/>
    <hyperlink r:id="rId114" ref="D155"/>
    <hyperlink r:id="rId115" ref="B158"/>
    <hyperlink r:id="rId116" ref="D158"/>
    <hyperlink r:id="rId117" ref="B161"/>
    <hyperlink r:id="rId118" ref="D161"/>
    <hyperlink r:id="rId119" ref="B164"/>
    <hyperlink r:id="rId120" ref="D164"/>
    <hyperlink r:id="rId121" ref="B167"/>
    <hyperlink r:id="rId122" ref="D167"/>
    <hyperlink r:id="rId123" ref="B170"/>
    <hyperlink r:id="rId124" ref="D170"/>
    <hyperlink r:id="rId125" ref="B173"/>
    <hyperlink r:id="rId126" ref="D173"/>
    <hyperlink r:id="rId127" ref="B176"/>
    <hyperlink r:id="rId128" ref="D176"/>
    <hyperlink r:id="rId129" ref="B179"/>
    <hyperlink r:id="rId130" ref="D179"/>
    <hyperlink r:id="rId131" ref="B182"/>
    <hyperlink r:id="rId132" ref="D182"/>
    <hyperlink r:id="rId133" ref="B185"/>
    <hyperlink r:id="rId134" ref="D185"/>
    <hyperlink r:id="rId135" ref="B188"/>
    <hyperlink r:id="rId136" ref="D188"/>
    <hyperlink r:id="rId137" ref="B191"/>
    <hyperlink r:id="rId138" ref="D191"/>
    <hyperlink r:id="rId139" ref="B194"/>
    <hyperlink r:id="rId140" ref="D194"/>
    <hyperlink r:id="rId141" ref="B197"/>
    <hyperlink r:id="rId142" ref="D197"/>
    <hyperlink r:id="rId143" ref="B200"/>
    <hyperlink r:id="rId144" ref="D200"/>
    <hyperlink r:id="rId145" ref="B203"/>
    <hyperlink r:id="rId146" ref="D203"/>
    <hyperlink r:id="rId147" ref="B206"/>
    <hyperlink r:id="rId148" ref="D206"/>
    <hyperlink r:id="rId149" ref="B209"/>
    <hyperlink r:id="rId150" ref="D209"/>
    <hyperlink r:id="rId151" ref="B212"/>
    <hyperlink r:id="rId152" ref="D212"/>
    <hyperlink r:id="rId153" ref="B216"/>
    <hyperlink r:id="rId154" ref="D216"/>
    <hyperlink r:id="rId155" ref="B217"/>
    <hyperlink r:id="rId156" ref="D217"/>
    <hyperlink r:id="rId157" ref="B218"/>
    <hyperlink r:id="rId158" ref="D218"/>
    <hyperlink r:id="rId159" ref="D219"/>
    <hyperlink r:id="rId160" ref="B220"/>
    <hyperlink r:id="rId161" ref="D220"/>
    <hyperlink r:id="rId162" ref="B221"/>
    <hyperlink r:id="rId163" ref="D221"/>
    <hyperlink r:id="rId164" ref="B222"/>
    <hyperlink r:id="rId165" ref="D222"/>
    <hyperlink r:id="rId166" ref="B223"/>
    <hyperlink r:id="rId167" ref="D223"/>
    <hyperlink r:id="rId168" ref="B224"/>
    <hyperlink r:id="rId169" ref="D224"/>
    <hyperlink r:id="rId170" ref="D225"/>
    <hyperlink r:id="rId171" ref="D226"/>
    <hyperlink r:id="rId172" ref="D227"/>
    <hyperlink r:id="rId173" ref="A228"/>
    <hyperlink r:id="rId174" ref="D228"/>
    <hyperlink r:id="rId175" ref="A229"/>
    <hyperlink r:id="rId176" ref="B229"/>
    <hyperlink r:id="rId177" ref="D229"/>
    <hyperlink r:id="rId178" ref="B230"/>
    <hyperlink r:id="rId179" ref="D230"/>
    <hyperlink r:id="rId180" ref="A231"/>
    <hyperlink r:id="rId181" ref="B231"/>
    <hyperlink r:id="rId182" ref="D231"/>
    <hyperlink r:id="rId183" ref="B232"/>
    <hyperlink r:id="rId184" ref="D232"/>
    <hyperlink r:id="rId185" ref="A233"/>
    <hyperlink r:id="rId186" ref="B233"/>
    <hyperlink r:id="rId187" ref="D233"/>
    <hyperlink r:id="rId188" ref="B234"/>
    <hyperlink r:id="rId189" ref="D234"/>
    <hyperlink r:id="rId190" ref="B235"/>
    <hyperlink r:id="rId191" ref="D235"/>
    <hyperlink r:id="rId192" ref="B236"/>
    <hyperlink r:id="rId193" ref="D236"/>
    <hyperlink r:id="rId194" ref="D237"/>
    <hyperlink r:id="rId195" ref="D238"/>
    <hyperlink r:id="rId196" ref="D239"/>
    <hyperlink r:id="rId197" ref="D240"/>
    <hyperlink r:id="rId198" ref="D241"/>
    <hyperlink r:id="rId199" ref="D242"/>
    <hyperlink r:id="rId200" ref="D243"/>
    <hyperlink r:id="rId201" ref="D244"/>
    <hyperlink r:id="rId202" ref="D245"/>
    <hyperlink r:id="rId203" ref="D246"/>
    <hyperlink r:id="rId204" ref="D247"/>
    <hyperlink r:id="rId205" ref="D248"/>
    <hyperlink r:id="rId206" ref="D249"/>
    <hyperlink r:id="rId207" ref="D250"/>
    <hyperlink r:id="rId208" ref="D251"/>
    <hyperlink r:id="rId209" ref="D253"/>
    <hyperlink r:id="rId210" ref="D254"/>
    <hyperlink r:id="rId211" ref="D255"/>
    <hyperlink r:id="rId212" ref="D256"/>
    <hyperlink r:id="rId213" ref="D257"/>
    <hyperlink r:id="rId214" ref="D258"/>
    <hyperlink r:id="rId215" ref="D259"/>
    <hyperlink r:id="rId216" ref="D260"/>
    <hyperlink r:id="rId217" ref="D261"/>
    <hyperlink r:id="rId218" ref="D262"/>
    <hyperlink r:id="rId219" ref="D263"/>
    <hyperlink r:id="rId220" ref="D265"/>
    <hyperlink r:id="rId221" ref="D266"/>
    <hyperlink r:id="rId222" ref="D268"/>
    <hyperlink r:id="rId223" ref="D269"/>
    <hyperlink r:id="rId224" ref="D270"/>
    <hyperlink r:id="rId225" ref="G270"/>
    <hyperlink r:id="rId226" ref="D271"/>
    <hyperlink r:id="rId227" ref="D272"/>
    <hyperlink r:id="rId228" ref="D273"/>
    <hyperlink r:id="rId229" ref="A274"/>
    <hyperlink r:id="rId230" ref="D274"/>
    <hyperlink r:id="rId231" ref="D275"/>
    <hyperlink r:id="rId232" ref="D276"/>
    <hyperlink r:id="rId233" ref="D277"/>
    <hyperlink r:id="rId234" ref="D278"/>
    <hyperlink r:id="rId235" ref="D279"/>
    <hyperlink r:id="rId236" ref="D280"/>
    <hyperlink r:id="rId237" ref="A281"/>
    <hyperlink r:id="rId238" ref="D281"/>
    <hyperlink r:id="rId239" ref="D282"/>
    <hyperlink r:id="rId240" ref="D284"/>
    <hyperlink r:id="rId241" ref="D285"/>
    <hyperlink r:id="rId242" ref="D287"/>
    <hyperlink r:id="rId243" ref="D289"/>
    <hyperlink r:id="rId244" ref="A290"/>
    <hyperlink r:id="rId245" ref="D290"/>
    <hyperlink r:id="rId246" location="gid=1720762204" ref="D293"/>
    <hyperlink r:id="rId247" ref="D295"/>
    <hyperlink r:id="rId248" ref="D297"/>
    <hyperlink r:id="rId249" ref="D300"/>
    <hyperlink r:id="rId250" ref="C302"/>
    <hyperlink r:id="rId251" ref="D302"/>
    <hyperlink r:id="rId252" ref="D304"/>
    <hyperlink r:id="rId253" ref="D305"/>
    <hyperlink r:id="rId254" ref="D307"/>
    <hyperlink r:id="rId255" ref="A309"/>
    <hyperlink r:id="rId256" ref="D309"/>
    <hyperlink r:id="rId257" ref="D310"/>
    <hyperlink r:id="rId258" ref="D311"/>
    <hyperlink r:id="rId259" ref="D313"/>
    <hyperlink r:id="rId260" ref="D315"/>
    <hyperlink r:id="rId261" ref="D317"/>
    <hyperlink r:id="rId262" ref="D319"/>
    <hyperlink r:id="rId263" ref="B322"/>
    <hyperlink r:id="rId264" ref="D322"/>
    <hyperlink r:id="rId265" ref="D324"/>
    <hyperlink r:id="rId266" ref="D326"/>
    <hyperlink r:id="rId267" ref="C328"/>
    <hyperlink r:id="rId268" ref="D328"/>
    <hyperlink r:id="rId269" ref="D329"/>
    <hyperlink r:id="rId270" ref="B331"/>
    <hyperlink r:id="rId271" ref="D331"/>
    <hyperlink r:id="rId272" ref="D332"/>
    <hyperlink r:id="rId273" ref="D334"/>
    <hyperlink r:id="rId274" ref="D336"/>
    <hyperlink r:id="rId275" ref="A338"/>
    <hyperlink r:id="rId276" ref="D338"/>
    <hyperlink r:id="rId277" ref="D340"/>
    <hyperlink r:id="rId278" ref="B342"/>
    <hyperlink r:id="rId279" ref="D342"/>
    <hyperlink r:id="rId280" ref="D343"/>
    <hyperlink r:id="rId281" ref="D344"/>
    <hyperlink r:id="rId282" ref="B346"/>
    <hyperlink r:id="rId283" ref="D346"/>
    <hyperlink r:id="rId284" ref="A348"/>
    <hyperlink r:id="rId285" ref="D348"/>
    <hyperlink r:id="rId286" ref="D350"/>
    <hyperlink r:id="rId287" ref="B352"/>
    <hyperlink r:id="rId288" ref="D352"/>
    <hyperlink r:id="rId289" ref="D354"/>
    <hyperlink r:id="rId290" ref="D356"/>
    <hyperlink r:id="rId291" ref="D358"/>
    <hyperlink r:id="rId292" ref="D360"/>
    <hyperlink r:id="rId293" ref="D368"/>
    <hyperlink r:id="rId294" ref="D371"/>
    <hyperlink r:id="rId295" ref="D372"/>
    <hyperlink r:id="rId296" ref="D374"/>
    <hyperlink r:id="rId297" ref="B377"/>
    <hyperlink r:id="rId298" ref="D377"/>
    <hyperlink r:id="rId299" ref="D378"/>
    <hyperlink r:id="rId300" ref="D379"/>
    <hyperlink r:id="rId301" ref="D380"/>
    <hyperlink r:id="rId302" ref="D381"/>
    <hyperlink r:id="rId303" ref="D382"/>
    <hyperlink r:id="rId304" ref="D383"/>
    <hyperlink r:id="rId305" ref="D384"/>
    <hyperlink r:id="rId306" ref="D385"/>
    <hyperlink r:id="rId307" ref="D386"/>
    <hyperlink r:id="rId308" ref="D387"/>
    <hyperlink r:id="rId309" ref="B388"/>
    <hyperlink r:id="rId310" ref="D388"/>
    <hyperlink r:id="rId311" ref="D389"/>
    <hyperlink r:id="rId312" ref="D390"/>
    <hyperlink r:id="rId313" ref="D392"/>
    <hyperlink r:id="rId314" ref="D393"/>
    <hyperlink r:id="rId315" ref="D394"/>
    <hyperlink r:id="rId316" ref="D395"/>
    <hyperlink r:id="rId317" ref="B396"/>
    <hyperlink r:id="rId318" ref="D396"/>
    <hyperlink r:id="rId319" ref="D397"/>
    <hyperlink r:id="rId320" ref="D398"/>
    <hyperlink r:id="rId321" ref="B399"/>
    <hyperlink r:id="rId322" ref="D399"/>
    <hyperlink r:id="rId323" ref="D400"/>
    <hyperlink r:id="rId324" ref="D401"/>
    <hyperlink r:id="rId325" ref="D402"/>
    <hyperlink r:id="rId326" ref="D403"/>
    <hyperlink r:id="rId327" ref="D404"/>
    <hyperlink r:id="rId328" ref="D405"/>
    <hyperlink r:id="rId329" ref="B406"/>
    <hyperlink r:id="rId330" ref="D406"/>
    <hyperlink r:id="rId331" ref="D407"/>
    <hyperlink r:id="rId332" ref="D408"/>
    <hyperlink r:id="rId333" ref="D409"/>
    <hyperlink r:id="rId334" ref="D410"/>
    <hyperlink r:id="rId335" ref="D411"/>
    <hyperlink r:id="rId336" ref="D412"/>
    <hyperlink r:id="rId337" ref="D413"/>
    <hyperlink r:id="rId338" ref="D414"/>
    <hyperlink r:id="rId339" ref="D415"/>
    <hyperlink r:id="rId340" ref="D416"/>
    <hyperlink r:id="rId341" ref="D417"/>
    <hyperlink r:id="rId342" ref="D418"/>
    <hyperlink r:id="rId343" ref="D419"/>
    <hyperlink r:id="rId344" ref="D420"/>
    <hyperlink r:id="rId345" ref="D421"/>
    <hyperlink r:id="rId346" ref="D422"/>
    <hyperlink r:id="rId347" ref="D423"/>
    <hyperlink r:id="rId348" ref="D424"/>
    <hyperlink r:id="rId349" ref="D425"/>
    <hyperlink r:id="rId350" ref="D426"/>
    <hyperlink r:id="rId351" ref="D427"/>
    <hyperlink r:id="rId352" ref="D428"/>
    <hyperlink r:id="rId353" ref="D429"/>
    <hyperlink r:id="rId354" ref="D430"/>
    <hyperlink r:id="rId355" ref="D431"/>
    <hyperlink r:id="rId356" ref="D432"/>
    <hyperlink r:id="rId357" ref="D433"/>
    <hyperlink r:id="rId358" ref="D434"/>
    <hyperlink r:id="rId359" ref="D435"/>
    <hyperlink r:id="rId360" ref="B436"/>
    <hyperlink r:id="rId361" ref="D436"/>
    <hyperlink r:id="rId362" ref="D437"/>
    <hyperlink r:id="rId363" ref="B438"/>
    <hyperlink r:id="rId364" ref="D438"/>
    <hyperlink r:id="rId365" ref="D439"/>
    <hyperlink r:id="rId366" ref="D440"/>
    <hyperlink r:id="rId367" ref="D441"/>
    <hyperlink r:id="rId368" ref="D442"/>
    <hyperlink r:id="rId369" ref="D443"/>
    <hyperlink r:id="rId370" ref="D444"/>
    <hyperlink r:id="rId371" ref="D445"/>
    <hyperlink r:id="rId372" ref="A446"/>
    <hyperlink r:id="rId373" ref="B446"/>
    <hyperlink r:id="rId374" ref="D446"/>
    <hyperlink r:id="rId375" ref="D447"/>
    <hyperlink r:id="rId376" ref="D448"/>
    <hyperlink r:id="rId377" ref="D449"/>
    <hyperlink r:id="rId378" ref="B450"/>
    <hyperlink r:id="rId379" ref="D450"/>
    <hyperlink r:id="rId380" ref="D451"/>
    <hyperlink r:id="rId381" ref="D452"/>
    <hyperlink r:id="rId382" ref="B453"/>
    <hyperlink r:id="rId383" ref="D453"/>
    <hyperlink r:id="rId384" ref="D454"/>
    <hyperlink r:id="rId385" ref="B455"/>
    <hyperlink r:id="rId386" ref="D455"/>
    <hyperlink r:id="rId387" ref="B456"/>
    <hyperlink r:id="rId388" ref="D456"/>
    <hyperlink r:id="rId389" ref="D457"/>
    <hyperlink r:id="rId390" ref="D458"/>
    <hyperlink r:id="rId391" ref="D459"/>
    <hyperlink r:id="rId392" ref="B460"/>
    <hyperlink r:id="rId393" ref="D460"/>
    <hyperlink r:id="rId394" ref="B461"/>
    <hyperlink r:id="rId395" ref="D461"/>
    <hyperlink r:id="rId396" ref="D462"/>
    <hyperlink r:id="rId397" ref="D463"/>
    <hyperlink r:id="rId398" ref="D464"/>
    <hyperlink r:id="rId399" ref="D465"/>
    <hyperlink r:id="rId400" ref="D466"/>
    <hyperlink r:id="rId401" ref="D467"/>
    <hyperlink r:id="rId402" ref="D468"/>
    <hyperlink r:id="rId403" ref="D469"/>
    <hyperlink r:id="rId404" ref="B470"/>
    <hyperlink r:id="rId405" ref="D470"/>
    <hyperlink r:id="rId406" ref="D471"/>
    <hyperlink r:id="rId407" ref="D472"/>
  </hyperlinks>
  <drawing r:id="rId40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267" t="s">
        <v>0</v>
      </c>
      <c r="B1" s="268" t="s">
        <v>2</v>
      </c>
      <c r="C1" s="267" t="s">
        <v>4</v>
      </c>
      <c r="D1" s="3" t="s">
        <v>5</v>
      </c>
      <c r="E1" s="3" t="s">
        <v>6</v>
      </c>
      <c r="F1" s="3" t="s">
        <v>8</v>
      </c>
      <c r="G1" s="3"/>
      <c r="H1" s="3"/>
    </row>
    <row r="2">
      <c r="A2" s="87" t="s">
        <v>4736</v>
      </c>
      <c r="B2" s="87" t="s">
        <v>4737</v>
      </c>
    </row>
    <row r="3">
      <c r="A3" s="87" t="s">
        <v>4738</v>
      </c>
      <c r="B3" s="87" t="s">
        <v>4739</v>
      </c>
    </row>
    <row r="4">
      <c r="A4" s="87" t="s">
        <v>4740</v>
      </c>
      <c r="B4" s="87" t="s">
        <v>4741</v>
      </c>
    </row>
    <row r="5">
      <c r="A5" s="87" t="s">
        <v>4742</v>
      </c>
      <c r="B5" s="87" t="s">
        <v>4743</v>
      </c>
    </row>
    <row r="6">
      <c r="A6" s="87" t="s">
        <v>1339</v>
      </c>
      <c r="B6" s="87" t="s">
        <v>4744</v>
      </c>
    </row>
    <row r="7">
      <c r="A7" s="87" t="s">
        <v>4745</v>
      </c>
      <c r="B7" s="87" t="s">
        <v>4746</v>
      </c>
    </row>
    <row r="8">
      <c r="A8" s="87" t="s">
        <v>4747</v>
      </c>
      <c r="B8" s="87" t="s">
        <v>4748</v>
      </c>
    </row>
    <row r="9">
      <c r="A9" s="87" t="s">
        <v>1111</v>
      </c>
      <c r="B9" s="87" t="s">
        <v>1111</v>
      </c>
    </row>
  </sheetData>
  <conditionalFormatting sqref="B1">
    <cfRule type="expression" dxfId="0" priority="1">
      <formula>COUNTIF($B:$B, $B1) &gt; 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26.0"/>
    <col customWidth="1" min="3" max="3" width="37.75"/>
    <col customWidth="1" min="4" max="4" width="38.88"/>
    <col customWidth="1" min="5" max="5" width="24.75"/>
    <col customWidth="1" min="6" max="6" width="52.0"/>
    <col customWidth="1" min="7" max="7" width="41.38"/>
    <col customWidth="1" min="8" max="8" width="25.5"/>
  </cols>
  <sheetData>
    <row r="1">
      <c r="A1" s="3" t="s">
        <v>0</v>
      </c>
      <c r="B1" s="3" t="s">
        <v>2</v>
      </c>
      <c r="C1" s="3" t="s">
        <v>4</v>
      </c>
      <c r="D1" s="3" t="s">
        <v>2719</v>
      </c>
      <c r="E1" s="3" t="s">
        <v>6</v>
      </c>
      <c r="F1" s="3" t="s">
        <v>7</v>
      </c>
    </row>
    <row r="2">
      <c r="A2" s="87" t="s">
        <v>4762</v>
      </c>
      <c r="B2" s="87" t="s">
        <v>4763</v>
      </c>
      <c r="C2" s="87" t="s">
        <v>4764</v>
      </c>
      <c r="D2" s="87"/>
      <c r="E2" s="17">
        <f>12034385515</f>
        <v>12034385515</v>
      </c>
      <c r="F2" s="87" t="s">
        <v>4765</v>
      </c>
    </row>
    <row r="3">
      <c r="A3" s="87"/>
      <c r="B3" s="87" t="s">
        <v>4766</v>
      </c>
      <c r="C3" s="87" t="s">
        <v>823</v>
      </c>
      <c r="D3" s="87"/>
      <c r="F3" s="87" t="s">
        <v>4767</v>
      </c>
    </row>
    <row r="4">
      <c r="A4" s="87" t="s">
        <v>4768</v>
      </c>
      <c r="B4" s="87" t="s">
        <v>4769</v>
      </c>
      <c r="C4" s="87" t="s">
        <v>4770</v>
      </c>
      <c r="D4" s="87"/>
      <c r="F4" s="87" t="s">
        <v>4771</v>
      </c>
    </row>
    <row r="5">
      <c r="A5" s="87"/>
      <c r="B5" s="87" t="s">
        <v>4772</v>
      </c>
      <c r="C5" s="87" t="s">
        <v>823</v>
      </c>
      <c r="D5" s="87"/>
      <c r="F5" s="87" t="s">
        <v>4773</v>
      </c>
    </row>
    <row r="6">
      <c r="A6" s="87" t="s">
        <v>4774</v>
      </c>
      <c r="B6" s="87" t="s">
        <v>4775</v>
      </c>
      <c r="C6" s="87" t="s">
        <v>4776</v>
      </c>
      <c r="D6" s="87"/>
      <c r="E6" s="17">
        <f>14083867960</f>
        <v>14083867960</v>
      </c>
      <c r="F6" s="87" t="s">
        <v>4777</v>
      </c>
    </row>
    <row r="7">
      <c r="A7" s="87"/>
      <c r="B7" s="87" t="s">
        <v>4778</v>
      </c>
      <c r="C7" s="87" t="s">
        <v>823</v>
      </c>
      <c r="D7" s="87"/>
      <c r="F7" s="87" t="s">
        <v>4779</v>
      </c>
    </row>
    <row r="8">
      <c r="A8" s="87" t="s">
        <v>4780</v>
      </c>
      <c r="B8" s="87" t="s">
        <v>4781</v>
      </c>
      <c r="C8" s="87" t="s">
        <v>4776</v>
      </c>
      <c r="D8" s="87"/>
      <c r="F8" s="87" t="s">
        <v>4782</v>
      </c>
    </row>
    <row r="9">
      <c r="B9" s="87" t="s">
        <v>4783</v>
      </c>
      <c r="C9" s="87" t="s">
        <v>823</v>
      </c>
      <c r="D9" s="87"/>
      <c r="F9" s="87" t="s">
        <v>4784</v>
      </c>
    </row>
    <row r="10">
      <c r="A10" s="87" t="s">
        <v>4785</v>
      </c>
      <c r="B10" s="87" t="s">
        <v>4786</v>
      </c>
      <c r="C10" s="87" t="s">
        <v>4787</v>
      </c>
      <c r="D10" s="87"/>
      <c r="F10" s="87" t="s">
        <v>4788</v>
      </c>
    </row>
    <row r="11">
      <c r="A11" s="87"/>
      <c r="B11" s="87" t="s">
        <v>4786</v>
      </c>
      <c r="C11" s="87"/>
      <c r="D11" s="87"/>
      <c r="F11" s="87"/>
    </row>
    <row r="12">
      <c r="A12" s="87" t="s">
        <v>4789</v>
      </c>
      <c r="B12" s="87" t="s">
        <v>4790</v>
      </c>
      <c r="C12" s="87" t="s">
        <v>4792</v>
      </c>
      <c r="D12" s="87"/>
      <c r="F12" s="87" t="s">
        <v>4793</v>
      </c>
    </row>
    <row r="13">
      <c r="A13" s="87"/>
      <c r="B13" s="87"/>
      <c r="C13" s="87"/>
      <c r="D13" s="87"/>
      <c r="F13" s="87"/>
    </row>
    <row r="14">
      <c r="A14" s="87" t="s">
        <v>4795</v>
      </c>
      <c r="B14" s="87" t="s">
        <v>4796</v>
      </c>
      <c r="C14" s="87" t="s">
        <v>4787</v>
      </c>
      <c r="D14" s="87"/>
      <c r="F14" s="87" t="s">
        <v>4797</v>
      </c>
    </row>
    <row r="15">
      <c r="A15" s="87"/>
      <c r="B15" s="87"/>
      <c r="C15" s="87"/>
      <c r="D15" s="87"/>
      <c r="F15" s="87"/>
    </row>
    <row r="16">
      <c r="A16" s="87" t="s">
        <v>4798</v>
      </c>
      <c r="B16" s="87" t="s">
        <v>4799</v>
      </c>
      <c r="C16" s="87" t="s">
        <v>1058</v>
      </c>
      <c r="D16" s="87"/>
      <c r="F16" s="87" t="s">
        <v>4800</v>
      </c>
    </row>
    <row r="17">
      <c r="A17" s="87"/>
      <c r="B17" s="87"/>
      <c r="C17" s="87"/>
      <c r="D17" s="87"/>
      <c r="F17" s="87"/>
    </row>
    <row r="18">
      <c r="A18" s="87" t="s">
        <v>4802</v>
      </c>
      <c r="B18" s="87" t="s">
        <v>4803</v>
      </c>
      <c r="C18" s="87" t="s">
        <v>4804</v>
      </c>
      <c r="D18" s="87"/>
      <c r="F18" s="87" t="s">
        <v>4805</v>
      </c>
    </row>
    <row r="19">
      <c r="A19" s="87"/>
      <c r="B19" s="87"/>
      <c r="C19" s="87"/>
      <c r="D19" s="87"/>
      <c r="F19" s="87"/>
    </row>
    <row r="20">
      <c r="A20" s="87" t="s">
        <v>4806</v>
      </c>
      <c r="B20" s="87" t="s">
        <v>4807</v>
      </c>
      <c r="C20" s="87" t="s">
        <v>586</v>
      </c>
      <c r="D20" s="87"/>
      <c r="F20" s="87" t="s">
        <v>4808</v>
      </c>
    </row>
    <row r="21">
      <c r="A21" s="87"/>
      <c r="B21" s="87"/>
      <c r="C21" s="87"/>
      <c r="D21" s="87"/>
      <c r="F21" s="87"/>
    </row>
    <row r="22">
      <c r="A22" s="87" t="s">
        <v>4811</v>
      </c>
      <c r="B22" s="87" t="s">
        <v>4813</v>
      </c>
      <c r="C22" s="87" t="s">
        <v>586</v>
      </c>
      <c r="D22" s="87"/>
      <c r="F22" s="87" t="s">
        <v>4814</v>
      </c>
    </row>
    <row r="23">
      <c r="A23" s="87"/>
      <c r="B23" s="87"/>
      <c r="C23" s="87"/>
      <c r="D23" s="87"/>
      <c r="F23" s="87"/>
    </row>
    <row r="24">
      <c r="A24" s="87" t="s">
        <v>1148</v>
      </c>
      <c r="B24" s="87" t="s">
        <v>1161</v>
      </c>
      <c r="C24" s="87" t="s">
        <v>586</v>
      </c>
      <c r="D24" s="87"/>
      <c r="F24" s="87" t="s">
        <v>4815</v>
      </c>
    </row>
    <row r="25">
      <c r="A25" s="87"/>
      <c r="B25" s="87" t="s">
        <v>4816</v>
      </c>
      <c r="C25" s="87" t="s">
        <v>4817</v>
      </c>
      <c r="D25" s="87"/>
      <c r="F25" s="87" t="s">
        <v>4819</v>
      </c>
    </row>
    <row r="26">
      <c r="A26" s="87"/>
      <c r="B26" s="87"/>
      <c r="C26" s="87"/>
      <c r="D26" s="87"/>
      <c r="F26" s="87"/>
    </row>
    <row r="27">
      <c r="A27" s="87" t="s">
        <v>1363</v>
      </c>
      <c r="B27" s="87" t="s">
        <v>4822</v>
      </c>
      <c r="C27" s="87" t="s">
        <v>586</v>
      </c>
      <c r="D27" s="87"/>
      <c r="F27" s="87" t="s">
        <v>4823</v>
      </c>
    </row>
    <row r="28">
      <c r="A28" s="87"/>
      <c r="B28" s="87"/>
      <c r="C28" s="87"/>
      <c r="D28" s="87"/>
      <c r="F28" s="87"/>
    </row>
    <row r="29">
      <c r="A29" s="87" t="s">
        <v>200</v>
      </c>
      <c r="B29" s="87" t="s">
        <v>1512</v>
      </c>
      <c r="C29" s="87" t="s">
        <v>586</v>
      </c>
      <c r="D29" s="87"/>
      <c r="F29" s="87" t="s">
        <v>4824</v>
      </c>
    </row>
    <row r="30">
      <c r="A30" s="87"/>
      <c r="B30" s="87"/>
      <c r="C30" s="87"/>
      <c r="D30" s="87"/>
      <c r="F30" s="87"/>
    </row>
    <row r="31">
      <c r="A31" s="87" t="s">
        <v>293</v>
      </c>
      <c r="B31" s="87" t="s">
        <v>4825</v>
      </c>
      <c r="C31" s="87" t="s">
        <v>586</v>
      </c>
      <c r="D31" s="87"/>
      <c r="F31" s="87" t="s">
        <v>4826</v>
      </c>
    </row>
    <row r="32">
      <c r="A32" s="87"/>
      <c r="B32" s="87"/>
      <c r="C32" s="87"/>
      <c r="D32" s="87"/>
      <c r="F32" s="87"/>
    </row>
    <row r="33">
      <c r="A33" s="87" t="s">
        <v>2896</v>
      </c>
      <c r="B33" s="87" t="s">
        <v>4827</v>
      </c>
      <c r="C33" s="87" t="s">
        <v>586</v>
      </c>
      <c r="D33" s="87"/>
      <c r="F33" s="87" t="s">
        <v>4828</v>
      </c>
    </row>
    <row r="34">
      <c r="A34" s="87"/>
      <c r="B34" s="87"/>
      <c r="C34" s="87"/>
      <c r="D34" s="87"/>
      <c r="F34" s="87"/>
    </row>
    <row r="35">
      <c r="A35" s="87" t="s">
        <v>1041</v>
      </c>
      <c r="B35" s="87" t="s">
        <v>4829</v>
      </c>
      <c r="C35" s="87" t="s">
        <v>586</v>
      </c>
      <c r="D35" s="87"/>
      <c r="F35" s="87" t="s">
        <v>4830</v>
      </c>
    </row>
    <row r="36">
      <c r="A36" s="87"/>
      <c r="B36" s="87"/>
      <c r="C36" s="87"/>
      <c r="D36" s="87"/>
      <c r="F36" s="87"/>
    </row>
    <row r="37">
      <c r="A37" s="87" t="s">
        <v>560</v>
      </c>
      <c r="B37" s="87" t="s">
        <v>4831</v>
      </c>
      <c r="C37" s="87" t="s">
        <v>586</v>
      </c>
      <c r="D37" s="87"/>
      <c r="F37" s="87" t="s">
        <v>4832</v>
      </c>
    </row>
    <row r="38">
      <c r="A38" s="87"/>
      <c r="B38" s="87"/>
      <c r="C38" s="87"/>
      <c r="D38" s="87"/>
      <c r="F38" s="87"/>
    </row>
    <row r="39">
      <c r="A39" s="87" t="s">
        <v>1107</v>
      </c>
      <c r="B39" s="87" t="s">
        <v>4833</v>
      </c>
      <c r="C39" s="87" t="s">
        <v>586</v>
      </c>
      <c r="D39" s="87"/>
      <c r="F39" s="87" t="s">
        <v>4834</v>
      </c>
    </row>
    <row r="40">
      <c r="A40" s="87"/>
      <c r="B40" s="87"/>
      <c r="C40" s="87"/>
      <c r="D40" s="87"/>
      <c r="F40" s="87"/>
    </row>
    <row r="41">
      <c r="A41" s="87" t="s">
        <v>4310</v>
      </c>
      <c r="B41" s="87" t="s">
        <v>4835</v>
      </c>
      <c r="C41" s="87" t="s">
        <v>586</v>
      </c>
      <c r="D41" s="87"/>
      <c r="F41" s="87" t="s">
        <v>4836</v>
      </c>
    </row>
    <row r="42">
      <c r="A42" s="87"/>
      <c r="B42" s="87"/>
      <c r="C42" s="87"/>
      <c r="D42" s="87"/>
      <c r="F42" s="87"/>
    </row>
    <row r="43">
      <c r="A43" s="87" t="s">
        <v>4837</v>
      </c>
      <c r="B43" s="87" t="s">
        <v>4838</v>
      </c>
      <c r="C43" s="87" t="s">
        <v>586</v>
      </c>
      <c r="D43" s="87"/>
      <c r="F43" s="87" t="s">
        <v>4839</v>
      </c>
    </row>
    <row r="44">
      <c r="A44" s="87"/>
      <c r="B44" s="87"/>
      <c r="C44" s="87"/>
      <c r="D44" s="87"/>
      <c r="F44" s="87"/>
    </row>
    <row r="45">
      <c r="W45" s="87" t="s">
        <v>1072</v>
      </c>
      <c r="X45" s="87" t="s">
        <v>4840</v>
      </c>
      <c r="Y45" s="87" t="s">
        <v>4841</v>
      </c>
      <c r="Z45" s="87"/>
      <c r="AB45" s="87" t="s">
        <v>4842</v>
      </c>
    </row>
    <row r="46">
      <c r="A46" s="87"/>
      <c r="B46" s="87"/>
      <c r="C46" s="87"/>
      <c r="D46" s="87"/>
      <c r="F46" s="87"/>
    </row>
    <row r="47">
      <c r="A47" s="87" t="s">
        <v>2074</v>
      </c>
      <c r="B47" s="87" t="s">
        <v>4844</v>
      </c>
      <c r="C47" s="87" t="s">
        <v>586</v>
      </c>
      <c r="D47" s="87"/>
      <c r="F47" s="87" t="s">
        <v>4845</v>
      </c>
    </row>
    <row r="48">
      <c r="A48" s="87"/>
      <c r="B48" s="87"/>
      <c r="C48" s="87"/>
      <c r="D48" s="87"/>
      <c r="F48" s="87"/>
    </row>
    <row r="49">
      <c r="A49" s="87" t="s">
        <v>4846</v>
      </c>
      <c r="B49" s="87" t="s">
        <v>4847</v>
      </c>
      <c r="C49" s="87" t="s">
        <v>586</v>
      </c>
      <c r="D49" s="87"/>
      <c r="F49" s="87" t="s">
        <v>4848</v>
      </c>
    </row>
    <row r="50">
      <c r="A50" s="87"/>
      <c r="B50" s="87"/>
      <c r="C50" s="87"/>
      <c r="D50" s="87"/>
      <c r="F50" s="87"/>
    </row>
    <row r="51">
      <c r="A51" s="87" t="s">
        <v>4849</v>
      </c>
      <c r="B51" s="87" t="s">
        <v>4850</v>
      </c>
      <c r="C51" s="87" t="s">
        <v>4787</v>
      </c>
      <c r="D51" s="87"/>
      <c r="F51" s="87" t="s">
        <v>4851</v>
      </c>
    </row>
    <row r="52">
      <c r="A52" s="87"/>
      <c r="B52" s="87"/>
      <c r="C52" s="87"/>
      <c r="D52" s="87"/>
      <c r="F52" s="87"/>
    </row>
    <row r="53">
      <c r="A53" s="87" t="s">
        <v>226</v>
      </c>
      <c r="B53" s="87" t="s">
        <v>4852</v>
      </c>
      <c r="C53" s="87" t="s">
        <v>586</v>
      </c>
      <c r="D53" s="87"/>
      <c r="F53" s="87" t="s">
        <v>4853</v>
      </c>
    </row>
    <row r="54">
      <c r="A54" s="87" t="s">
        <v>203</v>
      </c>
      <c r="B54" s="87" t="s">
        <v>4854</v>
      </c>
      <c r="C54" s="87" t="s">
        <v>586</v>
      </c>
      <c r="D54" s="87"/>
      <c r="F54" s="87" t="s">
        <v>4855</v>
      </c>
    </row>
    <row r="55">
      <c r="A55" s="87" t="s">
        <v>4856</v>
      </c>
      <c r="B55" s="87" t="s">
        <v>4857</v>
      </c>
      <c r="C55" s="87" t="s">
        <v>586</v>
      </c>
      <c r="D55" s="87"/>
      <c r="F55" s="87" t="s">
        <v>4858</v>
      </c>
    </row>
    <row r="56">
      <c r="A56" s="87" t="s">
        <v>4859</v>
      </c>
      <c r="B56" s="87" t="s">
        <v>4860</v>
      </c>
      <c r="C56" s="87" t="s">
        <v>586</v>
      </c>
      <c r="D56" s="87"/>
      <c r="F56" s="87" t="s">
        <v>4861</v>
      </c>
    </row>
    <row r="57">
      <c r="A57" s="87" t="s">
        <v>659</v>
      </c>
      <c r="B57" s="87" t="s">
        <v>4862</v>
      </c>
      <c r="C57" s="87" t="s">
        <v>586</v>
      </c>
      <c r="D57" s="87"/>
      <c r="F57" s="87" t="s">
        <v>4863</v>
      </c>
    </row>
    <row r="58">
      <c r="A58" s="87" t="s">
        <v>1511</v>
      </c>
      <c r="B58" s="87" t="s">
        <v>4864</v>
      </c>
      <c r="C58" s="87" t="s">
        <v>586</v>
      </c>
      <c r="D58" s="87"/>
      <c r="F58" s="87" t="s">
        <v>4865</v>
      </c>
    </row>
    <row r="59">
      <c r="A59" s="373" t="s">
        <v>1962</v>
      </c>
      <c r="B59" s="87" t="s">
        <v>4866</v>
      </c>
      <c r="C59" s="87" t="s">
        <v>586</v>
      </c>
      <c r="D59" s="87"/>
      <c r="F59" s="87" t="s">
        <v>4868</v>
      </c>
    </row>
    <row r="60">
      <c r="A60" s="374" t="s">
        <v>4870</v>
      </c>
      <c r="B60" s="87" t="s">
        <v>4871</v>
      </c>
      <c r="C60" s="87" t="s">
        <v>586</v>
      </c>
      <c r="D60" s="87"/>
      <c r="F60" s="87" t="s">
        <v>4872</v>
      </c>
    </row>
    <row r="61">
      <c r="A61" s="87" t="s">
        <v>4873</v>
      </c>
      <c r="B61" s="87" t="s">
        <v>4874</v>
      </c>
      <c r="C61" s="87" t="s">
        <v>527</v>
      </c>
      <c r="D61" s="87"/>
      <c r="E61" s="87" t="s">
        <v>4875</v>
      </c>
      <c r="F61" s="87" t="s">
        <v>4876</v>
      </c>
    </row>
    <row r="63">
      <c r="A63" s="87" t="s">
        <v>4878</v>
      </c>
      <c r="B63" s="87" t="s">
        <v>4879</v>
      </c>
      <c r="C63" s="87" t="s">
        <v>4880</v>
      </c>
      <c r="D63" s="87"/>
      <c r="F63" s="87" t="s">
        <v>4881</v>
      </c>
    </row>
    <row r="64">
      <c r="A64" s="87" t="s">
        <v>13</v>
      </c>
      <c r="B64" s="87" t="s">
        <v>4882</v>
      </c>
      <c r="C64" s="87" t="s">
        <v>4787</v>
      </c>
      <c r="D64" s="87"/>
      <c r="F64" s="87" t="s">
        <v>4883</v>
      </c>
    </row>
    <row r="65">
      <c r="A65" s="87" t="s">
        <v>67</v>
      </c>
      <c r="B65" s="87" t="s">
        <v>4884</v>
      </c>
      <c r="C65" s="87" t="s">
        <v>4885</v>
      </c>
      <c r="D65" s="87"/>
      <c r="F65" s="87" t="s">
        <v>4886</v>
      </c>
    </row>
    <row r="66">
      <c r="A66" s="87" t="s">
        <v>3076</v>
      </c>
      <c r="B66" s="87" t="s">
        <v>4887</v>
      </c>
      <c r="C66" s="87" t="s">
        <v>4787</v>
      </c>
      <c r="D66" s="87"/>
      <c r="F66" s="87" t="s">
        <v>4888</v>
      </c>
    </row>
    <row r="67">
      <c r="A67" s="87" t="s">
        <v>45</v>
      </c>
      <c r="B67" s="87" t="s">
        <v>4889</v>
      </c>
      <c r="C67" s="87" t="s">
        <v>586</v>
      </c>
      <c r="D67" s="87"/>
      <c r="F67" s="87" t="s">
        <v>4890</v>
      </c>
    </row>
    <row r="68">
      <c r="A68" s="87" t="s">
        <v>2746</v>
      </c>
      <c r="B68" s="87" t="s">
        <v>4891</v>
      </c>
      <c r="C68" s="87" t="s">
        <v>1403</v>
      </c>
      <c r="D68" s="87"/>
      <c r="F68" s="87" t="s">
        <v>4684</v>
      </c>
    </row>
    <row r="69">
      <c r="A69" s="87" t="s">
        <v>1132</v>
      </c>
      <c r="B69" s="87" t="s">
        <v>4892</v>
      </c>
      <c r="C69" s="87" t="s">
        <v>4787</v>
      </c>
      <c r="D69" s="87"/>
      <c r="F69" s="87" t="s">
        <v>4893</v>
      </c>
    </row>
    <row r="70">
      <c r="A70" s="87" t="s">
        <v>4236</v>
      </c>
      <c r="B70" s="87" t="s">
        <v>4894</v>
      </c>
      <c r="C70" s="87" t="s">
        <v>1523</v>
      </c>
      <c r="D70" s="87"/>
      <c r="F70" s="87" t="s">
        <v>4895</v>
      </c>
    </row>
    <row r="71">
      <c r="A71" s="87" t="s">
        <v>4896</v>
      </c>
      <c r="B71" s="87" t="s">
        <v>4897</v>
      </c>
      <c r="C71" s="87" t="s">
        <v>1523</v>
      </c>
      <c r="D71" s="87"/>
      <c r="F71" s="87" t="s">
        <v>4898</v>
      </c>
    </row>
    <row r="72">
      <c r="A72" s="87" t="s">
        <v>3748</v>
      </c>
      <c r="B72" s="87" t="s">
        <v>4899</v>
      </c>
      <c r="C72" s="87" t="s">
        <v>4900</v>
      </c>
      <c r="D72" s="87"/>
      <c r="F72" s="87" t="s">
        <v>4901</v>
      </c>
    </row>
    <row r="73">
      <c r="A73" s="87" t="s">
        <v>3467</v>
      </c>
      <c r="B73" s="87" t="s">
        <v>890</v>
      </c>
      <c r="C73" s="87" t="s">
        <v>1403</v>
      </c>
      <c r="D73" s="87"/>
      <c r="F73" s="87" t="s">
        <v>4902</v>
      </c>
    </row>
    <row r="74">
      <c r="A74" s="87" t="s">
        <v>3083</v>
      </c>
      <c r="B74" s="87" t="s">
        <v>4018</v>
      </c>
      <c r="C74" s="87" t="s">
        <v>586</v>
      </c>
      <c r="D74" s="87"/>
      <c r="F74" s="87" t="s">
        <v>4903</v>
      </c>
    </row>
    <row r="75">
      <c r="A75" s="87" t="s">
        <v>965</v>
      </c>
      <c r="B75" s="87" t="s">
        <v>4904</v>
      </c>
      <c r="C75" s="87" t="s">
        <v>586</v>
      </c>
      <c r="D75" s="87"/>
      <c r="F75" s="87" t="s">
        <v>4905</v>
      </c>
    </row>
    <row r="76">
      <c r="A76" s="87" t="s">
        <v>548</v>
      </c>
      <c r="B76" s="87" t="s">
        <v>4906</v>
      </c>
      <c r="C76" s="87" t="s">
        <v>586</v>
      </c>
      <c r="D76" s="87"/>
      <c r="F76" s="87" t="s">
        <v>4907</v>
      </c>
    </row>
    <row r="77">
      <c r="A77" s="87" t="s">
        <v>2821</v>
      </c>
      <c r="B77" s="87" t="s">
        <v>4908</v>
      </c>
      <c r="C77" s="87" t="s">
        <v>4909</v>
      </c>
      <c r="D77" s="87"/>
      <c r="F77" s="87" t="s">
        <v>4910</v>
      </c>
    </row>
    <row r="78">
      <c r="A78" s="87" t="s">
        <v>1097</v>
      </c>
      <c r="B78" s="87" t="s">
        <v>4911</v>
      </c>
    </row>
    <row r="79">
      <c r="A79" s="87" t="s">
        <v>1111</v>
      </c>
      <c r="B79" s="87" t="s">
        <v>1125</v>
      </c>
      <c r="C79" s="87" t="s">
        <v>1523</v>
      </c>
      <c r="D79" s="87"/>
      <c r="F79" s="87" t="s">
        <v>1128</v>
      </c>
    </row>
    <row r="80">
      <c r="A80" s="87" t="s">
        <v>4221</v>
      </c>
      <c r="B80" s="87" t="s">
        <v>351</v>
      </c>
      <c r="C80" s="87" t="s">
        <v>586</v>
      </c>
      <c r="D80" s="87"/>
      <c r="F80" s="87" t="s">
        <v>4912</v>
      </c>
    </row>
    <row r="81">
      <c r="A81" s="87" t="s">
        <v>524</v>
      </c>
      <c r="B81" s="87" t="s">
        <v>4913</v>
      </c>
      <c r="C81" s="87" t="s">
        <v>4914</v>
      </c>
      <c r="D81" s="87"/>
      <c r="F81" s="87" t="s">
        <v>4915</v>
      </c>
    </row>
    <row r="82">
      <c r="A82" s="87" t="s">
        <v>374</v>
      </c>
      <c r="B82" s="87" t="s">
        <v>388</v>
      </c>
      <c r="C82" s="87" t="s">
        <v>1523</v>
      </c>
      <c r="D82" s="87"/>
      <c r="F82" s="87" t="s">
        <v>4917</v>
      </c>
    </row>
    <row r="83">
      <c r="A83" s="87" t="s">
        <v>470</v>
      </c>
      <c r="B83" s="87" t="s">
        <v>4919</v>
      </c>
      <c r="C83" s="87" t="s">
        <v>3585</v>
      </c>
      <c r="D83" s="87"/>
      <c r="F83" s="87" t="s">
        <v>4920</v>
      </c>
    </row>
    <row r="84">
      <c r="A84" s="87" t="s">
        <v>1601</v>
      </c>
      <c r="B84" s="87" t="s">
        <v>4921</v>
      </c>
      <c r="C84" s="87" t="s">
        <v>1523</v>
      </c>
      <c r="D84" s="87"/>
      <c r="F84" s="87" t="s">
        <v>1622</v>
      </c>
    </row>
    <row r="85">
      <c r="A85" s="87" t="s">
        <v>4267</v>
      </c>
      <c r="B85" s="87" t="s">
        <v>4924</v>
      </c>
      <c r="C85" s="87" t="s">
        <v>1523</v>
      </c>
      <c r="D85" s="87"/>
      <c r="F85" s="87" t="s">
        <v>4927</v>
      </c>
    </row>
    <row r="86">
      <c r="F86" s="87" t="s">
        <v>132</v>
      </c>
      <c r="G86" s="87" t="s">
        <v>585</v>
      </c>
      <c r="H86" s="87" t="s">
        <v>586</v>
      </c>
      <c r="I86" s="87"/>
      <c r="K86" s="87" t="s">
        <v>587</v>
      </c>
    </row>
    <row r="87">
      <c r="A87" s="87" t="s">
        <v>1476</v>
      </c>
      <c r="B87" s="87" t="s">
        <v>1486</v>
      </c>
      <c r="C87" s="87" t="s">
        <v>1523</v>
      </c>
      <c r="D87" s="87"/>
      <c r="F87" s="87" t="s">
        <v>4929</v>
      </c>
    </row>
    <row r="88">
      <c r="A88" s="87" t="s">
        <v>1007</v>
      </c>
      <c r="B88" s="87" t="s">
        <v>4931</v>
      </c>
      <c r="C88" s="87" t="s">
        <v>1523</v>
      </c>
      <c r="D88" s="87"/>
      <c r="E88" s="87" t="s">
        <v>4932</v>
      </c>
      <c r="F88" s="87" t="s">
        <v>4934</v>
      </c>
    </row>
    <row r="89">
      <c r="A89" s="87" t="s">
        <v>250</v>
      </c>
      <c r="B89" s="87" t="s">
        <v>251</v>
      </c>
      <c r="C89" s="87" t="s">
        <v>1403</v>
      </c>
      <c r="D89" s="87"/>
      <c r="F89" s="87" t="s">
        <v>4936</v>
      </c>
    </row>
    <row r="90">
      <c r="A90" s="87" t="s">
        <v>669</v>
      </c>
      <c r="B90" s="87" t="s">
        <v>4939</v>
      </c>
      <c r="C90" s="87" t="s">
        <v>586</v>
      </c>
      <c r="D90" s="87"/>
      <c r="F90" s="87" t="s">
        <v>4941</v>
      </c>
    </row>
    <row r="91">
      <c r="A91" s="87" t="s">
        <v>4942</v>
      </c>
      <c r="B91" s="87" t="s">
        <v>4943</v>
      </c>
      <c r="C91" s="87" t="s">
        <v>586</v>
      </c>
      <c r="D91" s="87"/>
      <c r="F91" s="87" t="s">
        <v>4944</v>
      </c>
    </row>
    <row r="92">
      <c r="A92" s="87" t="s">
        <v>1438</v>
      </c>
      <c r="B92" s="87" t="s">
        <v>4945</v>
      </c>
      <c r="C92" s="87" t="s">
        <v>1403</v>
      </c>
      <c r="D92" s="87"/>
      <c r="F92" s="87" t="s">
        <v>1440</v>
      </c>
    </row>
    <row r="94">
      <c r="A94" s="87" t="s">
        <v>3685</v>
      </c>
      <c r="B94" s="87" t="s">
        <v>4946</v>
      </c>
      <c r="C94" s="87" t="s">
        <v>4947</v>
      </c>
      <c r="D94" s="87"/>
      <c r="F94" s="87" t="s">
        <v>4949</v>
      </c>
    </row>
    <row r="95">
      <c r="A95" s="87" t="s">
        <v>4951</v>
      </c>
      <c r="B95" s="87" t="s">
        <v>4953</v>
      </c>
      <c r="C95" s="87" t="s">
        <v>586</v>
      </c>
      <c r="D95" s="87"/>
      <c r="F95" s="87" t="s">
        <v>4954</v>
      </c>
    </row>
    <row r="96">
      <c r="A96" s="87" t="s">
        <v>3717</v>
      </c>
      <c r="B96" s="87" t="s">
        <v>4956</v>
      </c>
      <c r="C96" s="87" t="s">
        <v>586</v>
      </c>
      <c r="D96" s="87"/>
      <c r="F96" s="87" t="s">
        <v>4957</v>
      </c>
    </row>
    <row r="97">
      <c r="A97" s="87" t="s">
        <v>1231</v>
      </c>
      <c r="B97" s="87" t="s">
        <v>4958</v>
      </c>
      <c r="C97" s="87" t="s">
        <v>586</v>
      </c>
      <c r="D97" s="87"/>
      <c r="F97" s="87" t="s">
        <v>4959</v>
      </c>
    </row>
    <row r="98">
      <c r="A98" s="87" t="s">
        <v>4960</v>
      </c>
      <c r="B98" s="87" t="s">
        <v>4961</v>
      </c>
      <c r="C98" s="87" t="s">
        <v>1403</v>
      </c>
      <c r="D98" s="87"/>
      <c r="F98" s="87" t="s">
        <v>4964</v>
      </c>
    </row>
    <row r="99">
      <c r="A99" s="87" t="s">
        <v>4965</v>
      </c>
      <c r="B99" s="87" t="s">
        <v>4966</v>
      </c>
      <c r="C99" s="87" t="s">
        <v>586</v>
      </c>
      <c r="D99" s="87"/>
      <c r="F99" s="87" t="s">
        <v>4967</v>
      </c>
    </row>
    <row r="100">
      <c r="A100" s="87" t="s">
        <v>568</v>
      </c>
      <c r="B100" s="87" t="s">
        <v>4968</v>
      </c>
      <c r="C100" s="87" t="s">
        <v>586</v>
      </c>
      <c r="D100" s="87"/>
      <c r="F100" s="87" t="s">
        <v>4969</v>
      </c>
    </row>
    <row r="101">
      <c r="A101" s="87" t="s">
        <v>4034</v>
      </c>
      <c r="B101" s="87" t="s">
        <v>4035</v>
      </c>
      <c r="C101" s="87" t="s">
        <v>1403</v>
      </c>
      <c r="D101" s="87"/>
      <c r="F101" s="87" t="s">
        <v>4970</v>
      </c>
    </row>
    <row r="102">
      <c r="A102" s="87" t="s">
        <v>946</v>
      </c>
      <c r="B102" s="87" t="s">
        <v>4879</v>
      </c>
      <c r="C102" s="87" t="s">
        <v>586</v>
      </c>
      <c r="D102" s="87"/>
      <c r="F102" s="87" t="s">
        <v>4971</v>
      </c>
    </row>
    <row r="103">
      <c r="A103" s="87" t="s">
        <v>4972</v>
      </c>
      <c r="B103" s="87" t="s">
        <v>4973</v>
      </c>
      <c r="C103" s="87" t="s">
        <v>4975</v>
      </c>
      <c r="D103" s="87"/>
      <c r="F103" s="87" t="s">
        <v>4977</v>
      </c>
    </row>
    <row r="104">
      <c r="A104" s="87" t="s">
        <v>1533</v>
      </c>
      <c r="B104" s="87" t="s">
        <v>4979</v>
      </c>
      <c r="C104" s="87" t="s">
        <v>93</v>
      </c>
      <c r="D104" s="87"/>
      <c r="E104" s="87" t="s">
        <v>4980</v>
      </c>
      <c r="F104" s="87" t="s">
        <v>4981</v>
      </c>
    </row>
    <row r="105">
      <c r="A105" s="87" t="s">
        <v>2824</v>
      </c>
      <c r="B105" s="87" t="s">
        <v>571</v>
      </c>
      <c r="C105" s="87" t="s">
        <v>4982</v>
      </c>
      <c r="D105" s="87"/>
      <c r="E105" s="17">
        <f>919920037502</f>
        <v>919920037502</v>
      </c>
      <c r="F105" s="87" t="s">
        <v>4984</v>
      </c>
    </row>
    <row r="106">
      <c r="A106" s="87" t="s">
        <v>2765</v>
      </c>
    </row>
    <row r="107">
      <c r="F107" s="87" t="s">
        <v>580</v>
      </c>
      <c r="G107" s="87" t="s">
        <v>581</v>
      </c>
      <c r="H107" s="87" t="s">
        <v>582</v>
      </c>
      <c r="I107" s="136" t="s">
        <v>583</v>
      </c>
      <c r="K107" s="87" t="s">
        <v>584</v>
      </c>
    </row>
    <row r="108">
      <c r="A108" s="87" t="s">
        <v>1265</v>
      </c>
      <c r="B108" s="87" t="s">
        <v>4989</v>
      </c>
      <c r="C108" s="87" t="s">
        <v>4990</v>
      </c>
      <c r="D108" s="136" t="s">
        <v>4991</v>
      </c>
      <c r="F108" s="87" t="s">
        <v>4995</v>
      </c>
    </row>
    <row r="109">
      <c r="A109" s="87" t="s">
        <v>4996</v>
      </c>
      <c r="B109" s="87" t="s">
        <v>4997</v>
      </c>
      <c r="C109" s="87" t="s">
        <v>4998</v>
      </c>
      <c r="D109" s="136" t="s">
        <v>4999</v>
      </c>
      <c r="F109" s="87" t="s">
        <v>5000</v>
      </c>
    </row>
    <row r="110">
      <c r="A110" s="87" t="s">
        <v>5001</v>
      </c>
      <c r="B110" s="87" t="s">
        <v>5003</v>
      </c>
      <c r="C110" s="87" t="s">
        <v>4998</v>
      </c>
      <c r="D110" s="136" t="s">
        <v>5005</v>
      </c>
      <c r="E110" s="178"/>
      <c r="F110" s="378" t="s">
        <v>5010</v>
      </c>
    </row>
    <row r="111">
      <c r="A111" s="87" t="s">
        <v>4055</v>
      </c>
      <c r="B111" s="87" t="s">
        <v>5012</v>
      </c>
      <c r="C111" s="87" t="s">
        <v>586</v>
      </c>
      <c r="D111" s="136" t="s">
        <v>5014</v>
      </c>
      <c r="F111" s="87" t="s">
        <v>5018</v>
      </c>
    </row>
    <row r="112">
      <c r="A112" s="87" t="s">
        <v>1333</v>
      </c>
      <c r="B112" s="87" t="s">
        <v>5019</v>
      </c>
      <c r="C112" s="87" t="s">
        <v>3159</v>
      </c>
      <c r="D112" s="136" t="s">
        <v>5020</v>
      </c>
      <c r="F112" s="87" t="s">
        <v>5022</v>
      </c>
    </row>
    <row r="113">
      <c r="A113" s="87" t="s">
        <v>4263</v>
      </c>
      <c r="E113" s="178"/>
      <c r="F113" s="378"/>
    </row>
    <row r="114">
      <c r="A114" s="87" t="s">
        <v>5026</v>
      </c>
      <c r="B114" s="87" t="s">
        <v>5027</v>
      </c>
      <c r="C114" s="87" t="s">
        <v>3159</v>
      </c>
      <c r="D114" s="136" t="s">
        <v>5028</v>
      </c>
      <c r="F114" s="378" t="s">
        <v>5033</v>
      </c>
    </row>
    <row r="115">
      <c r="A115" s="87" t="s">
        <v>5034</v>
      </c>
      <c r="B115" s="87" t="s">
        <v>5035</v>
      </c>
      <c r="C115" s="87" t="s">
        <v>4787</v>
      </c>
      <c r="D115" s="136" t="s">
        <v>5036</v>
      </c>
      <c r="F115" s="87" t="s">
        <v>5041</v>
      </c>
    </row>
    <row r="116">
      <c r="A116" s="87" t="s">
        <v>1900</v>
      </c>
      <c r="B116" s="87" t="s">
        <v>5042</v>
      </c>
      <c r="C116" s="87" t="s">
        <v>4982</v>
      </c>
      <c r="D116" s="136" t="s">
        <v>5043</v>
      </c>
      <c r="F116" s="87" t="s">
        <v>5046</v>
      </c>
    </row>
    <row r="117">
      <c r="A117" s="87" t="s">
        <v>1699</v>
      </c>
      <c r="B117" s="87" t="s">
        <v>5047</v>
      </c>
      <c r="C117" s="379" t="s">
        <v>586</v>
      </c>
      <c r="D117" s="380" t="s">
        <v>5048</v>
      </c>
      <c r="E117" s="168"/>
      <c r="F117" s="378" t="s">
        <v>5052</v>
      </c>
    </row>
    <row r="118">
      <c r="A118" s="87" t="s">
        <v>1452</v>
      </c>
      <c r="B118" s="87" t="s">
        <v>5056</v>
      </c>
      <c r="C118" s="381" t="s">
        <v>586</v>
      </c>
      <c r="D118" s="136" t="s">
        <v>5057</v>
      </c>
      <c r="F118" s="378" t="s">
        <v>5060</v>
      </c>
    </row>
    <row r="119">
      <c r="A119" s="87" t="s">
        <v>3899</v>
      </c>
      <c r="B119" s="87" t="s">
        <v>5062</v>
      </c>
      <c r="C119" s="87" t="s">
        <v>1403</v>
      </c>
      <c r="D119" s="136" t="s">
        <v>5063</v>
      </c>
      <c r="F119" s="378" t="s">
        <v>5064</v>
      </c>
    </row>
    <row r="120">
      <c r="A120" s="87" t="s">
        <v>5067</v>
      </c>
      <c r="B120" s="87" t="s">
        <v>5068</v>
      </c>
      <c r="C120" s="87" t="s">
        <v>4990</v>
      </c>
      <c r="D120" s="136" t="s">
        <v>5070</v>
      </c>
      <c r="F120" s="87" t="s">
        <v>5075</v>
      </c>
    </row>
    <row r="121">
      <c r="A121" s="87" t="s">
        <v>165</v>
      </c>
      <c r="B121" s="87" t="s">
        <v>2701</v>
      </c>
      <c r="C121" s="381" t="s">
        <v>586</v>
      </c>
      <c r="D121" s="136" t="s">
        <v>5077</v>
      </c>
      <c r="E121" s="178"/>
      <c r="F121" s="378" t="s">
        <v>2707</v>
      </c>
    </row>
    <row r="122">
      <c r="A122" s="87" t="s">
        <v>1243</v>
      </c>
      <c r="C122" s="381"/>
    </row>
    <row r="123">
      <c r="A123" s="87" t="s">
        <v>2178</v>
      </c>
      <c r="B123" s="87" t="s">
        <v>5078</v>
      </c>
      <c r="C123" s="87" t="s">
        <v>4998</v>
      </c>
      <c r="D123" s="87" t="s">
        <v>5079</v>
      </c>
      <c r="E123" s="17">
        <v>9.18800735367E11</v>
      </c>
      <c r="F123" s="87" t="s">
        <v>5080</v>
      </c>
    </row>
    <row r="124">
      <c r="A124" s="87" t="s">
        <v>3030</v>
      </c>
      <c r="B124" s="87" t="s">
        <v>3031</v>
      </c>
      <c r="C124" s="87" t="s">
        <v>1403</v>
      </c>
      <c r="D124" s="380" t="s">
        <v>5081</v>
      </c>
      <c r="F124" s="87" t="s">
        <v>5082</v>
      </c>
    </row>
    <row r="125">
      <c r="A125" s="87" t="s">
        <v>2371</v>
      </c>
      <c r="B125" s="87" t="s">
        <v>2380</v>
      </c>
      <c r="C125" s="87" t="s">
        <v>4982</v>
      </c>
      <c r="D125" s="136" t="s">
        <v>5084</v>
      </c>
      <c r="F125" s="87" t="s">
        <v>5085</v>
      </c>
    </row>
    <row r="126">
      <c r="A126" s="87" t="s">
        <v>3917</v>
      </c>
      <c r="B126" s="87" t="s">
        <v>5086</v>
      </c>
      <c r="C126" s="87" t="s">
        <v>4990</v>
      </c>
      <c r="D126" s="136" t="s">
        <v>5087</v>
      </c>
      <c r="F126" s="87" t="s">
        <v>5088</v>
      </c>
    </row>
    <row r="127">
      <c r="A127" s="87" t="s">
        <v>5089</v>
      </c>
      <c r="B127" s="87" t="s">
        <v>5090</v>
      </c>
      <c r="C127" s="381" t="s">
        <v>586</v>
      </c>
      <c r="D127" s="136" t="s">
        <v>5091</v>
      </c>
      <c r="F127" s="87" t="s">
        <v>5094</v>
      </c>
    </row>
    <row r="128">
      <c r="A128" s="87" t="s">
        <v>2884</v>
      </c>
      <c r="B128" s="87" t="s">
        <v>5095</v>
      </c>
      <c r="C128" s="87" t="s">
        <v>5096</v>
      </c>
      <c r="D128" s="136" t="s">
        <v>5098</v>
      </c>
      <c r="F128" s="378" t="s">
        <v>5101</v>
      </c>
    </row>
    <row r="129">
      <c r="A129" s="87" t="s">
        <v>1065</v>
      </c>
      <c r="E129" s="178"/>
      <c r="F129" s="168"/>
    </row>
    <row r="130">
      <c r="A130" s="87" t="s">
        <v>992</v>
      </c>
      <c r="B130" s="87" t="s">
        <v>5102</v>
      </c>
      <c r="C130" s="87" t="s">
        <v>4990</v>
      </c>
      <c r="D130" s="136" t="s">
        <v>5103</v>
      </c>
      <c r="F130" s="378" t="s">
        <v>5106</v>
      </c>
    </row>
    <row r="131">
      <c r="A131" s="87" t="s">
        <v>2618</v>
      </c>
    </row>
    <row r="132">
      <c r="A132" s="87" t="s">
        <v>5107</v>
      </c>
      <c r="B132" s="87" t="s">
        <v>5108</v>
      </c>
      <c r="C132" s="87" t="s">
        <v>586</v>
      </c>
      <c r="D132" s="87"/>
      <c r="F132" s="87" t="s">
        <v>5109</v>
      </c>
    </row>
    <row r="133">
      <c r="A133" s="385" t="s">
        <v>5110</v>
      </c>
      <c r="B133" s="385" t="s">
        <v>2814</v>
      </c>
      <c r="C133" s="87" t="s">
        <v>586</v>
      </c>
      <c r="D133" s="380" t="s">
        <v>5111</v>
      </c>
      <c r="F133" s="87" t="s">
        <v>2816</v>
      </c>
    </row>
    <row r="134">
      <c r="A134" s="385" t="s">
        <v>3221</v>
      </c>
      <c r="B134" s="385" t="s">
        <v>5112</v>
      </c>
      <c r="C134" s="385" t="s">
        <v>586</v>
      </c>
      <c r="D134" s="380" t="s">
        <v>5113</v>
      </c>
      <c r="F134" s="87" t="s">
        <v>5116</v>
      </c>
    </row>
    <row r="135">
      <c r="A135" s="385" t="s">
        <v>5117</v>
      </c>
      <c r="B135" s="385" t="s">
        <v>5118</v>
      </c>
      <c r="C135" s="385" t="s">
        <v>586</v>
      </c>
      <c r="D135" s="380" t="s">
        <v>5119</v>
      </c>
      <c r="F135" s="87" t="s">
        <v>5121</v>
      </c>
    </row>
    <row r="136">
      <c r="A136" s="385" t="s">
        <v>5123</v>
      </c>
      <c r="B136" s="385" t="s">
        <v>5124</v>
      </c>
      <c r="C136" s="385" t="s">
        <v>586</v>
      </c>
      <c r="D136" s="380" t="s">
        <v>5125</v>
      </c>
      <c r="F136" s="87" t="s">
        <v>5127</v>
      </c>
    </row>
    <row r="137">
      <c r="A137" s="385" t="s">
        <v>5128</v>
      </c>
      <c r="B137" s="385" t="s">
        <v>5129</v>
      </c>
      <c r="C137" s="385" t="s">
        <v>586</v>
      </c>
      <c r="D137" s="380" t="s">
        <v>5130</v>
      </c>
      <c r="E137" s="178"/>
      <c r="F137" s="378" t="s">
        <v>5134</v>
      </c>
    </row>
    <row r="138">
      <c r="A138" s="385" t="s">
        <v>5135</v>
      </c>
      <c r="B138" s="385" t="s">
        <v>5136</v>
      </c>
      <c r="C138" s="385" t="s">
        <v>586</v>
      </c>
      <c r="D138" s="380" t="s">
        <v>5137</v>
      </c>
      <c r="F138" s="87" t="s">
        <v>5140</v>
      </c>
    </row>
    <row r="139">
      <c r="A139" s="385" t="s">
        <v>5141</v>
      </c>
      <c r="B139" s="386" t="s">
        <v>5142</v>
      </c>
      <c r="C139" s="385" t="s">
        <v>586</v>
      </c>
      <c r="D139" s="387" t="s">
        <v>5143</v>
      </c>
      <c r="E139" s="87" t="s">
        <v>5146</v>
      </c>
      <c r="F139" s="87" t="s">
        <v>5147</v>
      </c>
    </row>
    <row r="140">
      <c r="A140" s="385" t="s">
        <v>5150</v>
      </c>
      <c r="B140" s="385" t="s">
        <v>5152</v>
      </c>
      <c r="C140" s="385" t="s">
        <v>586</v>
      </c>
      <c r="D140" s="388" t="s">
        <v>5153</v>
      </c>
      <c r="F140" s="87" t="s">
        <v>5157</v>
      </c>
    </row>
    <row r="141">
      <c r="A141" s="386" t="s">
        <v>5158</v>
      </c>
      <c r="B141" s="385" t="s">
        <v>5159</v>
      </c>
      <c r="C141" s="385" t="s">
        <v>586</v>
      </c>
      <c r="D141" s="389" t="s">
        <v>5160</v>
      </c>
      <c r="F141" s="87" t="s">
        <v>5165</v>
      </c>
    </row>
    <row r="142">
      <c r="A142" s="385" t="s">
        <v>5167</v>
      </c>
      <c r="B142" s="386" t="s">
        <v>5168</v>
      </c>
      <c r="C142" s="386" t="s">
        <v>586</v>
      </c>
      <c r="D142" s="390"/>
      <c r="F142" s="87" t="s">
        <v>5170</v>
      </c>
      <c r="G142" s="87" t="s">
        <v>5171</v>
      </c>
    </row>
    <row r="143">
      <c r="A143" s="386" t="s">
        <v>110</v>
      </c>
      <c r="B143" s="385" t="s">
        <v>5172</v>
      </c>
      <c r="C143" s="385" t="s">
        <v>5173</v>
      </c>
      <c r="D143" s="380" t="s">
        <v>5174</v>
      </c>
      <c r="F143" s="87" t="s">
        <v>5180</v>
      </c>
    </row>
    <row r="144">
      <c r="A144" s="385" t="s">
        <v>5181</v>
      </c>
      <c r="B144" s="385" t="s">
        <v>5182</v>
      </c>
      <c r="C144" s="385" t="s">
        <v>5183</v>
      </c>
      <c r="D144" s="391"/>
      <c r="F144" s="87" t="s">
        <v>5184</v>
      </c>
    </row>
    <row r="145">
      <c r="A145" s="385" t="s">
        <v>5185</v>
      </c>
      <c r="B145" s="385" t="s">
        <v>5186</v>
      </c>
      <c r="C145" s="385" t="s">
        <v>586</v>
      </c>
      <c r="D145" s="389" t="s">
        <v>5188</v>
      </c>
      <c r="F145" s="87" t="s">
        <v>5190</v>
      </c>
    </row>
    <row r="146">
      <c r="A146" s="385" t="s">
        <v>5191</v>
      </c>
      <c r="B146" s="385" t="s">
        <v>5192</v>
      </c>
      <c r="C146" s="385" t="s">
        <v>5193</v>
      </c>
      <c r="D146" s="385"/>
    </row>
    <row r="147">
      <c r="A147" s="385" t="s">
        <v>5194</v>
      </c>
      <c r="B147" s="386" t="s">
        <v>5195</v>
      </c>
      <c r="C147" s="386" t="s">
        <v>5196</v>
      </c>
      <c r="D147" s="389" t="s">
        <v>5197</v>
      </c>
      <c r="F147" s="87" t="s">
        <v>5203</v>
      </c>
    </row>
    <row r="148">
      <c r="A148" s="385" t="s">
        <v>5205</v>
      </c>
      <c r="B148" s="385" t="s">
        <v>5206</v>
      </c>
      <c r="C148" s="385" t="s">
        <v>586</v>
      </c>
      <c r="D148" s="389" t="s">
        <v>5208</v>
      </c>
      <c r="F148" s="87" t="s">
        <v>5209</v>
      </c>
    </row>
    <row r="149">
      <c r="A149" s="385" t="s">
        <v>1028</v>
      </c>
      <c r="B149" s="385" t="s">
        <v>5212</v>
      </c>
      <c r="C149" s="385" t="s">
        <v>5213</v>
      </c>
      <c r="D149" s="385"/>
    </row>
    <row r="150">
      <c r="A150" s="385" t="s">
        <v>5214</v>
      </c>
      <c r="B150" s="385" t="s">
        <v>5215</v>
      </c>
      <c r="C150" s="385" t="s">
        <v>5216</v>
      </c>
      <c r="D150" s="385"/>
    </row>
    <row r="151">
      <c r="A151" s="385" t="s">
        <v>5218</v>
      </c>
      <c r="B151" s="385" t="s">
        <v>5220</v>
      </c>
      <c r="C151" s="385" t="s">
        <v>5222</v>
      </c>
      <c r="D151" s="380" t="s">
        <v>5223</v>
      </c>
      <c r="F151" s="87" t="s">
        <v>5225</v>
      </c>
    </row>
    <row r="152">
      <c r="A152" s="385" t="s">
        <v>5226</v>
      </c>
      <c r="B152" s="385" t="s">
        <v>3980</v>
      </c>
      <c r="C152" s="385" t="s">
        <v>3980</v>
      </c>
      <c r="D152" s="380" t="s">
        <v>5228</v>
      </c>
      <c r="F152" s="87" t="s">
        <v>5231</v>
      </c>
    </row>
    <row r="153">
      <c r="A153" s="17" t="s">
        <v>2407</v>
      </c>
      <c r="B153" s="17" t="s">
        <v>2413</v>
      </c>
      <c r="C153" s="87" t="s">
        <v>4982</v>
      </c>
      <c r="D153" s="392"/>
      <c r="F153" s="17" t="s">
        <v>5232</v>
      </c>
    </row>
    <row r="154">
      <c r="A154" s="87" t="s">
        <v>18</v>
      </c>
      <c r="B154" s="87" t="s">
        <v>5233</v>
      </c>
      <c r="C154" s="87" t="s">
        <v>3585</v>
      </c>
      <c r="D154" s="389" t="s">
        <v>5235</v>
      </c>
      <c r="F154" s="87" t="s">
        <v>25</v>
      </c>
    </row>
    <row r="155">
      <c r="A155" s="87" t="s">
        <v>5240</v>
      </c>
      <c r="B155" s="87" t="s">
        <v>5241</v>
      </c>
      <c r="C155" s="87" t="s">
        <v>5242</v>
      </c>
      <c r="D155" s="393" t="s">
        <v>5243</v>
      </c>
      <c r="F155" s="87" t="s">
        <v>5244</v>
      </c>
    </row>
    <row r="156">
      <c r="A156" s="385" t="s">
        <v>322</v>
      </c>
      <c r="B156" s="385" t="s">
        <v>5245</v>
      </c>
      <c r="C156" s="386" t="s">
        <v>586</v>
      </c>
      <c r="D156" s="136" t="s">
        <v>5246</v>
      </c>
      <c r="F156" s="87" t="s">
        <v>5250</v>
      </c>
    </row>
    <row r="157">
      <c r="A157" s="385" t="s">
        <v>1960</v>
      </c>
      <c r="B157" s="385" t="s">
        <v>5251</v>
      </c>
      <c r="C157" s="385" t="s">
        <v>5252</v>
      </c>
      <c r="D157" s="380" t="s">
        <v>5254</v>
      </c>
      <c r="F157" s="87" t="s">
        <v>5257</v>
      </c>
    </row>
    <row r="158">
      <c r="A158" s="87" t="s">
        <v>1752</v>
      </c>
      <c r="B158" s="87" t="s">
        <v>5258</v>
      </c>
      <c r="C158" s="87" t="s">
        <v>586</v>
      </c>
      <c r="D158" s="394" t="s">
        <v>5259</v>
      </c>
      <c r="E158" s="87"/>
      <c r="F158" s="87" t="s">
        <v>5260</v>
      </c>
    </row>
    <row r="159">
      <c r="A159" s="385" t="s">
        <v>3439</v>
      </c>
      <c r="B159" s="385" t="s">
        <v>5263</v>
      </c>
      <c r="C159" s="385" t="s">
        <v>586</v>
      </c>
      <c r="D159" s="389" t="s">
        <v>5264</v>
      </c>
      <c r="F159" s="87" t="s">
        <v>5266</v>
      </c>
    </row>
    <row r="160">
      <c r="A160" s="385" t="s">
        <v>1640</v>
      </c>
      <c r="B160" s="385" t="s">
        <v>5267</v>
      </c>
      <c r="C160" s="386" t="s">
        <v>586</v>
      </c>
      <c r="D160" s="380" t="s">
        <v>5268</v>
      </c>
      <c r="E160" s="395"/>
      <c r="F160" s="385" t="s">
        <v>5274</v>
      </c>
    </row>
    <row r="161">
      <c r="A161" s="385" t="s">
        <v>511</v>
      </c>
      <c r="B161" s="385" t="s">
        <v>5275</v>
      </c>
      <c r="C161" s="386" t="s">
        <v>586</v>
      </c>
      <c r="D161" s="380" t="s">
        <v>5276</v>
      </c>
      <c r="E161" s="395"/>
      <c r="F161" s="385" t="s">
        <v>5279</v>
      </c>
    </row>
    <row r="162">
      <c r="A162" s="385" t="s">
        <v>5280</v>
      </c>
      <c r="B162" s="385" t="s">
        <v>5282</v>
      </c>
      <c r="C162" s="385" t="s">
        <v>586</v>
      </c>
      <c r="D162" s="389" t="s">
        <v>5284</v>
      </c>
      <c r="E162" s="87"/>
      <c r="F162" s="87" t="s">
        <v>5288</v>
      </c>
    </row>
    <row r="163">
      <c r="A163" s="385" t="s">
        <v>5289</v>
      </c>
      <c r="B163" s="385" t="s">
        <v>5290</v>
      </c>
      <c r="C163" s="386" t="s">
        <v>586</v>
      </c>
      <c r="D163" s="380" t="s">
        <v>5291</v>
      </c>
      <c r="F163" s="385" t="s">
        <v>5297</v>
      </c>
    </row>
    <row r="164">
      <c r="A164" s="87" t="s">
        <v>126</v>
      </c>
      <c r="B164" s="87" t="s">
        <v>5298</v>
      </c>
      <c r="C164" s="87" t="s">
        <v>586</v>
      </c>
      <c r="D164" s="396" t="s">
        <v>5299</v>
      </c>
      <c r="F164" s="87" t="s">
        <v>5300</v>
      </c>
    </row>
    <row r="165">
      <c r="A165" s="385" t="s">
        <v>4694</v>
      </c>
      <c r="B165" s="385" t="s">
        <v>5301</v>
      </c>
      <c r="C165" s="385" t="s">
        <v>5216</v>
      </c>
      <c r="D165" s="136" t="s">
        <v>5302</v>
      </c>
      <c r="F165" s="87" t="s">
        <v>5307</v>
      </c>
    </row>
    <row r="166">
      <c r="A166" s="87" t="s">
        <v>3932</v>
      </c>
      <c r="B166" s="87" t="s">
        <v>5311</v>
      </c>
      <c r="C166" s="87" t="s">
        <v>586</v>
      </c>
      <c r="D166" s="136" t="s">
        <v>5314</v>
      </c>
      <c r="F166" s="87" t="s">
        <v>5316</v>
      </c>
    </row>
    <row r="167">
      <c r="A167" s="397" t="s">
        <v>707</v>
      </c>
      <c r="B167" s="397" t="s">
        <v>5317</v>
      </c>
      <c r="C167" s="397" t="s">
        <v>5319</v>
      </c>
      <c r="D167" s="17" t="s">
        <v>5321</v>
      </c>
      <c r="E167" s="17">
        <v>9.12266936112E11</v>
      </c>
      <c r="F167" s="17" t="s">
        <v>5322</v>
      </c>
      <c r="G167" s="17" t="s">
        <v>5322</v>
      </c>
    </row>
    <row r="168">
      <c r="A168" s="386" t="s">
        <v>2237</v>
      </c>
      <c r="B168" s="385" t="s">
        <v>5323</v>
      </c>
      <c r="C168" s="385" t="s">
        <v>5324</v>
      </c>
      <c r="F168" s="87" t="s">
        <v>5328</v>
      </c>
    </row>
    <row r="169">
      <c r="A169" s="385" t="s">
        <v>5329</v>
      </c>
      <c r="B169" s="385" t="s">
        <v>5330</v>
      </c>
      <c r="C169" s="385" t="s">
        <v>5331</v>
      </c>
      <c r="D169" s="136" t="s">
        <v>5332</v>
      </c>
      <c r="F169" s="87" t="s">
        <v>5333</v>
      </c>
      <c r="G169" s="87" t="s">
        <v>5334</v>
      </c>
    </row>
    <row r="170">
      <c r="A170" s="385" t="s">
        <v>1556</v>
      </c>
      <c r="B170" s="385" t="s">
        <v>1579</v>
      </c>
      <c r="C170" s="385" t="s">
        <v>5337</v>
      </c>
      <c r="D170" s="136" t="s">
        <v>5338</v>
      </c>
      <c r="F170" s="87" t="s">
        <v>1585</v>
      </c>
    </row>
    <row r="171">
      <c r="A171" s="385" t="s">
        <v>5340</v>
      </c>
      <c r="B171" s="385" t="s">
        <v>5342</v>
      </c>
      <c r="C171" s="385" t="s">
        <v>5343</v>
      </c>
      <c r="D171" s="136" t="s">
        <v>5344</v>
      </c>
      <c r="F171" s="87" t="s">
        <v>5347</v>
      </c>
    </row>
    <row r="172">
      <c r="A172" s="385" t="s">
        <v>5348</v>
      </c>
      <c r="B172" s="385" t="s">
        <v>5349</v>
      </c>
      <c r="C172" s="385" t="s">
        <v>5351</v>
      </c>
      <c r="D172" s="136" t="s">
        <v>5352</v>
      </c>
      <c r="F172" s="87" t="s">
        <v>5354</v>
      </c>
      <c r="G172" s="87" t="s">
        <v>5355</v>
      </c>
    </row>
    <row r="173">
      <c r="A173" s="385" t="s">
        <v>5356</v>
      </c>
      <c r="B173" s="385" t="s">
        <v>5357</v>
      </c>
      <c r="C173" s="386" t="s">
        <v>5359</v>
      </c>
      <c r="D173" s="136" t="s">
        <v>5361</v>
      </c>
      <c r="F173" s="87" t="s">
        <v>5367</v>
      </c>
    </row>
    <row r="174">
      <c r="A174" s="385" t="s">
        <v>5368</v>
      </c>
      <c r="B174" s="385" t="s">
        <v>5369</v>
      </c>
      <c r="C174" s="385" t="s">
        <v>5370</v>
      </c>
      <c r="D174" s="136" t="s">
        <v>5371</v>
      </c>
      <c r="F174" s="87" t="s">
        <v>5375</v>
      </c>
    </row>
    <row r="175">
      <c r="A175" s="385" t="s">
        <v>5378</v>
      </c>
      <c r="B175" s="385" t="s">
        <v>5380</v>
      </c>
      <c r="C175" s="385" t="s">
        <v>5382</v>
      </c>
      <c r="D175" s="136" t="s">
        <v>5384</v>
      </c>
      <c r="F175" s="87" t="s">
        <v>5385</v>
      </c>
    </row>
    <row r="176">
      <c r="A176" s="385" t="s">
        <v>506</v>
      </c>
      <c r="B176" s="385" t="s">
        <v>5386</v>
      </c>
      <c r="C176" s="385" t="s">
        <v>5387</v>
      </c>
      <c r="D176" s="136" t="s">
        <v>5389</v>
      </c>
      <c r="F176" s="87" t="s">
        <v>5394</v>
      </c>
    </row>
    <row r="177">
      <c r="A177" s="385" t="s">
        <v>5395</v>
      </c>
      <c r="B177" s="385" t="s">
        <v>5396</v>
      </c>
      <c r="C177" s="385" t="s">
        <v>5397</v>
      </c>
      <c r="D177" s="136" t="s">
        <v>5398</v>
      </c>
      <c r="F177" s="87" t="s">
        <v>5402</v>
      </c>
    </row>
    <row r="178">
      <c r="A178" s="385" t="s">
        <v>5405</v>
      </c>
      <c r="B178" s="385" t="s">
        <v>5406</v>
      </c>
      <c r="C178" s="386" t="s">
        <v>5407</v>
      </c>
      <c r="D178" s="136" t="s">
        <v>5408</v>
      </c>
      <c r="F178" s="87" t="s">
        <v>5409</v>
      </c>
    </row>
    <row r="179">
      <c r="A179" s="385" t="s">
        <v>5412</v>
      </c>
      <c r="B179" s="385" t="s">
        <v>5420</v>
      </c>
      <c r="C179" s="385" t="s">
        <v>5421</v>
      </c>
      <c r="D179" s="136" t="s">
        <v>5422</v>
      </c>
      <c r="F179" s="87" t="s">
        <v>5423</v>
      </c>
    </row>
    <row r="180">
      <c r="A180" s="87" t="s">
        <v>5426</v>
      </c>
      <c r="B180" s="87" t="s">
        <v>5428</v>
      </c>
      <c r="C180" s="87" t="s">
        <v>2802</v>
      </c>
      <c r="D180" s="136" t="s">
        <v>5430</v>
      </c>
      <c r="F180" s="87" t="s">
        <v>5432</v>
      </c>
    </row>
    <row r="181">
      <c r="A181" s="385" t="s">
        <v>5433</v>
      </c>
      <c r="B181" s="385" t="s">
        <v>5435</v>
      </c>
      <c r="C181" s="386" t="s">
        <v>5437</v>
      </c>
      <c r="D181" s="136" t="s">
        <v>5438</v>
      </c>
      <c r="F181" s="87" t="s">
        <v>5439</v>
      </c>
    </row>
    <row r="182">
      <c r="A182" s="385" t="s">
        <v>5440</v>
      </c>
      <c r="B182" s="385" t="s">
        <v>5441</v>
      </c>
      <c r="C182" s="385" t="s">
        <v>5442</v>
      </c>
    </row>
    <row r="183">
      <c r="A183" s="385" t="s">
        <v>5443</v>
      </c>
      <c r="B183" s="385" t="s">
        <v>5444</v>
      </c>
      <c r="C183" s="385" t="s">
        <v>5446</v>
      </c>
    </row>
    <row r="184">
      <c r="A184" s="386" t="s">
        <v>5447</v>
      </c>
      <c r="B184" s="385" t="s">
        <v>2433</v>
      </c>
      <c r="C184" s="386" t="s">
        <v>5448</v>
      </c>
      <c r="F184" s="87" t="s">
        <v>5449</v>
      </c>
    </row>
    <row r="185">
      <c r="A185" s="385" t="s">
        <v>5450</v>
      </c>
      <c r="B185" s="385" t="s">
        <v>5451</v>
      </c>
      <c r="C185" s="385" t="s">
        <v>5452</v>
      </c>
      <c r="D185" s="136" t="s">
        <v>5453</v>
      </c>
      <c r="F185" s="87" t="s">
        <v>5457</v>
      </c>
    </row>
    <row r="186">
      <c r="A186" s="385" t="s">
        <v>5460</v>
      </c>
      <c r="B186" s="386" t="s">
        <v>5461</v>
      </c>
      <c r="C186" s="385" t="s">
        <v>5462</v>
      </c>
      <c r="D186" s="136" t="s">
        <v>5463</v>
      </c>
      <c r="F186" s="87" t="s">
        <v>5464</v>
      </c>
      <c r="G186" s="87" t="s">
        <v>5465</v>
      </c>
    </row>
    <row r="187">
      <c r="A187" s="386" t="s">
        <v>5466</v>
      </c>
      <c r="B187" s="386" t="s">
        <v>5467</v>
      </c>
      <c r="C187" s="386" t="s">
        <v>1403</v>
      </c>
      <c r="D187" s="136" t="s">
        <v>5468</v>
      </c>
      <c r="F187" s="395" t="s">
        <v>5469</v>
      </c>
      <c r="G187" s="87"/>
    </row>
    <row r="188">
      <c r="A188" s="385" t="s">
        <v>5470</v>
      </c>
      <c r="B188" s="385" t="s">
        <v>5471</v>
      </c>
      <c r="C188" s="385" t="s">
        <v>5473</v>
      </c>
      <c r="D188" s="136" t="s">
        <v>5474</v>
      </c>
      <c r="F188" s="395" t="s">
        <v>5475</v>
      </c>
      <c r="G188" s="87" t="s">
        <v>5476</v>
      </c>
    </row>
    <row r="189">
      <c r="A189" s="385" t="s">
        <v>5477</v>
      </c>
      <c r="B189" s="385" t="s">
        <v>5478</v>
      </c>
      <c r="C189" s="385" t="s">
        <v>5479</v>
      </c>
      <c r="E189" s="395"/>
      <c r="F189" s="385"/>
    </row>
    <row r="190">
      <c r="A190" s="385" t="s">
        <v>5481</v>
      </c>
      <c r="B190" s="385" t="s">
        <v>3633</v>
      </c>
      <c r="C190" s="385" t="s">
        <v>5483</v>
      </c>
      <c r="D190" s="136" t="s">
        <v>5484</v>
      </c>
      <c r="E190" s="395"/>
      <c r="F190" s="385" t="s">
        <v>5488</v>
      </c>
    </row>
    <row r="191">
      <c r="A191" s="385" t="s">
        <v>5489</v>
      </c>
      <c r="B191" s="385" t="s">
        <v>5490</v>
      </c>
      <c r="C191" s="385" t="s">
        <v>5491</v>
      </c>
      <c r="D191" s="136" t="s">
        <v>5492</v>
      </c>
      <c r="E191" s="395"/>
      <c r="F191" s="385" t="s">
        <v>5496</v>
      </c>
      <c r="G191" s="87" t="s">
        <v>5497</v>
      </c>
    </row>
    <row r="192">
      <c r="A192" s="87" t="s">
        <v>5498</v>
      </c>
      <c r="B192" s="87" t="s">
        <v>5499</v>
      </c>
      <c r="C192" s="87" t="s">
        <v>5500</v>
      </c>
      <c r="D192" s="136" t="s">
        <v>5501</v>
      </c>
      <c r="F192" s="87" t="s">
        <v>5502</v>
      </c>
    </row>
    <row r="193">
      <c r="A193" s="385" t="s">
        <v>5503</v>
      </c>
      <c r="B193" s="385" t="s">
        <v>5505</v>
      </c>
      <c r="C193" s="385" t="s">
        <v>5446</v>
      </c>
      <c r="D193" s="136" t="s">
        <v>5506</v>
      </c>
      <c r="E193" s="395"/>
      <c r="F193" s="385" t="s">
        <v>5508</v>
      </c>
      <c r="G193" s="87" t="s">
        <v>5509</v>
      </c>
      <c r="H193" s="87" t="s">
        <v>5510</v>
      </c>
    </row>
    <row r="194">
      <c r="A194" s="385" t="s">
        <v>5511</v>
      </c>
      <c r="B194" s="385" t="s">
        <v>5512</v>
      </c>
      <c r="C194" s="385" t="s">
        <v>5513</v>
      </c>
      <c r="D194" s="136" t="s">
        <v>5514</v>
      </c>
      <c r="E194" s="395"/>
      <c r="F194" s="87" t="s">
        <v>5516</v>
      </c>
      <c r="G194" s="385" t="s">
        <v>5517</v>
      </c>
    </row>
    <row r="195">
      <c r="A195" s="87" t="s">
        <v>5519</v>
      </c>
      <c r="B195" s="87" t="s">
        <v>5520</v>
      </c>
      <c r="C195" s="87" t="s">
        <v>586</v>
      </c>
      <c r="D195" s="136" t="s">
        <v>5521</v>
      </c>
      <c r="F195" s="87" t="s">
        <v>5522</v>
      </c>
      <c r="G195" s="87" t="s">
        <v>5523</v>
      </c>
    </row>
    <row r="196">
      <c r="A196" s="385" t="s">
        <v>5525</v>
      </c>
      <c r="B196" s="385" t="s">
        <v>5527</v>
      </c>
      <c r="C196" s="386" t="s">
        <v>5528</v>
      </c>
      <c r="D196" s="136" t="s">
        <v>5529</v>
      </c>
      <c r="F196" s="87" t="s">
        <v>5531</v>
      </c>
    </row>
    <row r="197">
      <c r="A197" s="87" t="s">
        <v>5532</v>
      </c>
      <c r="B197" s="87" t="s">
        <v>5533</v>
      </c>
      <c r="C197" s="87" t="s">
        <v>5534</v>
      </c>
      <c r="D197" s="136" t="s">
        <v>5535</v>
      </c>
      <c r="F197" s="87" t="s">
        <v>5540</v>
      </c>
      <c r="G197" s="87" t="s">
        <v>5541</v>
      </c>
    </row>
    <row r="198">
      <c r="A198" s="216" t="s">
        <v>5542</v>
      </c>
      <c r="B198" s="216" t="s">
        <v>5543</v>
      </c>
      <c r="C198" s="216" t="s">
        <v>5544</v>
      </c>
      <c r="D198" s="136" t="s">
        <v>5545</v>
      </c>
      <c r="F198" s="87" t="s">
        <v>5549</v>
      </c>
      <c r="G198" s="87" t="s">
        <v>5550</v>
      </c>
    </row>
    <row r="199">
      <c r="A199" s="398" t="s">
        <v>5551</v>
      </c>
      <c r="B199" s="399" t="s">
        <v>5552</v>
      </c>
      <c r="C199" s="400" t="s">
        <v>5553</v>
      </c>
      <c r="D199" s="136" t="s">
        <v>5554</v>
      </c>
      <c r="F199" s="87" t="s">
        <v>5558</v>
      </c>
      <c r="G199" s="87" t="s">
        <v>5559</v>
      </c>
    </row>
    <row r="200">
      <c r="A200" s="401" t="s">
        <v>5560</v>
      </c>
      <c r="B200" s="399" t="s">
        <v>5561</v>
      </c>
      <c r="C200" s="402" t="s">
        <v>5562</v>
      </c>
      <c r="D200" s="136" t="s">
        <v>5563</v>
      </c>
      <c r="E200" s="191"/>
      <c r="F200" s="403" t="s">
        <v>5569</v>
      </c>
    </row>
    <row r="201">
      <c r="A201" s="216" t="s">
        <v>5571</v>
      </c>
      <c r="B201" s="399" t="s">
        <v>5572</v>
      </c>
      <c r="C201" s="400" t="s">
        <v>5573</v>
      </c>
      <c r="D201" s="136" t="s">
        <v>5574</v>
      </c>
      <c r="E201" s="102"/>
      <c r="F201" s="403" t="s">
        <v>5578</v>
      </c>
    </row>
    <row r="202">
      <c r="A202" s="87" t="s">
        <v>5579</v>
      </c>
      <c r="B202" s="87" t="s">
        <v>5580</v>
      </c>
      <c r="C202" s="87" t="s">
        <v>5581</v>
      </c>
      <c r="D202" s="136" t="s">
        <v>5582</v>
      </c>
      <c r="F202" s="87" t="s">
        <v>5587</v>
      </c>
      <c r="G202" s="87" t="s">
        <v>5588</v>
      </c>
    </row>
    <row r="203">
      <c r="A203" s="87" t="s">
        <v>5590</v>
      </c>
      <c r="B203" s="87" t="s">
        <v>4810</v>
      </c>
      <c r="C203" s="87" t="s">
        <v>5591</v>
      </c>
      <c r="D203" s="136" t="s">
        <v>5592</v>
      </c>
      <c r="F203" s="87" t="s">
        <v>5595</v>
      </c>
    </row>
    <row r="204">
      <c r="A204" s="87" t="s">
        <v>5598</v>
      </c>
      <c r="B204" s="87" t="s">
        <v>5600</v>
      </c>
      <c r="C204" s="87" t="s">
        <v>5534</v>
      </c>
      <c r="D204" s="136" t="s">
        <v>5601</v>
      </c>
      <c r="F204" s="87" t="s">
        <v>5605</v>
      </c>
      <c r="G204" s="206" t="s">
        <v>5606</v>
      </c>
      <c r="H204" s="102"/>
      <c r="J204" s="102"/>
      <c r="L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</row>
    <row r="205">
      <c r="A205" s="87" t="s">
        <v>5614</v>
      </c>
      <c r="B205" s="87" t="s">
        <v>5615</v>
      </c>
      <c r="C205" s="87" t="s">
        <v>5616</v>
      </c>
      <c r="G205" s="405" t="s">
        <v>489</v>
      </c>
      <c r="H205" s="102"/>
      <c r="J205" s="102"/>
      <c r="L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</row>
    <row r="206">
      <c r="A206" s="87" t="s">
        <v>5618</v>
      </c>
      <c r="B206" s="87" t="s">
        <v>5619</v>
      </c>
      <c r="C206" s="87" t="s">
        <v>5620</v>
      </c>
      <c r="D206" s="136" t="s">
        <v>5621</v>
      </c>
      <c r="F206" s="87" t="s">
        <v>5624</v>
      </c>
      <c r="G206" s="102"/>
      <c r="H206" s="102"/>
      <c r="J206" s="102"/>
      <c r="L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</row>
    <row r="207">
      <c r="A207" s="87" t="s">
        <v>5628</v>
      </c>
      <c r="B207" s="87" t="s">
        <v>5630</v>
      </c>
      <c r="C207" s="87" t="s">
        <v>5632</v>
      </c>
      <c r="D207" s="136" t="s">
        <v>5633</v>
      </c>
      <c r="F207" s="87" t="s">
        <v>5638</v>
      </c>
      <c r="G207" s="216" t="s">
        <v>5639</v>
      </c>
      <c r="H207" s="216" t="s">
        <v>5640</v>
      </c>
      <c r="J207" s="102"/>
      <c r="L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</row>
    <row r="208">
      <c r="A208" s="87" t="s">
        <v>5645</v>
      </c>
      <c r="B208" s="87" t="s">
        <v>5647</v>
      </c>
      <c r="C208" s="87" t="s">
        <v>5442</v>
      </c>
      <c r="D208" s="136" t="s">
        <v>5649</v>
      </c>
      <c r="F208" s="87" t="s">
        <v>5651</v>
      </c>
    </row>
    <row r="209">
      <c r="A209" s="87" t="s">
        <v>5652</v>
      </c>
      <c r="B209" s="87" t="s">
        <v>5654</v>
      </c>
      <c r="C209" s="87" t="s">
        <v>5656</v>
      </c>
      <c r="D209" s="136" t="s">
        <v>5657</v>
      </c>
      <c r="F209" s="87" t="s">
        <v>5660</v>
      </c>
    </row>
    <row r="210">
      <c r="A210" s="87" t="s">
        <v>2123</v>
      </c>
      <c r="B210" s="87" t="s">
        <v>5661</v>
      </c>
      <c r="C210" s="87" t="s">
        <v>5662</v>
      </c>
      <c r="D210" s="136" t="s">
        <v>5663</v>
      </c>
      <c r="F210" s="87" t="s">
        <v>5666</v>
      </c>
    </row>
    <row r="211">
      <c r="A211" s="87" t="s">
        <v>5669</v>
      </c>
      <c r="B211" s="87" t="s">
        <v>5671</v>
      </c>
      <c r="C211" s="87" t="s">
        <v>5672</v>
      </c>
      <c r="D211" s="136" t="s">
        <v>5674</v>
      </c>
      <c r="F211" s="87" t="s">
        <v>5675</v>
      </c>
      <c r="G211" s="87" t="s">
        <v>5676</v>
      </c>
      <c r="H211" s="87" t="s">
        <v>5677</v>
      </c>
    </row>
    <row r="212">
      <c r="A212" s="87" t="s">
        <v>1654</v>
      </c>
      <c r="B212" s="87" t="s">
        <v>5679</v>
      </c>
      <c r="C212" s="87" t="s">
        <v>5680</v>
      </c>
      <c r="D212" s="136" t="s">
        <v>5681</v>
      </c>
      <c r="F212" s="87" t="s">
        <v>5686</v>
      </c>
      <c r="G212" s="87" t="s">
        <v>5687</v>
      </c>
    </row>
    <row r="213">
      <c r="A213" s="385" t="s">
        <v>5688</v>
      </c>
      <c r="B213" s="385" t="s">
        <v>5689</v>
      </c>
      <c r="C213" s="385" t="s">
        <v>5690</v>
      </c>
      <c r="D213" s="136" t="s">
        <v>5691</v>
      </c>
    </row>
    <row r="214">
      <c r="A214" s="87" t="s">
        <v>5697</v>
      </c>
      <c r="B214" s="87" t="s">
        <v>5698</v>
      </c>
      <c r="C214" s="87" t="s">
        <v>5699</v>
      </c>
      <c r="D214" s="136" t="s">
        <v>5700</v>
      </c>
      <c r="F214" s="87" t="s">
        <v>5702</v>
      </c>
    </row>
    <row r="215">
      <c r="A215" s="385" t="s">
        <v>5703</v>
      </c>
      <c r="B215" s="385" t="s">
        <v>4741</v>
      </c>
      <c r="C215" s="385" t="s">
        <v>5704</v>
      </c>
      <c r="D215" s="136" t="s">
        <v>5705</v>
      </c>
      <c r="F215" s="87" t="s">
        <v>5710</v>
      </c>
    </row>
    <row r="216">
      <c r="A216" s="385" t="s">
        <v>5711</v>
      </c>
      <c r="B216" s="385" t="s">
        <v>5712</v>
      </c>
      <c r="C216" s="385" t="s">
        <v>5713</v>
      </c>
      <c r="E216" s="395"/>
    </row>
    <row r="217">
      <c r="A217" s="385" t="s">
        <v>5714</v>
      </c>
      <c r="B217" s="385" t="s">
        <v>5715</v>
      </c>
      <c r="C217" s="385" t="s">
        <v>5716</v>
      </c>
      <c r="D217" s="136" t="s">
        <v>5717</v>
      </c>
      <c r="F217" s="386" t="s">
        <v>5719</v>
      </c>
    </row>
    <row r="218">
      <c r="A218" s="385" t="s">
        <v>5720</v>
      </c>
      <c r="B218" s="385" t="s">
        <v>5721</v>
      </c>
      <c r="C218" s="385" t="s">
        <v>5442</v>
      </c>
      <c r="D218" s="136" t="s">
        <v>5722</v>
      </c>
      <c r="E218" s="407"/>
      <c r="F218" s="87" t="s">
        <v>5725</v>
      </c>
    </row>
    <row r="219">
      <c r="A219" s="87" t="s">
        <v>5727</v>
      </c>
      <c r="B219" s="87" t="s">
        <v>5729</v>
      </c>
      <c r="C219" s="87" t="s">
        <v>5731</v>
      </c>
      <c r="D219" s="136" t="s">
        <v>5732</v>
      </c>
      <c r="F219" s="87" t="s">
        <v>5735</v>
      </c>
    </row>
    <row r="220">
      <c r="A220" s="87" t="s">
        <v>5736</v>
      </c>
      <c r="B220" s="87" t="s">
        <v>5738</v>
      </c>
      <c r="C220" s="87" t="s">
        <v>5740</v>
      </c>
      <c r="D220" s="136" t="s">
        <v>5741</v>
      </c>
      <c r="F220" s="87" t="s">
        <v>5742</v>
      </c>
    </row>
    <row r="221">
      <c r="A221" s="87" t="s">
        <v>5743</v>
      </c>
      <c r="B221" s="87" t="s">
        <v>5744</v>
      </c>
      <c r="C221" s="87" t="s">
        <v>5745</v>
      </c>
      <c r="D221" s="136" t="s">
        <v>5746</v>
      </c>
      <c r="F221" s="87" t="s">
        <v>5752</v>
      </c>
    </row>
    <row r="222">
      <c r="A222" s="87" t="s">
        <v>5753</v>
      </c>
      <c r="B222" s="87" t="s">
        <v>5068</v>
      </c>
      <c r="C222" s="87" t="s">
        <v>5754</v>
      </c>
      <c r="D222" s="136" t="s">
        <v>5755</v>
      </c>
      <c r="F222" s="87" t="s">
        <v>5757</v>
      </c>
    </row>
    <row r="223">
      <c r="A223" s="87" t="s">
        <v>5758</v>
      </c>
      <c r="B223" s="87" t="s">
        <v>5760</v>
      </c>
      <c r="C223" s="87" t="s">
        <v>5761</v>
      </c>
      <c r="D223" s="136" t="s">
        <v>5762</v>
      </c>
      <c r="F223" s="87" t="s">
        <v>5766</v>
      </c>
    </row>
    <row r="224">
      <c r="A224" s="87" t="s">
        <v>5767</v>
      </c>
      <c r="B224" s="87" t="s">
        <v>5768</v>
      </c>
      <c r="C224" s="87" t="s">
        <v>5442</v>
      </c>
      <c r="D224" s="136" t="s">
        <v>5770</v>
      </c>
      <c r="F224" s="87" t="s">
        <v>5772</v>
      </c>
    </row>
    <row r="225">
      <c r="A225" s="87" t="s">
        <v>5773</v>
      </c>
      <c r="B225" s="87" t="s">
        <v>5774</v>
      </c>
      <c r="C225" s="87" t="s">
        <v>5775</v>
      </c>
      <c r="D225" s="136" t="s">
        <v>5776</v>
      </c>
      <c r="F225" s="87" t="s">
        <v>5780</v>
      </c>
    </row>
    <row r="226">
      <c r="A226" s="87" t="s">
        <v>5781</v>
      </c>
      <c r="B226" s="87" t="s">
        <v>5782</v>
      </c>
      <c r="C226" s="87" t="s">
        <v>5783</v>
      </c>
      <c r="D226" s="136" t="s">
        <v>5784</v>
      </c>
      <c r="F226" s="87" t="s">
        <v>5787</v>
      </c>
    </row>
    <row r="227">
      <c r="A227" s="87" t="s">
        <v>5788</v>
      </c>
      <c r="B227" s="87" t="s">
        <v>5789</v>
      </c>
      <c r="C227" s="87" t="s">
        <v>5791</v>
      </c>
      <c r="D227" s="136" t="s">
        <v>5792</v>
      </c>
      <c r="F227" s="87" t="s">
        <v>5796</v>
      </c>
    </row>
    <row r="228">
      <c r="A228" s="87" t="s">
        <v>5798</v>
      </c>
      <c r="B228" s="87" t="s">
        <v>5800</v>
      </c>
      <c r="C228" s="87" t="s">
        <v>5801</v>
      </c>
      <c r="D228" s="136" t="s">
        <v>5803</v>
      </c>
      <c r="F228" s="87" t="s">
        <v>5804</v>
      </c>
    </row>
    <row r="229">
      <c r="A229" s="87" t="s">
        <v>5805</v>
      </c>
      <c r="B229" s="87" t="s">
        <v>5806</v>
      </c>
      <c r="C229" s="87" t="s">
        <v>5807</v>
      </c>
      <c r="D229" s="136" t="s">
        <v>5808</v>
      </c>
      <c r="F229" s="87" t="s">
        <v>5811</v>
      </c>
    </row>
    <row r="230">
      <c r="A230" s="87" t="s">
        <v>5812</v>
      </c>
      <c r="B230" s="87" t="s">
        <v>5813</v>
      </c>
      <c r="C230" s="87" t="s">
        <v>147</v>
      </c>
      <c r="D230" s="136" t="s">
        <v>5814</v>
      </c>
      <c r="F230" s="87" t="s">
        <v>5815</v>
      </c>
    </row>
    <row r="231">
      <c r="A231" s="87" t="s">
        <v>5816</v>
      </c>
      <c r="B231" s="87" t="s">
        <v>5817</v>
      </c>
      <c r="C231" s="87" t="s">
        <v>5791</v>
      </c>
      <c r="D231" s="136" t="s">
        <v>5818</v>
      </c>
      <c r="F231" s="87" t="s">
        <v>5824</v>
      </c>
    </row>
    <row r="232">
      <c r="A232" s="87" t="s">
        <v>5826</v>
      </c>
      <c r="B232" s="87" t="s">
        <v>5827</v>
      </c>
      <c r="C232" s="87" t="s">
        <v>586</v>
      </c>
      <c r="D232" s="136" t="s">
        <v>5828</v>
      </c>
      <c r="F232" s="87" t="s">
        <v>5831</v>
      </c>
    </row>
    <row r="233">
      <c r="A233" s="87" t="s">
        <v>5833</v>
      </c>
      <c r="B233" s="87" t="s">
        <v>5835</v>
      </c>
      <c r="C233" s="87" t="s">
        <v>5836</v>
      </c>
      <c r="D233" s="136" t="s">
        <v>5838</v>
      </c>
      <c r="F233" s="87" t="s">
        <v>5840</v>
      </c>
    </row>
    <row r="234">
      <c r="A234" s="87" t="s">
        <v>5841</v>
      </c>
      <c r="B234" s="87" t="s">
        <v>5842</v>
      </c>
      <c r="C234" s="87" t="s">
        <v>586</v>
      </c>
      <c r="D234" s="136" t="s">
        <v>5844</v>
      </c>
      <c r="F234" s="87" t="s">
        <v>5848</v>
      </c>
    </row>
    <row r="235">
      <c r="A235" s="87" t="s">
        <v>5849</v>
      </c>
      <c r="B235" s="87" t="s">
        <v>5850</v>
      </c>
      <c r="C235" s="87" t="s">
        <v>4982</v>
      </c>
      <c r="D235" s="136" t="s">
        <v>5851</v>
      </c>
      <c r="F235" s="87" t="s">
        <v>5853</v>
      </c>
    </row>
    <row r="236">
      <c r="A236" s="87" t="s">
        <v>5855</v>
      </c>
      <c r="B236" s="87" t="s">
        <v>5856</v>
      </c>
      <c r="C236" s="87" t="s">
        <v>586</v>
      </c>
      <c r="D236" s="136" t="s">
        <v>5857</v>
      </c>
      <c r="F236" s="87" t="s">
        <v>5862</v>
      </c>
    </row>
    <row r="237">
      <c r="A237" s="374" t="s">
        <v>5863</v>
      </c>
      <c r="B237" s="87" t="s">
        <v>5864</v>
      </c>
      <c r="C237" s="87" t="s">
        <v>4982</v>
      </c>
      <c r="D237" s="136" t="s">
        <v>5865</v>
      </c>
      <c r="F237" s="87" t="s">
        <v>5869</v>
      </c>
    </row>
    <row r="238">
      <c r="A238" s="87" t="s">
        <v>5872</v>
      </c>
      <c r="B238" s="87" t="s">
        <v>5873</v>
      </c>
      <c r="C238" s="87" t="s">
        <v>5553</v>
      </c>
      <c r="D238" s="136" t="s">
        <v>5874</v>
      </c>
      <c r="F238" s="87" t="s">
        <v>5877</v>
      </c>
    </row>
    <row r="239">
      <c r="A239" s="87" t="s">
        <v>5880</v>
      </c>
      <c r="B239" s="87" t="s">
        <v>5882</v>
      </c>
      <c r="C239" s="87" t="s">
        <v>5884</v>
      </c>
      <c r="D239" s="136" t="s">
        <v>5885</v>
      </c>
      <c r="F239" s="87" t="s">
        <v>5889</v>
      </c>
    </row>
    <row r="240">
      <c r="A240" s="374" t="s">
        <v>5890</v>
      </c>
      <c r="B240" s="87" t="s">
        <v>5891</v>
      </c>
      <c r="C240" s="87" t="s">
        <v>5892</v>
      </c>
      <c r="D240" s="136" t="s">
        <v>5894</v>
      </c>
      <c r="F240" s="87" t="s">
        <v>5897</v>
      </c>
    </row>
    <row r="241">
      <c r="A241" s="87" t="s">
        <v>5898</v>
      </c>
      <c r="B241" s="87" t="s">
        <v>5900</v>
      </c>
      <c r="C241" s="87" t="s">
        <v>4982</v>
      </c>
      <c r="D241" s="136" t="s">
        <v>5902</v>
      </c>
      <c r="F241" s="87" t="s">
        <v>5904</v>
      </c>
    </row>
    <row r="242">
      <c r="A242" s="87" t="s">
        <v>5906</v>
      </c>
      <c r="B242" s="87" t="s">
        <v>5908</v>
      </c>
      <c r="C242" s="87" t="s">
        <v>5909</v>
      </c>
      <c r="D242" s="136" t="s">
        <v>5910</v>
      </c>
      <c r="F242" s="87" t="s">
        <v>5914</v>
      </c>
    </row>
    <row r="243">
      <c r="A243" s="87" t="s">
        <v>5915</v>
      </c>
      <c r="B243" s="87" t="s">
        <v>5916</v>
      </c>
      <c r="C243" s="87" t="s">
        <v>5917</v>
      </c>
      <c r="D243" s="136" t="s">
        <v>5918</v>
      </c>
      <c r="F243" s="87" t="s">
        <v>5924</v>
      </c>
    </row>
    <row r="244">
      <c r="A244" s="87" t="s">
        <v>5925</v>
      </c>
      <c r="B244" s="87" t="s">
        <v>5926</v>
      </c>
      <c r="C244" s="87" t="s">
        <v>5927</v>
      </c>
      <c r="D244" s="136" t="s">
        <v>5928</v>
      </c>
      <c r="F244" s="87" t="s">
        <v>5931</v>
      </c>
    </row>
    <row r="245">
      <c r="B245" s="87"/>
      <c r="C245" s="87"/>
      <c r="D245" s="87"/>
      <c r="F245" s="87"/>
    </row>
    <row r="246">
      <c r="A246" s="87" t="s">
        <v>5933</v>
      </c>
      <c r="B246" s="87" t="s">
        <v>5934</v>
      </c>
      <c r="C246" s="87" t="s">
        <v>586</v>
      </c>
      <c r="D246" s="136" t="s">
        <v>5936</v>
      </c>
      <c r="F246" s="87" t="s">
        <v>5938</v>
      </c>
    </row>
    <row r="247">
      <c r="A247" s="87" t="s">
        <v>5940</v>
      </c>
    </row>
    <row r="248">
      <c r="A248" s="87" t="s">
        <v>5941</v>
      </c>
      <c r="B248" s="87" t="s">
        <v>5942</v>
      </c>
      <c r="C248" s="87" t="s">
        <v>5943</v>
      </c>
      <c r="D248" s="136" t="s">
        <v>5944</v>
      </c>
      <c r="F248" s="87" t="s">
        <v>5945</v>
      </c>
    </row>
    <row r="249">
      <c r="A249" s="87" t="s">
        <v>5946</v>
      </c>
      <c r="B249" s="87" t="s">
        <v>5947</v>
      </c>
      <c r="C249" s="87" t="s">
        <v>4656</v>
      </c>
      <c r="D249" s="136" t="s">
        <v>5949</v>
      </c>
      <c r="F249" s="87" t="s">
        <v>5952</v>
      </c>
    </row>
    <row r="250">
      <c r="A250" s="87" t="s">
        <v>5953</v>
      </c>
      <c r="B250" s="87" t="s">
        <v>5954</v>
      </c>
      <c r="C250" s="87" t="s">
        <v>380</v>
      </c>
      <c r="D250" s="136" t="s">
        <v>5955</v>
      </c>
      <c r="F250" s="87" t="s">
        <v>5957</v>
      </c>
    </row>
    <row r="251">
      <c r="A251" s="87" t="s">
        <v>5959</v>
      </c>
      <c r="B251" s="87" t="s">
        <v>5960</v>
      </c>
      <c r="C251" s="87" t="s">
        <v>5962</v>
      </c>
      <c r="D251" s="136" t="s">
        <v>5964</v>
      </c>
      <c r="F251" s="87" t="s">
        <v>5966</v>
      </c>
    </row>
    <row r="252">
      <c r="A252" s="87" t="s">
        <v>5967</v>
      </c>
      <c r="B252" s="87" t="s">
        <v>5968</v>
      </c>
      <c r="C252" s="87" t="s">
        <v>4909</v>
      </c>
      <c r="D252" s="136" t="s">
        <v>5969</v>
      </c>
      <c r="F252" s="87" t="s">
        <v>5972</v>
      </c>
    </row>
    <row r="253">
      <c r="A253" s="87" t="s">
        <v>5973</v>
      </c>
      <c r="B253" s="87" t="s">
        <v>5974</v>
      </c>
      <c r="C253" s="87" t="s">
        <v>586</v>
      </c>
      <c r="D253" s="136" t="s">
        <v>5976</v>
      </c>
      <c r="F253" s="87" t="s">
        <v>5979</v>
      </c>
    </row>
    <row r="254">
      <c r="A254" s="87" t="s">
        <v>5980</v>
      </c>
      <c r="B254" s="87" t="s">
        <v>5981</v>
      </c>
      <c r="C254" s="87" t="s">
        <v>4909</v>
      </c>
      <c r="D254" s="136" t="s">
        <v>5982</v>
      </c>
      <c r="F254" s="87" t="s">
        <v>5984</v>
      </c>
    </row>
    <row r="255">
      <c r="A255" s="87" t="s">
        <v>5986</v>
      </c>
    </row>
    <row r="256">
      <c r="A256" s="87" t="s">
        <v>5987</v>
      </c>
    </row>
    <row r="257">
      <c r="A257" s="87" t="s">
        <v>5988</v>
      </c>
    </row>
    <row r="258">
      <c r="A258" s="87" t="s">
        <v>5989</v>
      </c>
    </row>
    <row r="259">
      <c r="A259" s="87" t="s">
        <v>5990</v>
      </c>
    </row>
    <row r="260">
      <c r="A260" s="87" t="s">
        <v>5991</v>
      </c>
      <c r="B260" s="87" t="s">
        <v>5992</v>
      </c>
      <c r="C260" s="87" t="s">
        <v>5993</v>
      </c>
      <c r="D260" s="136" t="s">
        <v>5994</v>
      </c>
      <c r="F260" s="87" t="s">
        <v>6000</v>
      </c>
    </row>
    <row r="261">
      <c r="A261" s="87" t="s">
        <v>6002</v>
      </c>
    </row>
    <row r="262">
      <c r="A262" s="87" t="s">
        <v>6003</v>
      </c>
    </row>
    <row r="263">
      <c r="A263" s="87" t="s">
        <v>6004</v>
      </c>
    </row>
    <row r="264">
      <c r="A264" s="87" t="s">
        <v>6005</v>
      </c>
    </row>
    <row r="265">
      <c r="A265" s="87" t="s">
        <v>6006</v>
      </c>
    </row>
    <row r="266">
      <c r="A266" s="87" t="s">
        <v>6009</v>
      </c>
    </row>
    <row r="267">
      <c r="A267" s="87" t="s">
        <v>6011</v>
      </c>
    </row>
    <row r="270">
      <c r="A270" s="87" t="s">
        <v>6012</v>
      </c>
    </row>
    <row r="271">
      <c r="A271" s="87" t="s">
        <v>6013</v>
      </c>
    </row>
    <row r="272">
      <c r="A272" s="87" t="s">
        <v>6014</v>
      </c>
    </row>
    <row r="273">
      <c r="A273" s="87" t="s">
        <v>6015</v>
      </c>
    </row>
    <row r="274">
      <c r="A274" s="87" t="s">
        <v>6016</v>
      </c>
    </row>
    <row r="275">
      <c r="A275" s="87" t="s">
        <v>6019</v>
      </c>
    </row>
    <row r="276">
      <c r="A276" s="87" t="s">
        <v>6020</v>
      </c>
    </row>
    <row r="277">
      <c r="A277" s="374" t="s">
        <v>3666</v>
      </c>
    </row>
    <row r="278">
      <c r="A278" s="87" t="s">
        <v>6021</v>
      </c>
    </row>
    <row r="280">
      <c r="A280" s="87" t="s">
        <v>6022</v>
      </c>
    </row>
    <row r="281">
      <c r="A281" s="87" t="s">
        <v>6024</v>
      </c>
    </row>
    <row r="282">
      <c r="A282" s="87" t="s">
        <v>6025</v>
      </c>
    </row>
    <row r="283">
      <c r="A283" s="87" t="s">
        <v>6026</v>
      </c>
    </row>
    <row r="284">
      <c r="A284" s="87" t="s">
        <v>6027</v>
      </c>
    </row>
    <row r="285">
      <c r="A285" s="87" t="s">
        <v>6028</v>
      </c>
    </row>
    <row r="286">
      <c r="A286" s="87" t="s">
        <v>6030</v>
      </c>
    </row>
    <row r="287">
      <c r="A287" s="87" t="s">
        <v>6033</v>
      </c>
    </row>
    <row r="288">
      <c r="A288" s="87" t="s">
        <v>6035</v>
      </c>
    </row>
    <row r="289">
      <c r="A289" s="87" t="s">
        <v>6036</v>
      </c>
    </row>
    <row r="290">
      <c r="A290" s="87" t="s">
        <v>6037</v>
      </c>
    </row>
    <row r="291">
      <c r="A291" s="87" t="s">
        <v>6038</v>
      </c>
    </row>
    <row r="292">
      <c r="A292" s="87" t="s">
        <v>6040</v>
      </c>
    </row>
    <row r="294">
      <c r="A294" s="87" t="s">
        <v>6042</v>
      </c>
    </row>
    <row r="295">
      <c r="A295" s="87" t="s">
        <v>6043</v>
      </c>
    </row>
    <row r="296">
      <c r="A296" s="87" t="s">
        <v>6044</v>
      </c>
      <c r="B296" s="87" t="s">
        <v>6045</v>
      </c>
      <c r="C296" s="87" t="s">
        <v>6047</v>
      </c>
      <c r="D296" s="136" t="s">
        <v>6049</v>
      </c>
      <c r="F296" s="87" t="s">
        <v>6053</v>
      </c>
    </row>
    <row r="297">
      <c r="A297" s="87" t="s">
        <v>6054</v>
      </c>
    </row>
    <row r="298">
      <c r="A298" s="87" t="s">
        <v>6055</v>
      </c>
    </row>
    <row r="299">
      <c r="A299" s="87" t="s">
        <v>6057</v>
      </c>
      <c r="B299" s="87" t="s">
        <v>6059</v>
      </c>
      <c r="C299" s="87" t="s">
        <v>2702</v>
      </c>
      <c r="D299" s="136" t="s">
        <v>6061</v>
      </c>
      <c r="F299" s="87" t="s">
        <v>6063</v>
      </c>
    </row>
    <row r="300">
      <c r="A300" s="87" t="s">
        <v>6064</v>
      </c>
    </row>
    <row r="301">
      <c r="A301" s="87" t="s">
        <v>6065</v>
      </c>
      <c r="B301" s="87" t="s">
        <v>6066</v>
      </c>
      <c r="C301" s="87" t="s">
        <v>6067</v>
      </c>
      <c r="D301" s="136" t="s">
        <v>6068</v>
      </c>
      <c r="F301" s="87" t="s">
        <v>6072</v>
      </c>
    </row>
    <row r="302">
      <c r="A302" s="87" t="s">
        <v>6073</v>
      </c>
      <c r="B302" s="87" t="s">
        <v>6074</v>
      </c>
      <c r="C302" s="87" t="s">
        <v>6075</v>
      </c>
      <c r="D302" s="136" t="s">
        <v>6076</v>
      </c>
      <c r="F302" s="87" t="s">
        <v>6079</v>
      </c>
    </row>
    <row r="303">
      <c r="A303" s="87" t="s">
        <v>6082</v>
      </c>
      <c r="B303" s="87" t="s">
        <v>6083</v>
      </c>
      <c r="C303" s="87" t="s">
        <v>4909</v>
      </c>
      <c r="D303" s="136" t="s">
        <v>6084</v>
      </c>
      <c r="F303" s="87" t="s">
        <v>6088</v>
      </c>
    </row>
    <row r="304">
      <c r="A304" s="87" t="s">
        <v>6089</v>
      </c>
      <c r="B304" s="87" t="s">
        <v>6090</v>
      </c>
      <c r="C304" s="87" t="s">
        <v>380</v>
      </c>
      <c r="D304" s="136" t="s">
        <v>6091</v>
      </c>
      <c r="F304" s="87" t="s">
        <v>6094</v>
      </c>
    </row>
    <row r="305">
      <c r="A305" s="87" t="s">
        <v>6095</v>
      </c>
      <c r="B305" s="87" t="s">
        <v>6096</v>
      </c>
      <c r="C305" s="87" t="s">
        <v>586</v>
      </c>
      <c r="D305" s="136" t="s">
        <v>6097</v>
      </c>
      <c r="F305" s="87" t="s">
        <v>6100</v>
      </c>
    </row>
    <row r="306">
      <c r="A306" s="87" t="s">
        <v>6101</v>
      </c>
      <c r="B306" s="87" t="s">
        <v>6102</v>
      </c>
      <c r="C306" s="87" t="s">
        <v>586</v>
      </c>
      <c r="D306" s="136" t="s">
        <v>6104</v>
      </c>
      <c r="F306" s="87" t="s">
        <v>6107</v>
      </c>
    </row>
    <row r="307">
      <c r="A307" s="87" t="s">
        <v>6108</v>
      </c>
      <c r="B307" s="87" t="s">
        <v>6109</v>
      </c>
      <c r="C307" s="87" t="s">
        <v>6111</v>
      </c>
      <c r="D307" s="136" t="s">
        <v>6112</v>
      </c>
      <c r="F307" s="87" t="s">
        <v>6115</v>
      </c>
    </row>
    <row r="308">
      <c r="A308" s="87" t="s">
        <v>6117</v>
      </c>
    </row>
    <row r="309">
      <c r="A309" s="87" t="s">
        <v>6119</v>
      </c>
    </row>
    <row r="310">
      <c r="A310" s="87" t="s">
        <v>6120</v>
      </c>
    </row>
    <row r="311">
      <c r="A311" s="87" t="s">
        <v>6121</v>
      </c>
    </row>
    <row r="312">
      <c r="A312" s="87" t="s">
        <v>6122</v>
      </c>
      <c r="B312" s="87" t="s">
        <v>6124</v>
      </c>
      <c r="C312" s="87" t="s">
        <v>586</v>
      </c>
      <c r="D312" s="136" t="s">
        <v>6125</v>
      </c>
      <c r="F312" s="87" t="s">
        <v>6126</v>
      </c>
    </row>
    <row r="313">
      <c r="A313" s="87" t="s">
        <v>6127</v>
      </c>
      <c r="B313" s="87" t="s">
        <v>6128</v>
      </c>
      <c r="C313" s="87" t="s">
        <v>6129</v>
      </c>
      <c r="D313" s="136" t="s">
        <v>6130</v>
      </c>
      <c r="F313" s="87" t="s">
        <v>6133</v>
      </c>
    </row>
    <row r="315">
      <c r="A315" s="87" t="s">
        <v>6136</v>
      </c>
    </row>
    <row r="316">
      <c r="A316" s="87" t="s">
        <v>6137</v>
      </c>
    </row>
    <row r="317">
      <c r="A317" s="87" t="s">
        <v>6140</v>
      </c>
    </row>
    <row r="318">
      <c r="A318" s="87" t="s">
        <v>6141</v>
      </c>
    </row>
    <row r="319">
      <c r="A319" s="87" t="s">
        <v>6142</v>
      </c>
    </row>
    <row r="320">
      <c r="A320" s="87" t="s">
        <v>6143</v>
      </c>
    </row>
    <row r="321">
      <c r="A321" s="87" t="s">
        <v>6144</v>
      </c>
      <c r="B321" s="87" t="s">
        <v>6145</v>
      </c>
      <c r="C321" s="87" t="s">
        <v>237</v>
      </c>
      <c r="D321" s="136" t="s">
        <v>6147</v>
      </c>
      <c r="F321" s="87" t="s">
        <v>6151</v>
      </c>
    </row>
    <row r="324">
      <c r="A324" s="87" t="s">
        <v>6152</v>
      </c>
      <c r="B324" s="87" t="s">
        <v>6153</v>
      </c>
      <c r="C324" s="87" t="s">
        <v>586</v>
      </c>
      <c r="D324" s="136" t="s">
        <v>6154</v>
      </c>
      <c r="F324" s="87" t="s">
        <v>6155</v>
      </c>
    </row>
    <row r="325">
      <c r="A325" s="87" t="s">
        <v>1507</v>
      </c>
      <c r="B325" s="87" t="s">
        <v>6159</v>
      </c>
      <c r="C325" s="87" t="s">
        <v>586</v>
      </c>
      <c r="D325" s="136" t="s">
        <v>6160</v>
      </c>
      <c r="F325" s="87" t="s">
        <v>6164</v>
      </c>
    </row>
    <row r="326">
      <c r="A326" s="87" t="s">
        <v>2557</v>
      </c>
    </row>
    <row r="327">
      <c r="A327" s="87" t="s">
        <v>6165</v>
      </c>
      <c r="B327" s="87" t="s">
        <v>6166</v>
      </c>
      <c r="C327" s="87" t="s">
        <v>586</v>
      </c>
      <c r="D327" s="136" t="s">
        <v>6168</v>
      </c>
      <c r="F327" s="87" t="s">
        <v>6169</v>
      </c>
    </row>
    <row r="328">
      <c r="A328" s="87" t="s">
        <v>6170</v>
      </c>
      <c r="B328" s="87" t="s">
        <v>6171</v>
      </c>
      <c r="C328" s="87" t="s">
        <v>6172</v>
      </c>
      <c r="D328" s="262" t="s">
        <v>6173</v>
      </c>
      <c r="F328" s="87" t="s">
        <v>6178</v>
      </c>
    </row>
    <row r="329">
      <c r="A329" s="87" t="s">
        <v>6179</v>
      </c>
      <c r="B329" s="87" t="s">
        <v>6180</v>
      </c>
      <c r="C329" s="87" t="s">
        <v>586</v>
      </c>
      <c r="D329" s="136" t="s">
        <v>6181</v>
      </c>
      <c r="F329" s="87" t="s">
        <v>6184</v>
      </c>
    </row>
    <row r="330">
      <c r="A330" s="87" t="s">
        <v>6185</v>
      </c>
      <c r="B330" s="87" t="s">
        <v>6186</v>
      </c>
      <c r="C330" s="87" t="s">
        <v>586</v>
      </c>
      <c r="D330" s="136" t="s">
        <v>6187</v>
      </c>
      <c r="F330" s="87" t="s">
        <v>6190</v>
      </c>
    </row>
    <row r="331">
      <c r="A331" s="87" t="s">
        <v>6191</v>
      </c>
      <c r="B331" s="87" t="s">
        <v>6193</v>
      </c>
      <c r="D331" s="136" t="s">
        <v>6195</v>
      </c>
      <c r="F331" s="87" t="s">
        <v>6197</v>
      </c>
    </row>
    <row r="332">
      <c r="A332" s="87" t="s">
        <v>6198</v>
      </c>
      <c r="B332" s="87" t="s">
        <v>6199</v>
      </c>
      <c r="C332" s="87" t="s">
        <v>586</v>
      </c>
      <c r="D332" s="136" t="s">
        <v>6200</v>
      </c>
      <c r="F332" s="87" t="s">
        <v>6202</v>
      </c>
    </row>
    <row r="333">
      <c r="A333" s="87" t="s">
        <v>6203</v>
      </c>
      <c r="B333" s="87" t="s">
        <v>6205</v>
      </c>
      <c r="C333" s="87" t="s">
        <v>6206</v>
      </c>
      <c r="D333" s="136" t="s">
        <v>6208</v>
      </c>
      <c r="F333" s="87" t="s">
        <v>6209</v>
      </c>
    </row>
    <row r="334">
      <c r="A334" s="87" t="s">
        <v>6210</v>
      </c>
      <c r="B334" s="87" t="s">
        <v>6211</v>
      </c>
      <c r="C334" s="87" t="s">
        <v>2702</v>
      </c>
      <c r="D334" s="136" t="s">
        <v>6212</v>
      </c>
      <c r="F334" s="87" t="s">
        <v>6216</v>
      </c>
    </row>
    <row r="335">
      <c r="A335" s="87" t="s">
        <v>3510</v>
      </c>
      <c r="B335" s="87" t="s">
        <v>6217</v>
      </c>
      <c r="C335" s="87" t="s">
        <v>586</v>
      </c>
      <c r="D335" s="136" t="s">
        <v>6218</v>
      </c>
      <c r="F335" s="87" t="s">
        <v>6222</v>
      </c>
    </row>
    <row r="336">
      <c r="A336" s="87" t="s">
        <v>6224</v>
      </c>
      <c r="B336" s="87" t="s">
        <v>6226</v>
      </c>
      <c r="C336" s="379" t="s">
        <v>586</v>
      </c>
      <c r="D336" s="136" t="s">
        <v>6227</v>
      </c>
      <c r="F336" s="87" t="s">
        <v>6228</v>
      </c>
    </row>
    <row r="337">
      <c r="A337" s="87" t="s">
        <v>6229</v>
      </c>
      <c r="B337" s="87" t="s">
        <v>6230</v>
      </c>
      <c r="C337" s="87" t="s">
        <v>586</v>
      </c>
      <c r="D337" s="136" t="s">
        <v>6231</v>
      </c>
      <c r="F337" s="87" t="s">
        <v>6236</v>
      </c>
    </row>
    <row r="338">
      <c r="A338" s="87" t="s">
        <v>6237</v>
      </c>
      <c r="B338" s="87" t="s">
        <v>6238</v>
      </c>
      <c r="C338" s="87" t="s">
        <v>586</v>
      </c>
      <c r="D338" s="136" t="s">
        <v>6239</v>
      </c>
      <c r="F338" s="87" t="s">
        <v>6241</v>
      </c>
    </row>
    <row r="339">
      <c r="A339" s="87" t="s">
        <v>6243</v>
      </c>
      <c r="B339" s="87" t="s">
        <v>6244</v>
      </c>
      <c r="C339" s="87" t="s">
        <v>6245</v>
      </c>
      <c r="D339" s="136" t="s">
        <v>6247</v>
      </c>
      <c r="F339" s="87" t="s">
        <v>6248</v>
      </c>
    </row>
    <row r="340">
      <c r="A340" s="87" t="s">
        <v>6249</v>
      </c>
      <c r="B340" s="87" t="s">
        <v>6251</v>
      </c>
      <c r="C340" s="87" t="s">
        <v>586</v>
      </c>
      <c r="D340" s="136" t="s">
        <v>6255</v>
      </c>
      <c r="F340" s="87" t="s">
        <v>6258</v>
      </c>
    </row>
    <row r="341">
      <c r="A341" s="87" t="s">
        <v>6259</v>
      </c>
      <c r="B341" s="87" t="s">
        <v>6260</v>
      </c>
      <c r="C341" s="379" t="s">
        <v>586</v>
      </c>
      <c r="D341" s="136" t="s">
        <v>6261</v>
      </c>
      <c r="F341" s="87" t="s">
        <v>6267</v>
      </c>
    </row>
    <row r="342">
      <c r="A342" s="87" t="s">
        <v>6269</v>
      </c>
      <c r="B342" s="87" t="s">
        <v>6270</v>
      </c>
      <c r="C342" s="87" t="s">
        <v>586</v>
      </c>
      <c r="D342" s="136" t="s">
        <v>6271</v>
      </c>
      <c r="F342" s="87" t="s">
        <v>6275</v>
      </c>
    </row>
    <row r="343">
      <c r="A343" s="87" t="s">
        <v>6276</v>
      </c>
      <c r="B343" s="87" t="s">
        <v>6277</v>
      </c>
      <c r="C343" s="87" t="s">
        <v>6278</v>
      </c>
      <c r="D343" s="136" t="s">
        <v>6279</v>
      </c>
      <c r="F343" s="87" t="s">
        <v>6281</v>
      </c>
    </row>
    <row r="344">
      <c r="A344" s="87" t="s">
        <v>6282</v>
      </c>
      <c r="B344" s="87" t="s">
        <v>6283</v>
      </c>
      <c r="C344" s="87" t="s">
        <v>6285</v>
      </c>
      <c r="D344" s="136" t="s">
        <v>6286</v>
      </c>
      <c r="F344" s="87" t="s">
        <v>6288</v>
      </c>
    </row>
    <row r="345">
      <c r="B345" s="87" t="s">
        <v>6289</v>
      </c>
      <c r="C345" s="87" t="s">
        <v>6285</v>
      </c>
      <c r="D345" s="136" t="s">
        <v>6292</v>
      </c>
      <c r="F345" s="87" t="s">
        <v>6294</v>
      </c>
    </row>
    <row r="346">
      <c r="A346" s="87" t="s">
        <v>6297</v>
      </c>
      <c r="B346" s="87" t="s">
        <v>6298</v>
      </c>
      <c r="C346" s="87" t="s">
        <v>6299</v>
      </c>
      <c r="D346" s="136" t="s">
        <v>6300</v>
      </c>
      <c r="F346" s="87" t="s">
        <v>6304</v>
      </c>
    </row>
    <row r="347">
      <c r="A347" s="87" t="s">
        <v>6305</v>
      </c>
      <c r="B347" s="87" t="s">
        <v>6306</v>
      </c>
      <c r="C347" s="87" t="s">
        <v>586</v>
      </c>
      <c r="D347" s="136" t="s">
        <v>6308</v>
      </c>
      <c r="F347" s="87" t="s">
        <v>6312</v>
      </c>
    </row>
    <row r="348">
      <c r="A348" s="87" t="s">
        <v>6313</v>
      </c>
      <c r="B348" s="87" t="s">
        <v>6314</v>
      </c>
      <c r="C348" s="87" t="s">
        <v>586</v>
      </c>
      <c r="D348" s="136" t="s">
        <v>6315</v>
      </c>
      <c r="F348" s="87" t="s">
        <v>6320</v>
      </c>
    </row>
    <row r="349">
      <c r="A349" s="87" t="s">
        <v>6322</v>
      </c>
      <c r="B349" s="87" t="s">
        <v>6323</v>
      </c>
      <c r="C349" s="87" t="s">
        <v>6324</v>
      </c>
      <c r="D349" s="136" t="s">
        <v>6325</v>
      </c>
      <c r="F349" s="87" t="s">
        <v>6326</v>
      </c>
    </row>
    <row r="350">
      <c r="B350" s="87" t="s">
        <v>6327</v>
      </c>
      <c r="C350" s="87" t="s">
        <v>6328</v>
      </c>
      <c r="D350" s="136" t="s">
        <v>6329</v>
      </c>
      <c r="F350" s="87" t="s">
        <v>6332</v>
      </c>
    </row>
    <row r="351">
      <c r="A351" s="87" t="s">
        <v>6333</v>
      </c>
      <c r="B351" s="87" t="s">
        <v>6334</v>
      </c>
      <c r="C351" s="87" t="s">
        <v>6075</v>
      </c>
      <c r="D351" s="136" t="s">
        <v>6335</v>
      </c>
      <c r="F351" s="87" t="s">
        <v>6338</v>
      </c>
    </row>
    <row r="352">
      <c r="A352" s="87" t="s">
        <v>6340</v>
      </c>
      <c r="B352" s="87" t="s">
        <v>6341</v>
      </c>
      <c r="C352" s="87" t="s">
        <v>6075</v>
      </c>
      <c r="D352" s="136" t="s">
        <v>6342</v>
      </c>
      <c r="F352" s="87" t="s">
        <v>6344</v>
      </c>
    </row>
    <row r="353">
      <c r="A353" s="87" t="s">
        <v>6345</v>
      </c>
      <c r="B353" s="87" t="s">
        <v>6346</v>
      </c>
      <c r="C353" s="87" t="s">
        <v>6347</v>
      </c>
      <c r="D353" s="136" t="s">
        <v>6348</v>
      </c>
      <c r="F353" s="87" t="s">
        <v>6353</v>
      </c>
    </row>
    <row r="354">
      <c r="A354" s="87" t="s">
        <v>6354</v>
      </c>
      <c r="B354" s="87" t="s">
        <v>6355</v>
      </c>
      <c r="C354" s="87" t="s">
        <v>6356</v>
      </c>
      <c r="D354" s="136" t="s">
        <v>6357</v>
      </c>
      <c r="F354" s="87" t="s">
        <v>6362</v>
      </c>
    </row>
    <row r="355">
      <c r="A355" s="87" t="s">
        <v>6363</v>
      </c>
      <c r="B355" s="87" t="s">
        <v>6365</v>
      </c>
      <c r="C355" s="87" t="s">
        <v>586</v>
      </c>
      <c r="D355" s="136" t="s">
        <v>6366</v>
      </c>
      <c r="F355" s="87" t="s">
        <v>6370</v>
      </c>
    </row>
    <row r="356">
      <c r="A356" s="87" t="s">
        <v>6371</v>
      </c>
      <c r="B356" s="87" t="s">
        <v>6372</v>
      </c>
      <c r="C356" s="87" t="s">
        <v>2802</v>
      </c>
      <c r="D356" s="136" t="s">
        <v>6373</v>
      </c>
      <c r="F356" s="87" t="s">
        <v>6377</v>
      </c>
    </row>
    <row r="357">
      <c r="A357" s="87" t="s">
        <v>6379</v>
      </c>
      <c r="B357" s="87" t="s">
        <v>6381</v>
      </c>
      <c r="C357" s="87" t="s">
        <v>6383</v>
      </c>
      <c r="D357" s="136" t="s">
        <v>6384</v>
      </c>
      <c r="F357" s="87" t="s">
        <v>6386</v>
      </c>
    </row>
    <row r="358">
      <c r="A358" s="87" t="s">
        <v>6388</v>
      </c>
      <c r="B358" s="87" t="s">
        <v>6389</v>
      </c>
      <c r="C358" s="87" t="s">
        <v>586</v>
      </c>
      <c r="D358" s="136" t="s">
        <v>6390</v>
      </c>
      <c r="F358" s="87" t="s">
        <v>6394</v>
      </c>
    </row>
    <row r="359">
      <c r="B359" s="87" t="s">
        <v>6396</v>
      </c>
      <c r="C359" s="87" t="s">
        <v>6397</v>
      </c>
      <c r="D359" s="136" t="s">
        <v>6398</v>
      </c>
      <c r="F359" s="87" t="s">
        <v>6402</v>
      </c>
    </row>
    <row r="360">
      <c r="A360" s="87" t="s">
        <v>6404</v>
      </c>
      <c r="B360" s="87" t="s">
        <v>4481</v>
      </c>
      <c r="C360" s="87" t="s">
        <v>1019</v>
      </c>
      <c r="D360" s="136" t="s">
        <v>6405</v>
      </c>
      <c r="F360" s="87" t="s">
        <v>6408</v>
      </c>
    </row>
    <row r="361">
      <c r="A361" s="87" t="s">
        <v>6411</v>
      </c>
      <c r="B361" s="87" t="s">
        <v>6412</v>
      </c>
      <c r="C361" s="87" t="s">
        <v>6413</v>
      </c>
      <c r="D361" s="136" t="s">
        <v>6414</v>
      </c>
      <c r="F361" s="87" t="s">
        <v>6415</v>
      </c>
    </row>
    <row r="362">
      <c r="B362" s="87" t="s">
        <v>6417</v>
      </c>
      <c r="C362" s="87" t="s">
        <v>6418</v>
      </c>
      <c r="D362" s="136" t="s">
        <v>6420</v>
      </c>
      <c r="F362" s="87" t="s">
        <v>6425</v>
      </c>
    </row>
    <row r="363">
      <c r="A363" s="87" t="s">
        <v>6426</v>
      </c>
      <c r="B363" s="87" t="s">
        <v>6427</v>
      </c>
      <c r="C363" s="87" t="s">
        <v>586</v>
      </c>
      <c r="D363" s="136" t="s">
        <v>6428</v>
      </c>
      <c r="F363" s="87" t="s">
        <v>6430</v>
      </c>
    </row>
    <row r="364">
      <c r="A364" s="87" t="s">
        <v>6432</v>
      </c>
      <c r="B364" s="87" t="s">
        <v>6434</v>
      </c>
      <c r="C364" s="87" t="s">
        <v>4909</v>
      </c>
      <c r="D364" s="136" t="s">
        <v>6435</v>
      </c>
      <c r="F364" s="87" t="s">
        <v>6438</v>
      </c>
    </row>
    <row r="365">
      <c r="A365" s="87" t="s">
        <v>6440</v>
      </c>
      <c r="B365" s="87" t="s">
        <v>6441</v>
      </c>
      <c r="C365" s="87" t="s">
        <v>147</v>
      </c>
      <c r="D365" s="136" t="s">
        <v>6443</v>
      </c>
      <c r="F365" s="87" t="s">
        <v>6447</v>
      </c>
    </row>
    <row r="366">
      <c r="A366" s="87" t="s">
        <v>6448</v>
      </c>
      <c r="B366" s="87" t="s">
        <v>6449</v>
      </c>
      <c r="C366" s="87" t="s">
        <v>586</v>
      </c>
      <c r="D366" s="136" t="s">
        <v>6450</v>
      </c>
      <c r="F366" s="87" t="s">
        <v>6453</v>
      </c>
    </row>
    <row r="367">
      <c r="A367" s="87" t="s">
        <v>6454</v>
      </c>
      <c r="B367" s="87" t="s">
        <v>1799</v>
      </c>
      <c r="C367" s="87" t="s">
        <v>586</v>
      </c>
      <c r="D367" s="136" t="s">
        <v>6455</v>
      </c>
      <c r="F367" s="87" t="s">
        <v>6456</v>
      </c>
    </row>
    <row r="368">
      <c r="A368" s="87" t="s">
        <v>6457</v>
      </c>
      <c r="B368" s="87" t="s">
        <v>6459</v>
      </c>
      <c r="C368" s="87" t="s">
        <v>582</v>
      </c>
      <c r="D368" s="136" t="s">
        <v>6461</v>
      </c>
      <c r="F368" s="87" t="s">
        <v>6465</v>
      </c>
    </row>
    <row r="369">
      <c r="A369" s="87" t="s">
        <v>6466</v>
      </c>
      <c r="B369" s="87" t="s">
        <v>6467</v>
      </c>
      <c r="C369" s="87" t="s">
        <v>6468</v>
      </c>
      <c r="D369" s="136" t="s">
        <v>6469</v>
      </c>
      <c r="F369" s="87" t="s">
        <v>6470</v>
      </c>
    </row>
    <row r="370">
      <c r="A370" s="87" t="s">
        <v>13</v>
      </c>
      <c r="B370" s="87" t="s">
        <v>6472</v>
      </c>
      <c r="C370" s="87" t="s">
        <v>586</v>
      </c>
      <c r="D370" s="136" t="s">
        <v>6474</v>
      </c>
      <c r="F370" s="87" t="s">
        <v>6478</v>
      </c>
    </row>
    <row r="371">
      <c r="A371" s="87" t="s">
        <v>6479</v>
      </c>
      <c r="B371" s="87" t="s">
        <v>6480</v>
      </c>
      <c r="C371" s="87" t="s">
        <v>586</v>
      </c>
      <c r="D371" s="136" t="s">
        <v>6481</v>
      </c>
      <c r="F371" s="87" t="s">
        <v>6487</v>
      </c>
    </row>
    <row r="372">
      <c r="A372" s="87" t="s">
        <v>6488</v>
      </c>
      <c r="B372" s="87" t="s">
        <v>6489</v>
      </c>
      <c r="C372" s="87" t="s">
        <v>6490</v>
      </c>
      <c r="D372" s="136" t="s">
        <v>6491</v>
      </c>
      <c r="F372" s="87" t="s">
        <v>6496</v>
      </c>
    </row>
    <row r="373">
      <c r="B373" s="87" t="s">
        <v>6498</v>
      </c>
      <c r="C373" s="87" t="s">
        <v>6499</v>
      </c>
      <c r="D373" s="136" t="s">
        <v>6500</v>
      </c>
      <c r="F373" s="87" t="s">
        <v>6501</v>
      </c>
    </row>
    <row r="374">
      <c r="A374" s="87" t="s">
        <v>6503</v>
      </c>
      <c r="B374" s="87" t="s">
        <v>6504</v>
      </c>
      <c r="C374" s="87" t="s">
        <v>6505</v>
      </c>
      <c r="D374" s="136" t="s">
        <v>6506</v>
      </c>
      <c r="F374" s="87" t="s">
        <v>6507</v>
      </c>
    </row>
    <row r="375">
      <c r="A375" s="87" t="s">
        <v>221</v>
      </c>
      <c r="B375" s="87" t="s">
        <v>6508</v>
      </c>
      <c r="C375" s="87" t="s">
        <v>586</v>
      </c>
      <c r="D375" s="136" t="s">
        <v>6509</v>
      </c>
      <c r="F375" s="87" t="s">
        <v>6514</v>
      </c>
    </row>
    <row r="376">
      <c r="A376" s="87" t="s">
        <v>6515</v>
      </c>
      <c r="B376" s="87" t="s">
        <v>6516</v>
      </c>
      <c r="C376" s="87" t="s">
        <v>586</v>
      </c>
      <c r="D376" s="136" t="s">
        <v>6518</v>
      </c>
      <c r="F376" s="87" t="s">
        <v>6520</v>
      </c>
    </row>
    <row r="377">
      <c r="A377" s="87" t="s">
        <v>6521</v>
      </c>
      <c r="B377" s="87" t="s">
        <v>6522</v>
      </c>
      <c r="C377" s="87" t="s">
        <v>586</v>
      </c>
      <c r="D377" s="136" t="s">
        <v>6523</v>
      </c>
      <c r="F377" s="87" t="s">
        <v>6527</v>
      </c>
    </row>
    <row r="378">
      <c r="A378" s="87" t="s">
        <v>6528</v>
      </c>
      <c r="B378" s="87" t="s">
        <v>6529</v>
      </c>
      <c r="C378" s="87" t="s">
        <v>4909</v>
      </c>
      <c r="D378" s="136" t="s">
        <v>6530</v>
      </c>
      <c r="F378" s="87" t="s">
        <v>6531</v>
      </c>
    </row>
    <row r="379">
      <c r="A379" s="87" t="s">
        <v>6532</v>
      </c>
      <c r="B379" s="87" t="s">
        <v>6533</v>
      </c>
      <c r="C379" s="87" t="s">
        <v>6075</v>
      </c>
      <c r="D379" s="136" t="s">
        <v>6534</v>
      </c>
      <c r="F379" s="87" t="s">
        <v>6540</v>
      </c>
    </row>
    <row r="380">
      <c r="A380" s="87" t="s">
        <v>6541</v>
      </c>
      <c r="B380" s="87" t="s">
        <v>3950</v>
      </c>
      <c r="C380" s="87" t="s">
        <v>6347</v>
      </c>
      <c r="D380" s="136" t="s">
        <v>6542</v>
      </c>
      <c r="F380" s="87" t="s">
        <v>6543</v>
      </c>
    </row>
    <row r="381">
      <c r="A381" s="374" t="s">
        <v>6545</v>
      </c>
      <c r="B381" s="87" t="s">
        <v>6547</v>
      </c>
      <c r="C381" s="87" t="s">
        <v>4909</v>
      </c>
      <c r="D381" s="136" t="s">
        <v>6550</v>
      </c>
      <c r="F381" s="87" t="s">
        <v>6551</v>
      </c>
    </row>
    <row r="382">
      <c r="A382" s="87" t="s">
        <v>6552</v>
      </c>
      <c r="B382" s="87" t="s">
        <v>6553</v>
      </c>
      <c r="C382" s="87" t="s">
        <v>586</v>
      </c>
      <c r="D382" s="136" t="s">
        <v>6554</v>
      </c>
      <c r="F382" s="87" t="s">
        <v>6557</v>
      </c>
    </row>
    <row r="383">
      <c r="A383" s="87" t="s">
        <v>3164</v>
      </c>
      <c r="B383" s="87" t="s">
        <v>6560</v>
      </c>
      <c r="C383" s="87" t="s">
        <v>6561</v>
      </c>
      <c r="D383" s="136" t="s">
        <v>6562</v>
      </c>
      <c r="F383" s="87" t="s">
        <v>6564</v>
      </c>
    </row>
    <row r="384">
      <c r="A384" s="87" t="s">
        <v>6565</v>
      </c>
      <c r="B384" s="87" t="s">
        <v>6566</v>
      </c>
      <c r="C384" s="87" t="s">
        <v>4909</v>
      </c>
      <c r="D384" s="136" t="s">
        <v>6567</v>
      </c>
      <c r="F384" s="87" t="s">
        <v>6569</v>
      </c>
    </row>
    <row r="385">
      <c r="A385" s="87" t="s">
        <v>6571</v>
      </c>
      <c r="B385" s="87" t="s">
        <v>6572</v>
      </c>
      <c r="C385" s="87" t="s">
        <v>6573</v>
      </c>
      <c r="D385" s="136" t="s">
        <v>6574</v>
      </c>
      <c r="F385" s="87" t="s">
        <v>6575</v>
      </c>
    </row>
    <row r="386">
      <c r="A386" s="87" t="s">
        <v>6576</v>
      </c>
      <c r="B386" s="87" t="s">
        <v>6577</v>
      </c>
      <c r="C386" s="87" t="s">
        <v>4909</v>
      </c>
      <c r="D386" s="136" t="s">
        <v>6578</v>
      </c>
      <c r="F386" s="87" t="s">
        <v>6580</v>
      </c>
    </row>
    <row r="387">
      <c r="A387" s="87" t="s">
        <v>6581</v>
      </c>
      <c r="B387" s="87" t="s">
        <v>6582</v>
      </c>
      <c r="C387" s="87" t="s">
        <v>586</v>
      </c>
      <c r="D387" s="136" t="s">
        <v>6584</v>
      </c>
      <c r="F387" s="87" t="s">
        <v>6588</v>
      </c>
    </row>
    <row r="388">
      <c r="A388" s="87" t="s">
        <v>6589</v>
      </c>
      <c r="B388" s="87" t="s">
        <v>6590</v>
      </c>
      <c r="C388" s="87" t="s">
        <v>6591</v>
      </c>
      <c r="D388" s="136" t="s">
        <v>6592</v>
      </c>
      <c r="F388" s="87" t="s">
        <v>6593</v>
      </c>
    </row>
    <row r="389">
      <c r="A389" s="87" t="s">
        <v>6595</v>
      </c>
      <c r="B389" s="87" t="s">
        <v>6596</v>
      </c>
      <c r="C389" s="87" t="s">
        <v>6597</v>
      </c>
      <c r="D389" s="136" t="s">
        <v>6598</v>
      </c>
      <c r="F389" s="87" t="s">
        <v>6602</v>
      </c>
    </row>
    <row r="390">
      <c r="A390" s="87" t="s">
        <v>6603</v>
      </c>
      <c r="B390" s="87" t="s">
        <v>6604</v>
      </c>
      <c r="C390" s="87" t="s">
        <v>586</v>
      </c>
      <c r="D390" s="136" t="s">
        <v>6605</v>
      </c>
      <c r="F390" s="87" t="s">
        <v>6611</v>
      </c>
    </row>
    <row r="391">
      <c r="A391" s="87" t="s">
        <v>6613</v>
      </c>
      <c r="B391" s="87" t="s">
        <v>6614</v>
      </c>
      <c r="C391" s="87" t="s">
        <v>6075</v>
      </c>
      <c r="D391" s="136" t="s">
        <v>6615</v>
      </c>
      <c r="F391" s="87" t="s">
        <v>6617</v>
      </c>
    </row>
    <row r="392">
      <c r="A392" s="87" t="s">
        <v>5693</v>
      </c>
      <c r="B392" s="87" t="s">
        <v>6620</v>
      </c>
      <c r="C392" s="87" t="s">
        <v>6621</v>
      </c>
      <c r="D392" s="136" t="s">
        <v>6622</v>
      </c>
      <c r="F392" s="87" t="s">
        <v>6623</v>
      </c>
    </row>
    <row r="393">
      <c r="A393" s="87" t="s">
        <v>6625</v>
      </c>
      <c r="B393" s="87" t="s">
        <v>6626</v>
      </c>
      <c r="C393" s="87" t="s">
        <v>6628</v>
      </c>
      <c r="D393" s="136" t="s">
        <v>6629</v>
      </c>
      <c r="F393" s="87" t="s">
        <v>6633</v>
      </c>
    </row>
    <row r="394">
      <c r="A394" s="87" t="s">
        <v>6634</v>
      </c>
      <c r="B394" s="87" t="s">
        <v>6635</v>
      </c>
      <c r="C394" s="87" t="s">
        <v>1296</v>
      </c>
      <c r="D394" s="136" t="s">
        <v>6636</v>
      </c>
      <c r="F394" s="87" t="s">
        <v>6639</v>
      </c>
    </row>
    <row r="395">
      <c r="B395" s="87" t="s">
        <v>6640</v>
      </c>
      <c r="C395" s="87" t="s">
        <v>6641</v>
      </c>
      <c r="D395" s="136" t="s">
        <v>6642</v>
      </c>
      <c r="F395" s="87" t="s">
        <v>6644</v>
      </c>
    </row>
    <row r="396">
      <c r="A396" s="87" t="s">
        <v>6646</v>
      </c>
      <c r="B396" s="87" t="s">
        <v>6647</v>
      </c>
      <c r="C396" s="87" t="s">
        <v>586</v>
      </c>
      <c r="D396" s="136" t="s">
        <v>6649</v>
      </c>
      <c r="F396" s="87" t="s">
        <v>6650</v>
      </c>
    </row>
    <row r="397">
      <c r="A397" s="87" t="s">
        <v>6651</v>
      </c>
      <c r="B397" s="87" t="s">
        <v>6653</v>
      </c>
      <c r="C397" s="87" t="s">
        <v>6654</v>
      </c>
      <c r="D397" s="136" t="s">
        <v>6655</v>
      </c>
      <c r="F397" s="87" t="s">
        <v>6656</v>
      </c>
    </row>
    <row r="398">
      <c r="B398" s="87" t="s">
        <v>6657</v>
      </c>
      <c r="C398" s="87" t="s">
        <v>6658</v>
      </c>
      <c r="D398" s="136" t="s">
        <v>6659</v>
      </c>
      <c r="F398" s="87" t="s">
        <v>6664</v>
      </c>
    </row>
    <row r="399">
      <c r="A399" s="87" t="s">
        <v>6665</v>
      </c>
      <c r="B399" s="87" t="s">
        <v>6666</v>
      </c>
      <c r="C399" s="87" t="s">
        <v>6668</v>
      </c>
      <c r="D399" s="136" t="s">
        <v>6669</v>
      </c>
      <c r="F399" s="87" t="s">
        <v>6672</v>
      </c>
    </row>
    <row r="400">
      <c r="A400" s="87" t="s">
        <v>6673</v>
      </c>
      <c r="B400" s="87" t="s">
        <v>6674</v>
      </c>
      <c r="C400" s="87" t="s">
        <v>6675</v>
      </c>
      <c r="D400" s="136" t="s">
        <v>6677</v>
      </c>
      <c r="F400" s="87" t="s">
        <v>6681</v>
      </c>
    </row>
    <row r="401">
      <c r="B401" s="87" t="s">
        <v>6682</v>
      </c>
      <c r="C401" s="87" t="s">
        <v>6683</v>
      </c>
      <c r="D401" s="136" t="s">
        <v>6684</v>
      </c>
      <c r="F401" s="87" t="s">
        <v>6686</v>
      </c>
    </row>
    <row r="402">
      <c r="A402" s="87" t="s">
        <v>6689</v>
      </c>
      <c r="B402" s="87" t="s">
        <v>6690</v>
      </c>
      <c r="C402" s="87" t="s">
        <v>1019</v>
      </c>
      <c r="D402" s="136" t="s">
        <v>6692</v>
      </c>
      <c r="F402" s="87" t="s">
        <v>6694</v>
      </c>
    </row>
  </sheetData>
  <conditionalFormatting sqref="X45">
    <cfRule type="expression" dxfId="0" priority="1">
      <formula>COUNTIF($B:$B, $X45) &gt; 1</formula>
    </cfRule>
  </conditionalFormatting>
  <conditionalFormatting sqref="G86">
    <cfRule type="expression" dxfId="0" priority="2">
      <formula>COUNTIF($B:$B, $G86) &gt; 1</formula>
    </cfRule>
  </conditionalFormatting>
  <conditionalFormatting sqref="G107">
    <cfRule type="expression" dxfId="0" priority="3">
      <formula>COUNTIF($B:$B, $G107) &gt; 1</formula>
    </cfRule>
  </conditionalFormatting>
  <conditionalFormatting sqref="F384:F386">
    <cfRule type="expression" dxfId="0" priority="4">
      <formula>COUNTIF($B:$B, $F384) &gt; 1</formula>
    </cfRule>
  </conditionalFormatting>
  <conditionalFormatting sqref="E386:E391">
    <cfRule type="expression" dxfId="0" priority="5">
      <formula>COUNTIF($A:$A, $A356) &gt; 1</formula>
    </cfRule>
  </conditionalFormatting>
  <conditionalFormatting sqref="D386:D394">
    <cfRule type="expression" dxfId="0" priority="6">
      <formula>COUNTIF($B:$B, $D386) &gt; 1</formula>
    </cfRule>
  </conditionalFormatting>
  <conditionalFormatting sqref="E365:E367">
    <cfRule type="expression" dxfId="0" priority="7">
      <formula>COUNTIF($B:$B, $E365) &gt; 1</formula>
    </cfRule>
  </conditionalFormatting>
  <conditionalFormatting sqref="C362">
    <cfRule type="expression" dxfId="0" priority="8">
      <formula>COUNTIF($A:$A, $A355) &gt; 1</formula>
    </cfRule>
  </conditionalFormatting>
  <conditionalFormatting sqref="D362">
    <cfRule type="expression" dxfId="0" priority="9">
      <formula>COUNTIF($B:$B, $D362) &gt; 1</formula>
    </cfRule>
  </conditionalFormatting>
  <conditionalFormatting sqref="B1:B44 B46:B85 B87:B106 B108:B242 B250:B355 B371:B897">
    <cfRule type="expression" dxfId="0" priority="10">
      <formula>COUNTIF($B:$B, $B1) &gt; 1</formula>
    </cfRule>
  </conditionalFormatting>
  <conditionalFormatting sqref="A2:A44 W45 A46:A85 F86 A87:A106 F107 A108:A355 A363:A897">
    <cfRule type="expression" dxfId="0" priority="11">
      <formula>COUNTIF($A:$A, $A1) &gt; 1</formula>
    </cfRule>
  </conditionalFormatting>
  <conditionalFormatting sqref="A2">
    <cfRule type="notContainsBlanks" dxfId="0" priority="12">
      <formula>LEN(TRIM(A2))&gt;0</formula>
    </cfRule>
  </conditionalFormatting>
  <hyperlinks>
    <hyperlink r:id="rId1" ref="I107"/>
    <hyperlink r:id="rId2" ref="D108"/>
    <hyperlink r:id="rId3" ref="D109"/>
    <hyperlink r:id="rId4" ref="D110"/>
    <hyperlink r:id="rId5" ref="D111"/>
    <hyperlink r:id="rId6" ref="D112"/>
    <hyperlink r:id="rId7" ref="D114"/>
    <hyperlink r:id="rId8" ref="D115"/>
    <hyperlink r:id="rId9" ref="D116"/>
    <hyperlink r:id="rId10" ref="D117"/>
    <hyperlink r:id="rId11" ref="D118"/>
    <hyperlink r:id="rId12" ref="D119"/>
    <hyperlink r:id="rId13" ref="D120"/>
    <hyperlink r:id="rId14" ref="D121"/>
    <hyperlink r:id="rId15" ref="D124"/>
    <hyperlink r:id="rId16" ref="D125"/>
    <hyperlink r:id="rId17" ref="D126"/>
    <hyperlink r:id="rId18" ref="D127"/>
    <hyperlink r:id="rId19" ref="D128"/>
    <hyperlink r:id="rId20" ref="D130"/>
    <hyperlink r:id="rId21" ref="D133"/>
    <hyperlink r:id="rId22" ref="D134"/>
    <hyperlink r:id="rId23" ref="D135"/>
    <hyperlink r:id="rId24" ref="D136"/>
    <hyperlink r:id="rId25" ref="D137"/>
    <hyperlink r:id="rId26" ref="D138"/>
    <hyperlink r:id="rId27" ref="D139"/>
    <hyperlink r:id="rId28" ref="D140"/>
    <hyperlink r:id="rId29" ref="D141"/>
    <hyperlink r:id="rId30" ref="D143"/>
    <hyperlink r:id="rId31" ref="D145"/>
    <hyperlink r:id="rId32" ref="D147"/>
    <hyperlink r:id="rId33" ref="D148"/>
    <hyperlink r:id="rId34" ref="D151"/>
    <hyperlink r:id="rId35" ref="D152"/>
    <hyperlink r:id="rId36" ref="D154"/>
    <hyperlink r:id="rId37" ref="D156"/>
    <hyperlink r:id="rId38" ref="D157"/>
    <hyperlink r:id="rId39" ref="D158"/>
    <hyperlink r:id="rId40" ref="D159"/>
    <hyperlink r:id="rId41" ref="D160"/>
    <hyperlink r:id="rId42" ref="D161"/>
    <hyperlink r:id="rId43" ref="D162"/>
    <hyperlink r:id="rId44" ref="D163"/>
    <hyperlink r:id="rId45" ref="D165"/>
    <hyperlink r:id="rId46" ref="D166"/>
    <hyperlink r:id="rId47" ref="D169"/>
    <hyperlink r:id="rId48" ref="D170"/>
    <hyperlink r:id="rId49" ref="D171"/>
    <hyperlink r:id="rId50" ref="D172"/>
    <hyperlink r:id="rId51" ref="D173"/>
    <hyperlink r:id="rId52" ref="D174"/>
    <hyperlink r:id="rId53" ref="D175"/>
    <hyperlink r:id="rId54" ref="D176"/>
    <hyperlink r:id="rId55" ref="D177"/>
    <hyperlink r:id="rId56" ref="D178"/>
    <hyperlink r:id="rId57" ref="D179"/>
    <hyperlink r:id="rId58" ref="D180"/>
    <hyperlink r:id="rId59" ref="D181"/>
    <hyperlink r:id="rId60" ref="D185"/>
    <hyperlink r:id="rId61" ref="D186"/>
    <hyperlink r:id="rId62" ref="D187"/>
    <hyperlink r:id="rId63" ref="D188"/>
    <hyperlink r:id="rId64" ref="D190"/>
    <hyperlink r:id="rId65" ref="D191"/>
    <hyperlink r:id="rId66" ref="D192"/>
    <hyperlink r:id="rId67" ref="D193"/>
    <hyperlink r:id="rId68" ref="D194"/>
    <hyperlink r:id="rId69" ref="D195"/>
    <hyperlink r:id="rId70" ref="D196"/>
    <hyperlink r:id="rId71" ref="D197"/>
    <hyperlink r:id="rId72" ref="D198"/>
    <hyperlink r:id="rId73" ref="D199"/>
    <hyperlink r:id="rId74" ref="D200"/>
    <hyperlink r:id="rId75" ref="D201"/>
    <hyperlink r:id="rId76" ref="D202"/>
    <hyperlink r:id="rId77" ref="D203"/>
    <hyperlink r:id="rId78" ref="D204"/>
    <hyperlink r:id="rId79" ref="G204"/>
    <hyperlink r:id="rId80" ref="D206"/>
    <hyperlink r:id="rId81" ref="D207"/>
    <hyperlink r:id="rId82" ref="D208"/>
    <hyperlink r:id="rId83" ref="D209"/>
    <hyperlink r:id="rId84" ref="D210"/>
    <hyperlink r:id="rId85" ref="D211"/>
    <hyperlink r:id="rId86" ref="D212"/>
    <hyperlink r:id="rId87" ref="D213"/>
    <hyperlink r:id="rId88" ref="D214"/>
    <hyperlink r:id="rId89" ref="D215"/>
    <hyperlink r:id="rId90" ref="D217"/>
    <hyperlink r:id="rId91" ref="D218"/>
    <hyperlink r:id="rId92" ref="D219"/>
    <hyperlink r:id="rId93" ref="D220"/>
    <hyperlink r:id="rId94" ref="D221"/>
    <hyperlink r:id="rId95" ref="D222"/>
    <hyperlink r:id="rId96" ref="D223"/>
    <hyperlink r:id="rId97" ref="D224"/>
    <hyperlink r:id="rId98" ref="D225"/>
    <hyperlink r:id="rId99" ref="D226"/>
    <hyperlink r:id="rId100" ref="D227"/>
    <hyperlink r:id="rId101" ref="D228"/>
    <hyperlink r:id="rId102" ref="D229"/>
    <hyperlink r:id="rId103" ref="D230"/>
    <hyperlink r:id="rId104" ref="D231"/>
    <hyperlink r:id="rId105" ref="D232"/>
    <hyperlink r:id="rId106" ref="D233"/>
    <hyperlink r:id="rId107" ref="D234"/>
    <hyperlink r:id="rId108" ref="D235"/>
    <hyperlink r:id="rId109" ref="D236"/>
    <hyperlink r:id="rId110" ref="D237"/>
    <hyperlink r:id="rId111" ref="D238"/>
    <hyperlink r:id="rId112" ref="D239"/>
    <hyperlink r:id="rId113" ref="D240"/>
    <hyperlink r:id="rId114" ref="D241"/>
    <hyperlink r:id="rId115" ref="D242"/>
    <hyperlink r:id="rId116" ref="D243"/>
    <hyperlink r:id="rId117" ref="D244"/>
    <hyperlink r:id="rId118" ref="D246"/>
    <hyperlink r:id="rId119" ref="D248"/>
    <hyperlink r:id="rId120" ref="D249"/>
    <hyperlink r:id="rId121" ref="D250"/>
    <hyperlink r:id="rId122" ref="D251"/>
    <hyperlink r:id="rId123" ref="D252"/>
    <hyperlink r:id="rId124" ref="D253"/>
    <hyperlink r:id="rId125" ref="D254"/>
    <hyperlink r:id="rId126" ref="D260"/>
    <hyperlink r:id="rId127" ref="D296"/>
    <hyperlink r:id="rId128" ref="D299"/>
    <hyperlink r:id="rId129" ref="D301"/>
    <hyperlink r:id="rId130" ref="D302"/>
    <hyperlink r:id="rId131" ref="D303"/>
    <hyperlink r:id="rId132" ref="D304"/>
    <hyperlink r:id="rId133" ref="D305"/>
    <hyperlink r:id="rId134" ref="D306"/>
    <hyperlink r:id="rId135" ref="D307"/>
    <hyperlink r:id="rId136" ref="D312"/>
    <hyperlink r:id="rId137" ref="D313"/>
    <hyperlink r:id="rId138" ref="D321"/>
    <hyperlink r:id="rId139" ref="D324"/>
    <hyperlink r:id="rId140" ref="D325"/>
    <hyperlink r:id="rId141" ref="D327"/>
    <hyperlink r:id="rId142" ref="D328"/>
    <hyperlink r:id="rId143" ref="D329"/>
    <hyperlink r:id="rId144" ref="D330"/>
    <hyperlink r:id="rId145" ref="D331"/>
    <hyperlink r:id="rId146" ref="D332"/>
    <hyperlink r:id="rId147" ref="D333"/>
    <hyperlink r:id="rId148" ref="D334"/>
    <hyperlink r:id="rId149" ref="D335"/>
    <hyperlink r:id="rId150" ref="D336"/>
    <hyperlink r:id="rId151" ref="D337"/>
    <hyperlink r:id="rId152" ref="D338"/>
    <hyperlink r:id="rId153" ref="D339"/>
    <hyperlink r:id="rId154" ref="D340"/>
    <hyperlink r:id="rId155" ref="D341"/>
    <hyperlink r:id="rId156" ref="D342"/>
    <hyperlink r:id="rId157" ref="D343"/>
    <hyperlink r:id="rId158" ref="D344"/>
    <hyperlink r:id="rId159" ref="D345"/>
    <hyperlink r:id="rId160" ref="D346"/>
    <hyperlink r:id="rId161" ref="D347"/>
    <hyperlink r:id="rId162" ref="D348"/>
    <hyperlink r:id="rId163" ref="D349"/>
    <hyperlink r:id="rId164" ref="D350"/>
    <hyperlink r:id="rId165" ref="D351"/>
    <hyperlink r:id="rId166" ref="D352"/>
    <hyperlink r:id="rId167" ref="D353"/>
    <hyperlink r:id="rId168" ref="D354"/>
    <hyperlink r:id="rId169" ref="D355"/>
    <hyperlink r:id="rId170" ref="D356"/>
    <hyperlink r:id="rId171" ref="D357"/>
    <hyperlink r:id="rId172" ref="D358"/>
    <hyperlink r:id="rId173" ref="D359"/>
    <hyperlink r:id="rId174" ref="D360"/>
    <hyperlink r:id="rId175" ref="D361"/>
    <hyperlink r:id="rId176" ref="D362"/>
    <hyperlink r:id="rId177" ref="D363"/>
    <hyperlink r:id="rId178" ref="D364"/>
    <hyperlink r:id="rId179" ref="D365"/>
    <hyperlink r:id="rId180" ref="D366"/>
    <hyperlink r:id="rId181" ref="D367"/>
    <hyperlink r:id="rId182" ref="D368"/>
    <hyperlink r:id="rId183" ref="D369"/>
    <hyperlink r:id="rId184" ref="D370"/>
    <hyperlink r:id="rId185" ref="D371"/>
    <hyperlink r:id="rId186" ref="D372"/>
    <hyperlink r:id="rId187" ref="D373"/>
    <hyperlink r:id="rId188" ref="D374"/>
    <hyperlink r:id="rId189" ref="D375"/>
    <hyperlink r:id="rId190" ref="D376"/>
    <hyperlink r:id="rId191" ref="D377"/>
    <hyperlink r:id="rId192" ref="D378"/>
    <hyperlink r:id="rId193" ref="D379"/>
    <hyperlink r:id="rId194" ref="D380"/>
    <hyperlink r:id="rId195" ref="D381"/>
    <hyperlink r:id="rId196" ref="D382"/>
    <hyperlink r:id="rId197" ref="D383"/>
    <hyperlink r:id="rId198" ref="D384"/>
    <hyperlink r:id="rId199" ref="D385"/>
    <hyperlink r:id="rId200" ref="D386"/>
    <hyperlink r:id="rId201" ref="D387"/>
    <hyperlink r:id="rId202" ref="D388"/>
    <hyperlink r:id="rId203" ref="D389"/>
    <hyperlink r:id="rId204" ref="D390"/>
    <hyperlink r:id="rId205" ref="D391"/>
    <hyperlink r:id="rId206" ref="D392"/>
    <hyperlink r:id="rId207" ref="D393"/>
    <hyperlink r:id="rId208" ref="D394"/>
    <hyperlink r:id="rId209" ref="D395"/>
    <hyperlink r:id="rId210" ref="D396"/>
    <hyperlink r:id="rId211" ref="D397"/>
    <hyperlink r:id="rId212" ref="D398"/>
    <hyperlink r:id="rId213" ref="D399"/>
    <hyperlink r:id="rId214" ref="D400"/>
    <hyperlink r:id="rId215" ref="D401"/>
    <hyperlink r:id="rId216" ref="D402"/>
  </hyperlinks>
  <drawing r:id="rId21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9.5"/>
    <col customWidth="1" min="3" max="3" width="18.5"/>
    <col customWidth="1" min="4" max="4" width="17.38"/>
    <col customWidth="1" min="5" max="5" width="13.63"/>
    <col customWidth="1" min="6" max="6" width="19.25"/>
    <col customWidth="1" min="7" max="7" width="18.25"/>
  </cols>
  <sheetData>
    <row r="1">
      <c r="A1" s="3" t="s">
        <v>4916</v>
      </c>
      <c r="B1" s="3" t="s">
        <v>2</v>
      </c>
      <c r="C1" s="3" t="s">
        <v>4</v>
      </c>
      <c r="D1" s="3" t="s">
        <v>4918</v>
      </c>
      <c r="E1" s="3" t="s">
        <v>6</v>
      </c>
      <c r="F1" s="3" t="s">
        <v>7</v>
      </c>
      <c r="G1" s="3"/>
    </row>
    <row r="2">
      <c r="A2" s="103" t="s">
        <v>470</v>
      </c>
      <c r="B2" s="103" t="s">
        <v>471</v>
      </c>
      <c r="C2" s="103" t="s">
        <v>253</v>
      </c>
      <c r="D2" s="109"/>
      <c r="E2" s="103" t="s">
        <v>4923</v>
      </c>
      <c r="F2" s="103" t="s">
        <v>474</v>
      </c>
      <c r="G2" s="103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</row>
    <row r="3">
      <c r="A3" s="87"/>
      <c r="B3" s="87" t="s">
        <v>4933</v>
      </c>
      <c r="C3" s="87" t="s">
        <v>823</v>
      </c>
      <c r="D3" s="87"/>
      <c r="E3" s="87"/>
      <c r="F3" s="87"/>
      <c r="G3" s="87"/>
    </row>
    <row r="4">
      <c r="A4" s="103" t="s">
        <v>4935</v>
      </c>
      <c r="B4" s="103" t="s">
        <v>4937</v>
      </c>
      <c r="C4" s="103" t="s">
        <v>4938</v>
      </c>
      <c r="D4" s="103"/>
      <c r="E4" s="103">
        <v>9.873552328E9</v>
      </c>
      <c r="F4" s="103" t="s">
        <v>4940</v>
      </c>
      <c r="G4" s="103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</row>
    <row r="5">
      <c r="A5" s="87"/>
      <c r="B5" s="87" t="s">
        <v>4948</v>
      </c>
      <c r="C5" s="87" t="s">
        <v>4950</v>
      </c>
      <c r="D5" s="136" t="s">
        <v>4952</v>
      </c>
      <c r="E5" s="87" t="s">
        <v>4962</v>
      </c>
      <c r="F5" s="87" t="s">
        <v>4963</v>
      </c>
      <c r="G5" s="87"/>
    </row>
    <row r="6">
      <c r="A6" s="103" t="s">
        <v>485</v>
      </c>
      <c r="B6" s="103" t="s">
        <v>487</v>
      </c>
      <c r="C6" s="103" t="s">
        <v>451</v>
      </c>
      <c r="D6" s="103"/>
      <c r="E6" s="103">
        <v>9.37795801E9</v>
      </c>
      <c r="F6" s="103" t="s">
        <v>3045</v>
      </c>
      <c r="G6" s="103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</row>
    <row r="7">
      <c r="A7" s="87"/>
      <c r="B7" s="87" t="s">
        <v>4974</v>
      </c>
      <c r="C7" s="87" t="s">
        <v>4976</v>
      </c>
      <c r="D7" s="136" t="s">
        <v>4978</v>
      </c>
      <c r="E7" s="87"/>
      <c r="F7" s="87" t="s">
        <v>4983</v>
      </c>
      <c r="G7" s="87"/>
    </row>
    <row r="8">
      <c r="A8" s="87" t="s">
        <v>4267</v>
      </c>
      <c r="B8" s="87" t="s">
        <v>357</v>
      </c>
      <c r="C8" s="87" t="s">
        <v>172</v>
      </c>
    </row>
    <row r="9">
      <c r="A9" s="87"/>
      <c r="C9" s="87"/>
    </row>
    <row r="10">
      <c r="A10" s="103" t="s">
        <v>293</v>
      </c>
      <c r="B10" s="103" t="s">
        <v>304</v>
      </c>
      <c r="C10" s="103" t="s">
        <v>172</v>
      </c>
      <c r="D10" s="103"/>
      <c r="E10" s="103" t="s">
        <v>4985</v>
      </c>
      <c r="F10" s="103" t="s">
        <v>4986</v>
      </c>
      <c r="G10" s="103" t="s">
        <v>4987</v>
      </c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</row>
    <row r="11">
      <c r="A11" s="87"/>
      <c r="B11" s="87"/>
      <c r="C11" s="87"/>
      <c r="D11" s="87"/>
      <c r="E11" s="87"/>
      <c r="F11" s="87"/>
      <c r="G11" s="87"/>
    </row>
    <row r="12">
      <c r="A12" s="103" t="s">
        <v>4992</v>
      </c>
      <c r="B12" s="103" t="s">
        <v>4993</v>
      </c>
      <c r="C12" s="103" t="s">
        <v>237</v>
      </c>
      <c r="D12" s="103"/>
      <c r="E12" s="109"/>
      <c r="F12" s="103" t="s">
        <v>4994</v>
      </c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</row>
    <row r="13">
      <c r="A13" s="87"/>
      <c r="B13" s="87"/>
      <c r="C13" s="87"/>
      <c r="D13" s="87"/>
      <c r="F13" s="87"/>
    </row>
    <row r="14">
      <c r="A14" s="103" t="s">
        <v>5002</v>
      </c>
      <c r="B14" s="103" t="s">
        <v>5004</v>
      </c>
      <c r="C14" s="103" t="s">
        <v>172</v>
      </c>
      <c r="D14" s="103"/>
      <c r="E14" s="103">
        <v>7.7700211E9</v>
      </c>
      <c r="F14" s="103" t="s">
        <v>5008</v>
      </c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</row>
    <row r="15">
      <c r="A15" s="87"/>
      <c r="B15" s="87"/>
      <c r="C15" s="87"/>
      <c r="D15" s="87"/>
      <c r="E15" s="87"/>
      <c r="F15" s="87"/>
    </row>
    <row r="16">
      <c r="A16" s="103" t="s">
        <v>5015</v>
      </c>
      <c r="B16" s="103" t="s">
        <v>5016</v>
      </c>
      <c r="C16" s="103" t="s">
        <v>172</v>
      </c>
      <c r="D16" s="103"/>
      <c r="E16" s="103">
        <v>9.560073913E9</v>
      </c>
      <c r="F16" s="103" t="s">
        <v>5017</v>
      </c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</row>
    <row r="17">
      <c r="A17" s="87"/>
      <c r="B17" s="87"/>
      <c r="C17" s="87"/>
      <c r="D17" s="87"/>
      <c r="E17" s="87"/>
      <c r="F17" s="87"/>
    </row>
    <row r="18">
      <c r="A18" s="103" t="s">
        <v>5021</v>
      </c>
      <c r="B18" s="103" t="s">
        <v>5023</v>
      </c>
      <c r="C18" s="103" t="s">
        <v>172</v>
      </c>
      <c r="D18" s="103"/>
      <c r="E18" s="103" t="s">
        <v>5024</v>
      </c>
      <c r="F18" s="103" t="s">
        <v>5025</v>
      </c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</row>
    <row r="19">
      <c r="A19" s="87"/>
      <c r="B19" s="87"/>
      <c r="C19" s="87"/>
      <c r="D19" s="87"/>
      <c r="E19" s="87"/>
      <c r="F19" s="87"/>
    </row>
    <row r="20">
      <c r="A20" s="103" t="s">
        <v>4625</v>
      </c>
      <c r="B20" s="103" t="s">
        <v>5037</v>
      </c>
      <c r="C20" s="103" t="s">
        <v>172</v>
      </c>
      <c r="D20" s="103"/>
      <c r="E20" s="109"/>
      <c r="F20" s="103" t="s">
        <v>5040</v>
      </c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</row>
    <row r="21">
      <c r="A21" s="87"/>
      <c r="B21" s="87"/>
      <c r="C21" s="87"/>
      <c r="D21" s="87"/>
      <c r="F21" s="87"/>
    </row>
    <row r="22">
      <c r="A22" s="103" t="s">
        <v>4471</v>
      </c>
      <c r="B22" s="103" t="s">
        <v>5044</v>
      </c>
      <c r="C22" s="103" t="s">
        <v>4938</v>
      </c>
      <c r="D22" s="103"/>
      <c r="E22" s="109"/>
      <c r="F22" s="103" t="s">
        <v>5045</v>
      </c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</row>
    <row r="23">
      <c r="A23" s="87"/>
      <c r="B23" s="87"/>
      <c r="C23" s="87"/>
      <c r="D23" s="87"/>
      <c r="F23" s="87"/>
    </row>
    <row r="24">
      <c r="A24" s="103" t="s">
        <v>3917</v>
      </c>
      <c r="B24" s="103" t="s">
        <v>3918</v>
      </c>
      <c r="C24" s="103" t="s">
        <v>172</v>
      </c>
      <c r="D24" s="103"/>
      <c r="E24" s="109"/>
      <c r="F24" s="103" t="s">
        <v>5053</v>
      </c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</row>
    <row r="25">
      <c r="A25" s="87"/>
      <c r="B25" s="87"/>
      <c r="C25" s="87"/>
      <c r="D25" s="87"/>
      <c r="F25" s="87"/>
    </row>
    <row r="26">
      <c r="A26" s="103" t="s">
        <v>5058</v>
      </c>
      <c r="B26" s="103" t="s">
        <v>5059</v>
      </c>
      <c r="C26" s="103" t="s">
        <v>172</v>
      </c>
      <c r="D26" s="103"/>
      <c r="E26" s="109"/>
      <c r="F26" s="103" t="s">
        <v>5061</v>
      </c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</row>
    <row r="27">
      <c r="A27" s="87"/>
      <c r="B27" s="87"/>
      <c r="C27" s="87"/>
      <c r="D27" s="87"/>
      <c r="F27" s="87"/>
    </row>
    <row r="28">
      <c r="A28" s="103" t="s">
        <v>3493</v>
      </c>
      <c r="B28" s="103" t="s">
        <v>5071</v>
      </c>
      <c r="C28" s="103" t="s">
        <v>172</v>
      </c>
      <c r="D28" s="103"/>
      <c r="E28" s="103">
        <v>9.987846666E9</v>
      </c>
      <c r="F28" s="103" t="s">
        <v>5073</v>
      </c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</row>
    <row r="29">
      <c r="A29" s="87"/>
      <c r="B29" s="87"/>
      <c r="C29" s="87"/>
      <c r="D29" s="87"/>
      <c r="E29" s="87"/>
      <c r="F29" s="87"/>
    </row>
    <row r="30">
      <c r="A30" s="103" t="s">
        <v>2966</v>
      </c>
      <c r="B30" s="103" t="s">
        <v>2168</v>
      </c>
      <c r="C30" s="103" t="s">
        <v>253</v>
      </c>
      <c r="D30" s="103"/>
      <c r="E30" s="383">
        <v>9.176835167E9</v>
      </c>
      <c r="F30" s="103" t="s">
        <v>5083</v>
      </c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</row>
    <row r="31">
      <c r="A31" s="87"/>
      <c r="B31" s="87"/>
      <c r="C31" s="87"/>
      <c r="D31" s="87"/>
      <c r="E31" s="384"/>
      <c r="F31" s="87"/>
    </row>
    <row r="32">
      <c r="A32" s="103" t="s">
        <v>5097</v>
      </c>
      <c r="B32" s="103" t="s">
        <v>5099</v>
      </c>
      <c r="C32" s="103" t="s">
        <v>172</v>
      </c>
      <c r="D32" s="103"/>
      <c r="E32" s="109"/>
      <c r="F32" s="103" t="s">
        <v>5100</v>
      </c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</row>
    <row r="33">
      <c r="A33" s="87"/>
      <c r="B33" s="87"/>
      <c r="C33" s="87"/>
      <c r="D33" s="87"/>
      <c r="F33" s="87"/>
    </row>
    <row r="34">
      <c r="A34" s="103" t="s">
        <v>3023</v>
      </c>
      <c r="B34" s="103" t="s">
        <v>5104</v>
      </c>
      <c r="C34" s="103" t="s">
        <v>172</v>
      </c>
      <c r="D34" s="103"/>
      <c r="E34" s="109"/>
      <c r="F34" s="103" t="s">
        <v>5105</v>
      </c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</row>
    <row r="35">
      <c r="A35" s="87"/>
      <c r="B35" s="87"/>
      <c r="C35" s="87"/>
      <c r="D35" s="87"/>
      <c r="F35" s="87"/>
    </row>
    <row r="36">
      <c r="A36" s="87" t="s">
        <v>2944</v>
      </c>
      <c r="B36" s="87" t="s">
        <v>3563</v>
      </c>
      <c r="C36" s="87" t="s">
        <v>253</v>
      </c>
    </row>
    <row r="37">
      <c r="A37" s="87"/>
      <c r="B37" s="87"/>
      <c r="C37" s="87"/>
    </row>
    <row r="38">
      <c r="A38" s="103" t="s">
        <v>2140</v>
      </c>
      <c r="B38" s="103" t="s">
        <v>5114</v>
      </c>
      <c r="C38" s="103" t="s">
        <v>172</v>
      </c>
      <c r="D38" s="103"/>
      <c r="E38" s="109"/>
      <c r="F38" s="103" t="s">
        <v>5115</v>
      </c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</row>
    <row r="39">
      <c r="A39" s="87"/>
      <c r="B39" s="87"/>
      <c r="C39" s="87"/>
      <c r="D39" s="87"/>
      <c r="F39" s="87"/>
    </row>
    <row r="40">
      <c r="A40" s="103" t="s">
        <v>3224</v>
      </c>
      <c r="B40" s="103" t="s">
        <v>5120</v>
      </c>
      <c r="C40" s="103" t="s">
        <v>172</v>
      </c>
      <c r="D40" s="103"/>
      <c r="E40" s="109"/>
      <c r="F40" s="103" t="s">
        <v>5122</v>
      </c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</row>
    <row r="41">
      <c r="A41" s="87"/>
      <c r="B41" s="87"/>
      <c r="C41" s="87"/>
      <c r="D41" s="87"/>
      <c r="F41" s="87"/>
    </row>
    <row r="42">
      <c r="A42" s="103" t="s">
        <v>5131</v>
      </c>
      <c r="B42" s="103" t="s">
        <v>2457</v>
      </c>
      <c r="C42" s="103" t="s">
        <v>5132</v>
      </c>
      <c r="D42" s="103"/>
      <c r="E42" s="109"/>
      <c r="F42" s="103" t="s">
        <v>5133</v>
      </c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</row>
    <row r="43">
      <c r="A43" s="87"/>
      <c r="B43" s="87"/>
      <c r="C43" s="87"/>
      <c r="D43" s="87"/>
      <c r="F43" s="87"/>
    </row>
    <row r="44">
      <c r="A44" s="103" t="s">
        <v>5138</v>
      </c>
      <c r="B44" s="103" t="s">
        <v>2774</v>
      </c>
      <c r="C44" s="103" t="s">
        <v>1205</v>
      </c>
      <c r="D44" s="103"/>
      <c r="E44" s="109"/>
      <c r="F44" s="103" t="s">
        <v>5139</v>
      </c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</row>
    <row r="45">
      <c r="A45" s="87"/>
      <c r="B45" s="87"/>
      <c r="C45" s="87"/>
      <c r="D45" s="87"/>
      <c r="F45" s="87"/>
    </row>
    <row r="46">
      <c r="A46" s="87" t="s">
        <v>1080</v>
      </c>
      <c r="B46" s="87" t="s">
        <v>5144</v>
      </c>
      <c r="C46" s="87" t="s">
        <v>172</v>
      </c>
    </row>
    <row r="47">
      <c r="A47" s="87"/>
      <c r="B47" s="87"/>
      <c r="C47" s="87"/>
    </row>
    <row r="48">
      <c r="A48" s="103" t="s">
        <v>5149</v>
      </c>
      <c r="B48" s="103" t="s">
        <v>4775</v>
      </c>
      <c r="C48" s="103" t="s">
        <v>253</v>
      </c>
      <c r="D48" s="103"/>
      <c r="E48" s="109"/>
      <c r="F48" s="103" t="s">
        <v>5154</v>
      </c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</row>
    <row r="49">
      <c r="A49" s="87"/>
      <c r="B49" s="87"/>
      <c r="C49" s="87"/>
      <c r="D49" s="87"/>
      <c r="F49" s="87"/>
    </row>
    <row r="50">
      <c r="A50" s="103" t="s">
        <v>5161</v>
      </c>
      <c r="B50" s="103" t="s">
        <v>5162</v>
      </c>
      <c r="C50" s="103" t="s">
        <v>237</v>
      </c>
      <c r="D50" s="103"/>
      <c r="E50" s="109"/>
      <c r="F50" s="103" t="s">
        <v>5163</v>
      </c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</row>
    <row r="51">
      <c r="A51" s="87"/>
      <c r="B51" s="87"/>
      <c r="C51" s="87"/>
      <c r="D51" s="87"/>
      <c r="F51" s="87"/>
    </row>
    <row r="52">
      <c r="A52" s="103" t="s">
        <v>5175</v>
      </c>
      <c r="B52" s="103" t="s">
        <v>5176</v>
      </c>
      <c r="C52" s="103" t="s">
        <v>253</v>
      </c>
      <c r="D52" s="103"/>
      <c r="E52" s="109"/>
      <c r="F52" s="103" t="s">
        <v>5178</v>
      </c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</row>
    <row r="53">
      <c r="A53" s="87"/>
      <c r="B53" s="87"/>
      <c r="C53" s="87"/>
      <c r="D53" s="87"/>
      <c r="F53" s="87"/>
    </row>
    <row r="54">
      <c r="A54" s="103" t="s">
        <v>1343</v>
      </c>
      <c r="B54" s="103" t="s">
        <v>1344</v>
      </c>
      <c r="C54" s="103" t="s">
        <v>451</v>
      </c>
      <c r="D54" s="103"/>
      <c r="E54" s="109"/>
      <c r="F54" s="103" t="s">
        <v>5189</v>
      </c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</row>
    <row r="55">
      <c r="A55" s="87"/>
      <c r="B55" s="87"/>
      <c r="C55" s="87"/>
      <c r="D55" s="87"/>
      <c r="F55" s="87"/>
    </row>
    <row r="56">
      <c r="A56" s="103" t="s">
        <v>5201</v>
      </c>
      <c r="B56" s="103" t="s">
        <v>5204</v>
      </c>
      <c r="C56" s="103" t="s">
        <v>172</v>
      </c>
      <c r="D56" s="103"/>
      <c r="E56" s="109"/>
      <c r="F56" s="103" t="s">
        <v>5207</v>
      </c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</row>
    <row r="57">
      <c r="A57" s="87"/>
      <c r="B57" s="87"/>
      <c r="C57" s="87"/>
      <c r="D57" s="87"/>
      <c r="F57" s="87"/>
    </row>
    <row r="58">
      <c r="A58" s="103" t="s">
        <v>5217</v>
      </c>
      <c r="B58" s="103" t="s">
        <v>5219</v>
      </c>
      <c r="C58" s="103" t="s">
        <v>5221</v>
      </c>
      <c r="D58" s="103"/>
      <c r="E58" s="109"/>
      <c r="F58" s="103" t="s">
        <v>5224</v>
      </c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</row>
    <row r="59">
      <c r="A59" s="87"/>
      <c r="B59" s="87"/>
      <c r="C59" s="87"/>
      <c r="D59" s="87"/>
      <c r="F59" s="87"/>
    </row>
    <row r="60">
      <c r="A60" s="103" t="s">
        <v>5227</v>
      </c>
      <c r="B60" s="103" t="s">
        <v>5229</v>
      </c>
      <c r="C60" s="103" t="s">
        <v>237</v>
      </c>
      <c r="D60" s="103"/>
      <c r="E60" s="109"/>
      <c r="F60" s="103" t="s">
        <v>5230</v>
      </c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</row>
    <row r="61">
      <c r="A61" s="87"/>
      <c r="B61" s="87"/>
      <c r="C61" s="87"/>
      <c r="D61" s="87"/>
      <c r="F61" s="87"/>
    </row>
    <row r="62">
      <c r="A62" s="103" t="s">
        <v>5234</v>
      </c>
      <c r="B62" s="103" t="s">
        <v>5236</v>
      </c>
      <c r="C62" s="103" t="s">
        <v>451</v>
      </c>
      <c r="D62" s="103"/>
      <c r="E62" s="109"/>
      <c r="F62" s="103" t="s">
        <v>5237</v>
      </c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</row>
    <row r="63">
      <c r="A63" s="87"/>
      <c r="B63" s="87"/>
      <c r="C63" s="87"/>
      <c r="D63" s="87"/>
      <c r="F63" s="87"/>
    </row>
    <row r="64">
      <c r="A64" s="87" t="s">
        <v>5247</v>
      </c>
      <c r="B64" s="87" t="s">
        <v>5248</v>
      </c>
      <c r="C64" s="87" t="s">
        <v>4792</v>
      </c>
    </row>
    <row r="65">
      <c r="A65" s="87"/>
      <c r="B65" s="87"/>
      <c r="C65" s="87"/>
    </row>
    <row r="66">
      <c r="A66" s="87" t="s">
        <v>5026</v>
      </c>
      <c r="B66" s="87" t="s">
        <v>5249</v>
      </c>
      <c r="C66" s="87" t="s">
        <v>172</v>
      </c>
    </row>
    <row r="67">
      <c r="A67" s="87"/>
      <c r="B67" s="87"/>
      <c r="C67" s="87"/>
    </row>
    <row r="68">
      <c r="A68" s="103" t="s">
        <v>5253</v>
      </c>
      <c r="B68" s="103" t="s">
        <v>5255</v>
      </c>
      <c r="C68" s="103" t="s">
        <v>172</v>
      </c>
      <c r="D68" s="103"/>
      <c r="E68" s="109"/>
      <c r="F68" s="103" t="s">
        <v>5256</v>
      </c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</row>
    <row r="69">
      <c r="A69" s="87"/>
      <c r="B69" s="87"/>
      <c r="C69" s="87"/>
      <c r="D69" s="87"/>
      <c r="F69" s="87"/>
    </row>
    <row r="70">
      <c r="A70" s="87"/>
      <c r="B70" s="87"/>
      <c r="C70" s="87"/>
    </row>
    <row r="71">
      <c r="A71" s="103" t="s">
        <v>5261</v>
      </c>
      <c r="B71" s="103" t="s">
        <v>5262</v>
      </c>
      <c r="C71" s="103" t="s">
        <v>1286</v>
      </c>
      <c r="D71" s="103"/>
      <c r="E71" s="109"/>
      <c r="F71" s="103" t="s">
        <v>5265</v>
      </c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</row>
    <row r="72">
      <c r="A72" s="87"/>
      <c r="B72" s="87"/>
      <c r="C72" s="87"/>
      <c r="D72" s="87"/>
      <c r="F72" s="87"/>
    </row>
    <row r="73">
      <c r="A73" s="103" t="s">
        <v>5271</v>
      </c>
      <c r="B73" s="103" t="s">
        <v>5272</v>
      </c>
      <c r="C73" s="103" t="s">
        <v>1417</v>
      </c>
      <c r="D73" s="103"/>
      <c r="E73" s="109"/>
      <c r="F73" s="103" t="s">
        <v>5273</v>
      </c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</row>
    <row r="74">
      <c r="A74" s="87"/>
      <c r="B74" s="87"/>
      <c r="C74" s="87"/>
      <c r="D74" s="87"/>
      <c r="F74" s="87"/>
    </row>
    <row r="75">
      <c r="A75" s="103" t="s">
        <v>5281</v>
      </c>
      <c r="B75" s="103" t="s">
        <v>5283</v>
      </c>
      <c r="C75" s="103" t="s">
        <v>5221</v>
      </c>
      <c r="D75" s="103"/>
      <c r="E75" s="109"/>
      <c r="F75" s="103" t="s">
        <v>5285</v>
      </c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</row>
    <row r="76">
      <c r="A76" s="103" t="s">
        <v>3238</v>
      </c>
      <c r="B76" s="103" t="s">
        <v>5292</v>
      </c>
      <c r="C76" s="103" t="s">
        <v>5293</v>
      </c>
      <c r="D76" s="103"/>
      <c r="E76" s="109"/>
      <c r="F76" s="103" t="s">
        <v>5295</v>
      </c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</row>
    <row r="77">
      <c r="A77" s="87" t="s">
        <v>5303</v>
      </c>
      <c r="B77" s="87" t="s">
        <v>5304</v>
      </c>
      <c r="C77" s="87" t="s">
        <v>172</v>
      </c>
    </row>
    <row r="78">
      <c r="A78" s="87" t="s">
        <v>5306</v>
      </c>
      <c r="B78" s="87" t="s">
        <v>5309</v>
      </c>
      <c r="C78" s="87" t="s">
        <v>237</v>
      </c>
    </row>
    <row r="79">
      <c r="A79" s="103" t="s">
        <v>5312</v>
      </c>
      <c r="B79" s="103" t="s">
        <v>5313</v>
      </c>
      <c r="C79" s="103" t="s">
        <v>253</v>
      </c>
      <c r="D79" s="103"/>
      <c r="E79" s="109"/>
      <c r="F79" s="103" t="s">
        <v>5315</v>
      </c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</row>
    <row r="80">
      <c r="A80" s="103" t="s">
        <v>5325</v>
      </c>
      <c r="B80" s="103" t="s">
        <v>5326</v>
      </c>
      <c r="C80" s="103" t="s">
        <v>451</v>
      </c>
      <c r="D80" s="103"/>
      <c r="E80" s="109"/>
      <c r="F80" s="103" t="s">
        <v>5327</v>
      </c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</row>
    <row r="81">
      <c r="A81" s="103" t="s">
        <v>5335</v>
      </c>
      <c r="B81" s="103" t="s">
        <v>5336</v>
      </c>
      <c r="C81" s="103" t="s">
        <v>253</v>
      </c>
      <c r="D81" s="103"/>
      <c r="E81" s="109"/>
      <c r="F81" s="103" t="s">
        <v>5339</v>
      </c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</row>
    <row r="82">
      <c r="A82" s="103" t="s">
        <v>5345</v>
      </c>
      <c r="B82" s="103" t="s">
        <v>5346</v>
      </c>
      <c r="C82" s="103" t="s">
        <v>253</v>
      </c>
      <c r="D82" s="103"/>
      <c r="E82" s="109"/>
      <c r="F82" s="103" t="s">
        <v>5350</v>
      </c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</row>
    <row r="83">
      <c r="A83" s="103" t="s">
        <v>5358</v>
      </c>
      <c r="B83" s="103" t="s">
        <v>5360</v>
      </c>
      <c r="C83" s="103" t="s">
        <v>5362</v>
      </c>
      <c r="D83" s="103"/>
      <c r="E83" s="109"/>
      <c r="F83" s="103" t="s">
        <v>5363</v>
      </c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</row>
    <row r="84">
      <c r="A84" s="87" t="s">
        <v>5372</v>
      </c>
      <c r="B84" s="87" t="s">
        <v>5373</v>
      </c>
      <c r="C84" s="87" t="s">
        <v>172</v>
      </c>
    </row>
    <row r="85">
      <c r="A85" s="103" t="s">
        <v>5374</v>
      </c>
      <c r="B85" s="103" t="s">
        <v>5376</v>
      </c>
      <c r="C85" s="103" t="s">
        <v>253</v>
      </c>
      <c r="D85" s="103"/>
      <c r="E85" s="109"/>
      <c r="F85" s="103" t="s">
        <v>5381</v>
      </c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</row>
    <row r="86">
      <c r="A86" s="103" t="s">
        <v>5388</v>
      </c>
      <c r="B86" s="103" t="s">
        <v>5391</v>
      </c>
      <c r="C86" s="103" t="s">
        <v>5293</v>
      </c>
      <c r="D86" s="103"/>
      <c r="E86" s="109"/>
      <c r="F86" s="103" t="s">
        <v>5393</v>
      </c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</row>
    <row r="87">
      <c r="A87" s="103" t="s">
        <v>5399</v>
      </c>
      <c r="B87" s="103" t="s">
        <v>5400</v>
      </c>
      <c r="C87" s="103" t="s">
        <v>253</v>
      </c>
      <c r="D87" s="103"/>
      <c r="E87" s="109"/>
      <c r="F87" s="103" t="s">
        <v>5403</v>
      </c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</row>
    <row r="88">
      <c r="A88" s="87" t="s">
        <v>5410</v>
      </c>
      <c r="B88" s="87" t="s">
        <v>5411</v>
      </c>
      <c r="C88" s="87" t="s">
        <v>5414</v>
      </c>
      <c r="G88" s="87">
        <v>9.920146298E9</v>
      </c>
    </row>
    <row r="89">
      <c r="A89" s="103" t="s">
        <v>5417</v>
      </c>
      <c r="B89" s="103" t="s">
        <v>5418</v>
      </c>
      <c r="C89" s="103" t="s">
        <v>451</v>
      </c>
      <c r="D89" s="103"/>
      <c r="E89" s="109"/>
      <c r="F89" s="103" t="s">
        <v>5419</v>
      </c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</row>
    <row r="90">
      <c r="A90" s="103" t="s">
        <v>5425</v>
      </c>
      <c r="B90" s="103" t="s">
        <v>5427</v>
      </c>
      <c r="C90" s="103" t="s">
        <v>253</v>
      </c>
      <c r="D90" s="103"/>
      <c r="E90" s="109"/>
      <c r="F90" s="103" t="s">
        <v>5431</v>
      </c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</row>
    <row r="91">
      <c r="A91" s="103"/>
      <c r="B91" s="103"/>
      <c r="C91" s="103"/>
      <c r="D91" s="103"/>
      <c r="E91" s="109"/>
      <c r="F91" s="103"/>
      <c r="G91" s="109"/>
      <c r="J91" s="109"/>
      <c r="K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</row>
    <row r="92">
      <c r="A92" s="103" t="s">
        <v>5445</v>
      </c>
      <c r="B92" s="103" t="s">
        <v>3077</v>
      </c>
      <c r="C92" s="103" t="s">
        <v>253</v>
      </c>
      <c r="D92" s="103"/>
      <c r="E92" s="109"/>
      <c r="F92" s="103" t="s">
        <v>3080</v>
      </c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</row>
    <row r="93">
      <c r="A93" s="103" t="s">
        <v>5445</v>
      </c>
      <c r="B93" s="87" t="s">
        <v>4874</v>
      </c>
      <c r="C93" s="87" t="s">
        <v>172</v>
      </c>
    </row>
    <row r="94">
      <c r="A94" s="103" t="s">
        <v>5034</v>
      </c>
      <c r="B94" s="103" t="s">
        <v>5456</v>
      </c>
      <c r="C94" s="103" t="s">
        <v>451</v>
      </c>
      <c r="D94" s="103"/>
      <c r="E94" s="109"/>
      <c r="F94" s="103" t="s">
        <v>5458</v>
      </c>
      <c r="G94" s="103" t="s">
        <v>5459</v>
      </c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</row>
    <row r="95">
      <c r="A95" s="87" t="s">
        <v>5034</v>
      </c>
      <c r="B95" s="87" t="s">
        <v>2323</v>
      </c>
      <c r="C95" s="87" t="s">
        <v>172</v>
      </c>
      <c r="G95" s="87">
        <v>9.820093543E9</v>
      </c>
    </row>
    <row r="96">
      <c r="A96" s="103" t="s">
        <v>3560</v>
      </c>
      <c r="B96" s="103" t="s">
        <v>3561</v>
      </c>
      <c r="C96" s="103" t="s">
        <v>253</v>
      </c>
      <c r="D96" s="103"/>
      <c r="E96" s="109"/>
      <c r="F96" s="103" t="s">
        <v>5472</v>
      </c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</row>
    <row r="97">
      <c r="A97" s="103" t="s">
        <v>3560</v>
      </c>
      <c r="B97" s="103" t="s">
        <v>5480</v>
      </c>
      <c r="C97" s="103" t="s">
        <v>172</v>
      </c>
      <c r="D97" s="103"/>
      <c r="E97" s="109"/>
      <c r="F97" s="103" t="s">
        <v>5482</v>
      </c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</row>
    <row r="98">
      <c r="A98" s="103" t="s">
        <v>4856</v>
      </c>
      <c r="B98" s="103" t="s">
        <v>649</v>
      </c>
      <c r="C98" s="103" t="s">
        <v>451</v>
      </c>
      <c r="D98" s="103"/>
      <c r="E98" s="109"/>
      <c r="F98" s="103" t="s">
        <v>5493</v>
      </c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</row>
    <row r="99">
      <c r="A99" s="103" t="s">
        <v>4856</v>
      </c>
      <c r="B99" s="103" t="s">
        <v>3270</v>
      </c>
      <c r="C99" s="103" t="s">
        <v>172</v>
      </c>
      <c r="D99" s="103"/>
      <c r="E99" s="109"/>
      <c r="F99" s="103" t="s">
        <v>4858</v>
      </c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</row>
    <row r="100">
      <c r="A100" s="16" t="s">
        <v>5507</v>
      </c>
      <c r="B100" s="16" t="s">
        <v>4081</v>
      </c>
      <c r="C100" s="16" t="s">
        <v>237</v>
      </c>
      <c r="D100" s="16"/>
      <c r="E100" s="26"/>
      <c r="F100" s="16" t="s">
        <v>4084</v>
      </c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>
      <c r="A101" s="103" t="s">
        <v>5507</v>
      </c>
      <c r="B101" s="103" t="s">
        <v>5515</v>
      </c>
      <c r="C101" s="103" t="s">
        <v>172</v>
      </c>
      <c r="D101" s="103"/>
      <c r="E101" s="109"/>
      <c r="F101" s="103" t="s">
        <v>5518</v>
      </c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</row>
    <row r="102">
      <c r="A102" s="103" t="s">
        <v>5524</v>
      </c>
      <c r="B102" s="103" t="s">
        <v>5526</v>
      </c>
      <c r="C102" s="103" t="s">
        <v>253</v>
      </c>
      <c r="D102" s="103"/>
      <c r="E102" s="109"/>
      <c r="F102" s="103" t="s">
        <v>5530</v>
      </c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</row>
    <row r="103">
      <c r="A103" s="103" t="s">
        <v>3644</v>
      </c>
      <c r="B103" s="103" t="s">
        <v>5536</v>
      </c>
      <c r="C103" s="103" t="s">
        <v>147</v>
      </c>
      <c r="D103" s="103"/>
      <c r="E103" s="109"/>
      <c r="F103" s="103" t="s">
        <v>5538</v>
      </c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</row>
    <row r="104">
      <c r="A104" s="103" t="s">
        <v>5058</v>
      </c>
      <c r="B104" s="103" t="s">
        <v>1952</v>
      </c>
      <c r="C104" s="103" t="s">
        <v>451</v>
      </c>
      <c r="D104" s="103"/>
      <c r="E104" s="109"/>
      <c r="F104" s="103" t="s">
        <v>5548</v>
      </c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</row>
    <row r="105">
      <c r="A105" s="87" t="s">
        <v>5566</v>
      </c>
      <c r="B105" s="87" t="s">
        <v>5567</v>
      </c>
      <c r="C105" s="87" t="s">
        <v>147</v>
      </c>
    </row>
    <row r="106">
      <c r="A106" s="103" t="s">
        <v>5568</v>
      </c>
      <c r="B106" s="103" t="s">
        <v>3645</v>
      </c>
      <c r="C106" s="103" t="s">
        <v>1296</v>
      </c>
      <c r="D106" s="103"/>
      <c r="E106" s="109"/>
      <c r="F106" s="103" t="s">
        <v>5570</v>
      </c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</row>
    <row r="107">
      <c r="A107" s="103" t="s">
        <v>5585</v>
      </c>
      <c r="B107" s="103" t="s">
        <v>5586</v>
      </c>
      <c r="C107" s="103" t="s">
        <v>147</v>
      </c>
      <c r="D107" s="103"/>
      <c r="E107" s="109"/>
      <c r="F107" s="103" t="s">
        <v>5589</v>
      </c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</row>
    <row r="108">
      <c r="A108" s="87" t="s">
        <v>5593</v>
      </c>
      <c r="B108" s="87" t="s">
        <v>5594</v>
      </c>
      <c r="C108" s="87" t="s">
        <v>237</v>
      </c>
      <c r="G108" s="87" t="s">
        <v>5596</v>
      </c>
    </row>
    <row r="109">
      <c r="A109" s="103" t="s">
        <v>5597</v>
      </c>
      <c r="B109" s="103" t="s">
        <v>5599</v>
      </c>
      <c r="C109" s="103" t="s">
        <v>147</v>
      </c>
      <c r="D109" s="274" t="s">
        <v>5602</v>
      </c>
      <c r="E109" s="109"/>
      <c r="F109" s="103" t="s">
        <v>5607</v>
      </c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</row>
    <row r="110">
      <c r="A110" s="87" t="s">
        <v>5609</v>
      </c>
      <c r="B110" s="87" t="s">
        <v>5611</v>
      </c>
      <c r="C110" s="87" t="s">
        <v>253</v>
      </c>
    </row>
    <row r="111">
      <c r="A111" s="103" t="s">
        <v>5612</v>
      </c>
      <c r="B111" s="404" t="s">
        <v>5613</v>
      </c>
      <c r="C111" s="103" t="s">
        <v>253</v>
      </c>
      <c r="D111" s="274" t="s">
        <v>5617</v>
      </c>
      <c r="E111" s="109"/>
      <c r="F111" s="103" t="s">
        <v>5622</v>
      </c>
      <c r="G111" s="103" t="s">
        <v>5623</v>
      </c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</row>
    <row r="112">
      <c r="A112" s="87" t="s">
        <v>5625</v>
      </c>
      <c r="B112" s="87" t="s">
        <v>5626</v>
      </c>
      <c r="C112" s="87" t="s">
        <v>5627</v>
      </c>
    </row>
    <row r="113">
      <c r="A113" s="87" t="s">
        <v>5629</v>
      </c>
      <c r="B113" s="87" t="s">
        <v>5631</v>
      </c>
      <c r="C113" s="87" t="s">
        <v>5627</v>
      </c>
    </row>
    <row r="114">
      <c r="A114" s="87" t="s">
        <v>5634</v>
      </c>
      <c r="B114" s="87" t="s">
        <v>5635</v>
      </c>
      <c r="C114" s="87" t="s">
        <v>5627</v>
      </c>
    </row>
    <row r="115">
      <c r="A115" s="87" t="s">
        <v>5636</v>
      </c>
      <c r="B115" s="87" t="s">
        <v>5637</v>
      </c>
      <c r="C115" s="87" t="s">
        <v>1286</v>
      </c>
    </row>
    <row r="116">
      <c r="A116" s="87" t="s">
        <v>5641</v>
      </c>
      <c r="B116" s="87" t="s">
        <v>5642</v>
      </c>
      <c r="C116" s="87" t="s">
        <v>5643</v>
      </c>
    </row>
    <row r="117">
      <c r="A117" s="103" t="s">
        <v>5644</v>
      </c>
      <c r="B117" s="103" t="s">
        <v>2268</v>
      </c>
      <c r="C117" s="103" t="s">
        <v>3218</v>
      </c>
      <c r="D117" s="274" t="s">
        <v>5646</v>
      </c>
      <c r="E117" s="109"/>
      <c r="F117" s="103" t="s">
        <v>5653</v>
      </c>
      <c r="G117" s="103" t="s">
        <v>5655</v>
      </c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</row>
    <row r="118">
      <c r="A118" s="103" t="s">
        <v>548</v>
      </c>
      <c r="B118" s="103" t="s">
        <v>2837</v>
      </c>
      <c r="C118" s="103" t="s">
        <v>237</v>
      </c>
      <c r="D118" s="274" t="s">
        <v>5664</v>
      </c>
      <c r="E118" s="109"/>
      <c r="F118" s="103" t="s">
        <v>5667</v>
      </c>
      <c r="G118" s="103" t="s">
        <v>5670</v>
      </c>
      <c r="H118" s="103" t="s">
        <v>551</v>
      </c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</row>
    <row r="119">
      <c r="A119" s="87" t="s">
        <v>110</v>
      </c>
      <c r="B119" s="87" t="s">
        <v>1081</v>
      </c>
      <c r="C119" s="87" t="s">
        <v>237</v>
      </c>
    </row>
    <row r="120">
      <c r="A120" s="103" t="s">
        <v>5682</v>
      </c>
      <c r="B120" s="103" t="s">
        <v>5683</v>
      </c>
      <c r="C120" s="103" t="s">
        <v>5684</v>
      </c>
      <c r="D120" s="274" t="s">
        <v>5685</v>
      </c>
      <c r="E120" s="109"/>
      <c r="F120" s="103" t="s">
        <v>5692</v>
      </c>
      <c r="G120" s="103" t="s">
        <v>5694</v>
      </c>
      <c r="H120" s="103" t="s">
        <v>5695</v>
      </c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</row>
    <row r="121">
      <c r="A121" s="87" t="s">
        <v>3221</v>
      </c>
      <c r="B121" s="87" t="s">
        <v>3232</v>
      </c>
      <c r="C121" s="87" t="s">
        <v>5701</v>
      </c>
    </row>
    <row r="122">
      <c r="A122" s="87" t="s">
        <v>560</v>
      </c>
      <c r="B122" s="87" t="s">
        <v>561</v>
      </c>
      <c r="C122" s="87" t="s">
        <v>237</v>
      </c>
    </row>
    <row r="123">
      <c r="A123" s="103" t="s">
        <v>5706</v>
      </c>
      <c r="B123" s="103" t="s">
        <v>5707</v>
      </c>
      <c r="C123" s="103" t="s">
        <v>5708</v>
      </c>
      <c r="D123" s="274" t="s">
        <v>5709</v>
      </c>
      <c r="E123" s="109"/>
      <c r="F123" s="103" t="s">
        <v>5718</v>
      </c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</row>
    <row r="124">
      <c r="A124" s="87" t="s">
        <v>5723</v>
      </c>
      <c r="B124" s="87" t="s">
        <v>5724</v>
      </c>
      <c r="C124" s="87" t="s">
        <v>5708</v>
      </c>
    </row>
    <row r="125">
      <c r="A125" s="87" t="s">
        <v>5726</v>
      </c>
      <c r="B125" s="87" t="s">
        <v>5728</v>
      </c>
      <c r="C125" s="87" t="s">
        <v>5730</v>
      </c>
    </row>
    <row r="126">
      <c r="A126" s="103" t="s">
        <v>5733</v>
      </c>
      <c r="B126" s="408" t="s">
        <v>5734</v>
      </c>
      <c r="C126" s="103" t="s">
        <v>2239</v>
      </c>
      <c r="D126" s="274" t="s">
        <v>5737</v>
      </c>
      <c r="E126" s="409" t="s">
        <v>5747</v>
      </c>
      <c r="F126" s="409" t="s">
        <v>5748</v>
      </c>
      <c r="G126" s="409" t="s">
        <v>5750</v>
      </c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</row>
    <row r="127">
      <c r="A127" s="410" t="s">
        <v>5756</v>
      </c>
      <c r="B127" s="274" t="s">
        <v>5759</v>
      </c>
      <c r="C127" s="410" t="s">
        <v>237</v>
      </c>
      <c r="D127" s="274" t="s">
        <v>5769</v>
      </c>
      <c r="E127" s="414">
        <f>+919502099892</f>
        <v>919502099892</v>
      </c>
      <c r="F127" s="409" t="s">
        <v>5785</v>
      </c>
      <c r="G127" s="409" t="s">
        <v>5786</v>
      </c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</row>
    <row r="128">
      <c r="A128" s="103" t="s">
        <v>5795</v>
      </c>
      <c r="B128" s="408" t="s">
        <v>5797</v>
      </c>
      <c r="C128" s="103" t="s">
        <v>5799</v>
      </c>
      <c r="D128" s="274" t="s">
        <v>5802</v>
      </c>
      <c r="E128" s="414">
        <f>+919975412343</f>
        <v>919975412343</v>
      </c>
      <c r="F128" s="409" t="s">
        <v>5809</v>
      </c>
      <c r="G128" s="409" t="s">
        <v>5810</v>
      </c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</row>
    <row r="129">
      <c r="A129" s="410" t="s">
        <v>5819</v>
      </c>
      <c r="B129" s="416" t="s">
        <v>5821</v>
      </c>
      <c r="C129" s="417" t="s">
        <v>5823</v>
      </c>
      <c r="D129" s="274" t="s">
        <v>5825</v>
      </c>
      <c r="E129" s="109">
        <f>19145225809</f>
        <v>19145225809</v>
      </c>
      <c r="F129" s="103" t="s">
        <v>5839</v>
      </c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</row>
    <row r="130">
      <c r="A130" s="419" t="s">
        <v>5852</v>
      </c>
      <c r="B130" s="408" t="s">
        <v>5858</v>
      </c>
      <c r="C130" s="419" t="s">
        <v>2385</v>
      </c>
      <c r="D130" s="274" t="s">
        <v>5860</v>
      </c>
      <c r="E130" s="414">
        <f>+919820457472</f>
        <v>919820457472</v>
      </c>
      <c r="F130" s="409" t="s">
        <v>5867</v>
      </c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</row>
    <row r="131">
      <c r="A131" s="282" t="s">
        <v>5875</v>
      </c>
      <c r="B131" s="339" t="s">
        <v>5876</v>
      </c>
      <c r="C131" s="282" t="s">
        <v>5879</v>
      </c>
      <c r="D131" s="274" t="s">
        <v>5881</v>
      </c>
      <c r="E131" s="109"/>
      <c r="F131" s="103" t="s">
        <v>5893</v>
      </c>
      <c r="G131" s="103" t="s">
        <v>5895</v>
      </c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</row>
    <row r="132">
      <c r="A132" s="410" t="s">
        <v>5899</v>
      </c>
      <c r="B132" s="416" t="s">
        <v>5901</v>
      </c>
      <c r="C132" s="417" t="s">
        <v>5823</v>
      </c>
      <c r="D132" s="274" t="s">
        <v>5903</v>
      </c>
      <c r="E132" s="109">
        <f>18567289300</f>
        <v>18567289300</v>
      </c>
      <c r="F132" s="103" t="s">
        <v>5913</v>
      </c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</row>
    <row r="133">
      <c r="A133" s="410" t="s">
        <v>5919</v>
      </c>
      <c r="B133" s="416" t="s">
        <v>5920</v>
      </c>
      <c r="C133" s="417" t="s">
        <v>5921</v>
      </c>
      <c r="D133" s="274" t="s">
        <v>5922</v>
      </c>
      <c r="E133" s="109">
        <f>919845116003</f>
        <v>919845116003</v>
      </c>
      <c r="F133" s="103" t="s">
        <v>5929</v>
      </c>
      <c r="G133" s="103" t="s">
        <v>5930</v>
      </c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</row>
    <row r="134">
      <c r="A134" s="103" t="s">
        <v>5935</v>
      </c>
      <c r="B134" s="416" t="s">
        <v>5937</v>
      </c>
      <c r="C134" s="423" t="s">
        <v>1296</v>
      </c>
      <c r="D134" s="274" t="s">
        <v>5939</v>
      </c>
      <c r="E134" s="109">
        <f>919880118379</f>
        <v>919880118379</v>
      </c>
      <c r="F134" s="103" t="s">
        <v>5948</v>
      </c>
      <c r="G134" s="103" t="s">
        <v>5950</v>
      </c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</row>
    <row r="135">
      <c r="A135" s="410" t="s">
        <v>5956</v>
      </c>
      <c r="B135" s="416" t="s">
        <v>5958</v>
      </c>
      <c r="C135" s="423" t="s">
        <v>93</v>
      </c>
      <c r="D135" s="274" t="s">
        <v>5963</v>
      </c>
      <c r="E135" s="109"/>
      <c r="F135" s="103" t="s">
        <v>5970</v>
      </c>
      <c r="G135" s="103" t="s">
        <v>5971</v>
      </c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</row>
    <row r="136">
      <c r="A136" s="410" t="s">
        <v>241</v>
      </c>
      <c r="B136" s="416" t="s">
        <v>242</v>
      </c>
      <c r="C136" s="423" t="s">
        <v>245</v>
      </c>
      <c r="D136" s="274" t="s">
        <v>246</v>
      </c>
      <c r="E136" s="109"/>
      <c r="F136" s="103" t="s">
        <v>252</v>
      </c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</row>
    <row r="137">
      <c r="A137" s="103" t="s">
        <v>5995</v>
      </c>
      <c r="B137" s="339" t="s">
        <v>5996</v>
      </c>
      <c r="C137" s="103" t="s">
        <v>5997</v>
      </c>
      <c r="D137" s="274" t="s">
        <v>5998</v>
      </c>
      <c r="E137" s="109"/>
      <c r="F137" s="103" t="s">
        <v>6007</v>
      </c>
      <c r="G137" s="103" t="s">
        <v>6008</v>
      </c>
      <c r="H137" s="103" t="s">
        <v>6010</v>
      </c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</row>
    <row r="138">
      <c r="A138" s="431" t="s">
        <v>6017</v>
      </c>
      <c r="B138" s="274" t="s">
        <v>6023</v>
      </c>
      <c r="C138" s="410" t="s">
        <v>237</v>
      </c>
      <c r="D138" s="274" t="s">
        <v>6031</v>
      </c>
      <c r="E138" s="109"/>
      <c r="F138" s="103" t="s">
        <v>6039</v>
      </c>
      <c r="G138" s="103" t="s">
        <v>6041</v>
      </c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</row>
    <row r="139">
      <c r="A139" s="423" t="s">
        <v>6050</v>
      </c>
      <c r="B139" s="416" t="s">
        <v>6051</v>
      </c>
      <c r="C139" s="423" t="s">
        <v>1213</v>
      </c>
      <c r="D139" s="274" t="s">
        <v>6052</v>
      </c>
      <c r="E139" s="109"/>
      <c r="F139" s="103" t="s">
        <v>6056</v>
      </c>
      <c r="G139" s="103" t="s">
        <v>6058</v>
      </c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</row>
    <row r="140">
      <c r="A140" s="410" t="s">
        <v>5925</v>
      </c>
      <c r="B140" s="416" t="s">
        <v>5926</v>
      </c>
      <c r="C140" s="423" t="s">
        <v>5927</v>
      </c>
      <c r="D140" s="274" t="s">
        <v>6069</v>
      </c>
      <c r="E140" s="109"/>
      <c r="F140" s="103" t="s">
        <v>6077</v>
      </c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</row>
    <row r="141">
      <c r="A141" s="103" t="s">
        <v>6085</v>
      </c>
      <c r="B141" s="433" t="s">
        <v>6086</v>
      </c>
      <c r="C141" s="103" t="s">
        <v>93</v>
      </c>
      <c r="D141" s="274" t="s">
        <v>6087</v>
      </c>
      <c r="E141" s="414">
        <f>+919818213867</f>
        <v>919818213867</v>
      </c>
      <c r="F141" s="409" t="s">
        <v>6098</v>
      </c>
      <c r="G141" s="409" t="s">
        <v>6099</v>
      </c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</row>
    <row r="142">
      <c r="A142" s="282" t="s">
        <v>6110</v>
      </c>
      <c r="B142" s="404" t="s">
        <v>6113</v>
      </c>
      <c r="C142" s="282" t="s">
        <v>237</v>
      </c>
      <c r="D142" s="274" t="s">
        <v>6114</v>
      </c>
      <c r="E142" s="109"/>
      <c r="F142" s="103" t="s">
        <v>6123</v>
      </c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</row>
    <row r="143">
      <c r="A143" s="410" t="s">
        <v>6131</v>
      </c>
      <c r="B143" s="103" t="s">
        <v>6135</v>
      </c>
      <c r="C143" s="423" t="s">
        <v>1286</v>
      </c>
      <c r="D143" s="274" t="s">
        <v>6138</v>
      </c>
      <c r="E143" s="109"/>
      <c r="F143" s="103" t="s">
        <v>6146</v>
      </c>
      <c r="G143" s="103" t="s">
        <v>6150</v>
      </c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</row>
    <row r="144">
      <c r="A144" s="282" t="s">
        <v>6161</v>
      </c>
      <c r="B144" s="103" t="s">
        <v>6162</v>
      </c>
      <c r="C144" s="282" t="s">
        <v>253</v>
      </c>
      <c r="D144" s="274" t="s">
        <v>6163</v>
      </c>
      <c r="E144" s="109"/>
      <c r="F144" s="103" t="s">
        <v>6175</v>
      </c>
      <c r="G144" s="103" t="s">
        <v>6177</v>
      </c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</row>
    <row r="145">
      <c r="A145" s="103" t="s">
        <v>3644</v>
      </c>
      <c r="B145" s="103" t="s">
        <v>6188</v>
      </c>
      <c r="C145" s="103" t="s">
        <v>147</v>
      </c>
      <c r="D145" s="274" t="s">
        <v>6189</v>
      </c>
      <c r="E145" s="109"/>
      <c r="F145" s="103" t="s">
        <v>5538</v>
      </c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</row>
    <row r="146">
      <c r="A146" s="103" t="s">
        <v>6204</v>
      </c>
      <c r="B146" s="274" t="s">
        <v>6207</v>
      </c>
      <c r="C146" s="103" t="s">
        <v>1286</v>
      </c>
      <c r="D146" s="274" t="s">
        <v>6214</v>
      </c>
      <c r="E146" s="109"/>
      <c r="F146" s="103" t="s">
        <v>6219</v>
      </c>
      <c r="G146" s="103" t="s">
        <v>6220</v>
      </c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</row>
    <row r="147">
      <c r="A147" s="282" t="s">
        <v>2998</v>
      </c>
      <c r="B147" s="103" t="s">
        <v>4031</v>
      </c>
      <c r="C147" s="282" t="s">
        <v>224</v>
      </c>
      <c r="D147" s="274" t="s">
        <v>4032</v>
      </c>
      <c r="E147" s="109"/>
      <c r="F147" s="103" t="s">
        <v>4033</v>
      </c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</row>
    <row r="148">
      <c r="A148" s="103" t="s">
        <v>608</v>
      </c>
      <c r="B148" s="103" t="s">
        <v>4538</v>
      </c>
      <c r="C148" s="410" t="s">
        <v>192</v>
      </c>
      <c r="D148" s="274" t="s">
        <v>6246</v>
      </c>
      <c r="E148" s="109"/>
      <c r="F148" s="103" t="s">
        <v>6252</v>
      </c>
      <c r="G148" s="103" t="s">
        <v>6254</v>
      </c>
      <c r="H148" s="103" t="s">
        <v>6256</v>
      </c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</row>
    <row r="149">
      <c r="A149" s="103" t="s">
        <v>3012</v>
      </c>
      <c r="B149" s="103" t="s">
        <v>6262</v>
      </c>
      <c r="C149" s="410" t="s">
        <v>30</v>
      </c>
      <c r="D149" s="274" t="s">
        <v>6264</v>
      </c>
      <c r="E149" s="109"/>
      <c r="F149" s="103" t="s">
        <v>6266</v>
      </c>
      <c r="G149" s="103" t="s">
        <v>6268</v>
      </c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</row>
    <row r="150">
      <c r="A150" s="103" t="s">
        <v>4080</v>
      </c>
      <c r="B150" s="103" t="s">
        <v>4081</v>
      </c>
      <c r="C150" s="103" t="s">
        <v>6280</v>
      </c>
      <c r="D150" s="274" t="s">
        <v>4083</v>
      </c>
      <c r="E150" s="109"/>
      <c r="F150" s="103" t="s">
        <v>6290</v>
      </c>
      <c r="G150" s="103" t="s">
        <v>6291</v>
      </c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</row>
    <row r="151">
      <c r="A151" s="282" t="s">
        <v>6301</v>
      </c>
      <c r="B151" s="103" t="s">
        <v>6302</v>
      </c>
      <c r="C151" s="282" t="s">
        <v>93</v>
      </c>
      <c r="D151" s="274" t="s">
        <v>6303</v>
      </c>
      <c r="E151" s="109"/>
      <c r="F151" s="103" t="s">
        <v>6310</v>
      </c>
      <c r="G151" s="103" t="s">
        <v>6311</v>
      </c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</row>
    <row r="152">
      <c r="A152" s="410" t="s">
        <v>315</v>
      </c>
      <c r="B152" s="242" t="s">
        <v>6318</v>
      </c>
      <c r="C152" s="410" t="s">
        <v>93</v>
      </c>
      <c r="D152" s="317" t="s">
        <v>6321</v>
      </c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</row>
    <row r="153">
      <c r="A153" s="435" t="s">
        <v>6336</v>
      </c>
      <c r="B153" s="404" t="s">
        <v>3807</v>
      </c>
      <c r="C153" s="103" t="s">
        <v>237</v>
      </c>
      <c r="D153" s="274" t="s">
        <v>6343</v>
      </c>
      <c r="E153" s="109"/>
      <c r="F153" s="103" t="s">
        <v>6351</v>
      </c>
      <c r="G153" s="103" t="s">
        <v>6352</v>
      </c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</row>
    <row r="154" ht="1.5" customHeight="1">
      <c r="A154" s="103" t="s">
        <v>6358</v>
      </c>
      <c r="B154" s="436" t="s">
        <v>6360</v>
      </c>
      <c r="C154" s="417" t="s">
        <v>93</v>
      </c>
      <c r="D154" s="274" t="s">
        <v>6364</v>
      </c>
      <c r="E154" s="109">
        <f>918861011316</f>
        <v>918861011316</v>
      </c>
      <c r="F154" s="103" t="s">
        <v>6374</v>
      </c>
      <c r="G154" s="103" t="s">
        <v>6375</v>
      </c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</row>
    <row r="155">
      <c r="A155" s="410" t="s">
        <v>6385</v>
      </c>
      <c r="B155" s="274" t="s">
        <v>6387</v>
      </c>
      <c r="C155" s="410" t="s">
        <v>6393</v>
      </c>
      <c r="D155" s="274" t="s">
        <v>6395</v>
      </c>
      <c r="E155" s="414">
        <f>+919810405828</f>
        <v>919810405828</v>
      </c>
      <c r="F155" s="409" t="s">
        <v>6406</v>
      </c>
      <c r="G155" s="409" t="s">
        <v>6407</v>
      </c>
      <c r="H155" s="409" t="s">
        <v>6409</v>
      </c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</row>
    <row r="156">
      <c r="A156" s="103" t="s">
        <v>6416</v>
      </c>
      <c r="B156" s="416" t="s">
        <v>6419</v>
      </c>
      <c r="C156" s="423" t="s">
        <v>1286</v>
      </c>
      <c r="D156" s="274" t="s">
        <v>6421</v>
      </c>
      <c r="E156" s="109">
        <f>919871891232</f>
        <v>919871891232</v>
      </c>
      <c r="F156" s="103" t="s">
        <v>6429</v>
      </c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</row>
    <row r="157">
      <c r="A157" s="419" t="s">
        <v>6436</v>
      </c>
      <c r="B157" s="408" t="s">
        <v>6437</v>
      </c>
      <c r="C157" s="419" t="s">
        <v>1286</v>
      </c>
      <c r="D157" s="274" t="s">
        <v>6439</v>
      </c>
      <c r="E157" s="414">
        <f>+919910661176</f>
        <v>919910661176</v>
      </c>
      <c r="F157" s="409" t="s">
        <v>6451</v>
      </c>
      <c r="G157" s="409" t="s">
        <v>6452</v>
      </c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</row>
    <row r="158">
      <c r="A158" s="410" t="s">
        <v>6458</v>
      </c>
      <c r="B158" s="103" t="s">
        <v>6460</v>
      </c>
      <c r="C158" s="410" t="s">
        <v>224</v>
      </c>
      <c r="D158" s="274" t="s">
        <v>6464</v>
      </c>
      <c r="E158" s="109">
        <f>919820963106</f>
        <v>919820963106</v>
      </c>
      <c r="F158" s="103" t="s">
        <v>6475</v>
      </c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</row>
    <row r="159">
      <c r="A159" s="410" t="s">
        <v>6482</v>
      </c>
      <c r="B159" s="103" t="s">
        <v>6484</v>
      </c>
      <c r="C159" s="410" t="s">
        <v>147</v>
      </c>
      <c r="D159" s="274" t="s">
        <v>6486</v>
      </c>
      <c r="E159" s="109"/>
      <c r="F159" s="103" t="s">
        <v>6493</v>
      </c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</row>
    <row r="160">
      <c r="A160" s="103" t="s">
        <v>6510</v>
      </c>
      <c r="B160" s="103" t="s">
        <v>6511</v>
      </c>
      <c r="C160" s="423" t="s">
        <v>192</v>
      </c>
      <c r="D160" s="274" t="s">
        <v>6512</v>
      </c>
      <c r="E160" s="109">
        <f>919970158106</f>
        <v>919970158106</v>
      </c>
      <c r="F160" s="103" t="s">
        <v>6524</v>
      </c>
      <c r="G160" s="103" t="s">
        <v>6525</v>
      </c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</row>
    <row r="161">
      <c r="A161" s="103" t="s">
        <v>6535</v>
      </c>
      <c r="B161" s="433" t="s">
        <v>6536</v>
      </c>
      <c r="C161" s="423" t="s">
        <v>192</v>
      </c>
      <c r="D161" s="317" t="s">
        <v>6538</v>
      </c>
      <c r="E161" s="109"/>
      <c r="F161" s="409" t="s">
        <v>6544</v>
      </c>
      <c r="G161" s="409" t="s">
        <v>6548</v>
      </c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</row>
    <row r="162">
      <c r="A162" s="282" t="s">
        <v>6555</v>
      </c>
      <c r="B162" s="339" t="s">
        <v>6556</v>
      </c>
      <c r="C162" s="423" t="s">
        <v>192</v>
      </c>
      <c r="D162" s="274" t="s">
        <v>6558</v>
      </c>
      <c r="E162" s="109"/>
      <c r="F162" s="103" t="s">
        <v>6568</v>
      </c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</row>
    <row r="163">
      <c r="A163" s="442" t="s">
        <v>6579</v>
      </c>
      <c r="B163" s="443" t="s">
        <v>6586</v>
      </c>
      <c r="C163" s="282" t="s">
        <v>237</v>
      </c>
      <c r="D163" s="274" t="s">
        <v>6587</v>
      </c>
      <c r="E163" s="109"/>
      <c r="F163" s="103" t="s">
        <v>6599</v>
      </c>
      <c r="G163" s="103" t="s">
        <v>6600</v>
      </c>
      <c r="H163" s="103" t="s">
        <v>6601</v>
      </c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</row>
    <row r="164">
      <c r="A164" s="109"/>
      <c r="B164" s="404" t="s">
        <v>6606</v>
      </c>
      <c r="C164" s="282" t="s">
        <v>6607</v>
      </c>
      <c r="D164" s="274" t="s">
        <v>6609</v>
      </c>
      <c r="E164" s="109"/>
      <c r="F164" s="103" t="s">
        <v>6616</v>
      </c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</row>
    <row r="165">
      <c r="A165" s="282" t="s">
        <v>6624</v>
      </c>
      <c r="B165" s="404" t="s">
        <v>6627</v>
      </c>
      <c r="C165" s="282" t="s">
        <v>237</v>
      </c>
      <c r="D165" s="274" t="s">
        <v>6630</v>
      </c>
      <c r="E165" s="109"/>
      <c r="F165" s="103" t="s">
        <v>6637</v>
      </c>
      <c r="G165" s="103" t="s">
        <v>6638</v>
      </c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</row>
    <row r="166">
      <c r="A166" s="282" t="s">
        <v>6643</v>
      </c>
      <c r="B166" s="404" t="s">
        <v>3818</v>
      </c>
      <c r="C166" s="282" t="s">
        <v>6645</v>
      </c>
      <c r="D166" s="274" t="s">
        <v>6648</v>
      </c>
      <c r="E166" s="109"/>
      <c r="F166" s="103" t="s">
        <v>6652</v>
      </c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</row>
    <row r="167">
      <c r="A167" s="410" t="s">
        <v>6660</v>
      </c>
      <c r="B167" s="404" t="s">
        <v>6661</v>
      </c>
      <c r="C167" s="282" t="s">
        <v>6662</v>
      </c>
      <c r="D167" s="274" t="s">
        <v>6663</v>
      </c>
      <c r="E167" s="109"/>
      <c r="F167" s="103" t="s">
        <v>6671</v>
      </c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</row>
    <row r="168">
      <c r="A168" s="419" t="s">
        <v>1339</v>
      </c>
      <c r="B168" s="408" t="s">
        <v>6679</v>
      </c>
      <c r="C168" s="419" t="s">
        <v>93</v>
      </c>
      <c r="D168" s="274" t="s">
        <v>6680</v>
      </c>
      <c r="E168" s="409" t="s">
        <v>6691</v>
      </c>
      <c r="F168" s="409" t="s">
        <v>6693</v>
      </c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</row>
    <row r="169">
      <c r="A169" s="16" t="s">
        <v>6697</v>
      </c>
      <c r="B169" s="16" t="s">
        <v>6698</v>
      </c>
      <c r="C169" s="16" t="s">
        <v>253</v>
      </c>
      <c r="D169" s="26"/>
      <c r="E169" s="26"/>
      <c r="F169" s="16" t="s">
        <v>6351</v>
      </c>
      <c r="G169" s="16" t="s">
        <v>6352</v>
      </c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>
      <c r="A170" s="87" t="s">
        <v>3768</v>
      </c>
      <c r="B170" s="87" t="s">
        <v>3769</v>
      </c>
      <c r="C170" s="87" t="s">
        <v>253</v>
      </c>
      <c r="D170" s="136" t="s">
        <v>6700</v>
      </c>
      <c r="F170" s="87" t="s">
        <v>6702</v>
      </c>
      <c r="G170" s="87" t="s">
        <v>6703</v>
      </c>
    </row>
    <row r="171">
      <c r="A171" s="87" t="s">
        <v>6704</v>
      </c>
      <c r="B171" s="87" t="s">
        <v>6705</v>
      </c>
      <c r="C171" s="87" t="s">
        <v>5293</v>
      </c>
    </row>
    <row r="172">
      <c r="A172" s="87" t="s">
        <v>6706</v>
      </c>
      <c r="B172" s="87" t="s">
        <v>6707</v>
      </c>
      <c r="C172" s="87" t="s">
        <v>237</v>
      </c>
    </row>
    <row r="173">
      <c r="A173" s="87" t="s">
        <v>6709</v>
      </c>
      <c r="B173" s="87" t="s">
        <v>6710</v>
      </c>
      <c r="C173" s="87" t="s">
        <v>147</v>
      </c>
      <c r="D173" s="136" t="s">
        <v>6711</v>
      </c>
      <c r="F173" s="87" t="s">
        <v>6712</v>
      </c>
      <c r="G173" s="87" t="s">
        <v>6713</v>
      </c>
      <c r="H173" s="87" t="s">
        <v>6714</v>
      </c>
    </row>
    <row r="174">
      <c r="A174" s="87" t="s">
        <v>6715</v>
      </c>
      <c r="B174" s="87" t="s">
        <v>6716</v>
      </c>
      <c r="C174" s="87" t="s">
        <v>253</v>
      </c>
    </row>
    <row r="175">
      <c r="A175" s="87" t="s">
        <v>6718</v>
      </c>
      <c r="B175" s="87" t="s">
        <v>6720</v>
      </c>
      <c r="C175" s="87" t="s">
        <v>237</v>
      </c>
      <c r="D175" s="136" t="s">
        <v>6721</v>
      </c>
      <c r="F175" s="87" t="s">
        <v>6723</v>
      </c>
      <c r="G175" s="87" t="s">
        <v>6724</v>
      </c>
    </row>
    <row r="176">
      <c r="A176" s="87" t="s">
        <v>6725</v>
      </c>
      <c r="B176" s="87" t="s">
        <v>6726</v>
      </c>
      <c r="C176" s="87" t="s">
        <v>5643</v>
      </c>
      <c r="D176" s="136" t="s">
        <v>6727</v>
      </c>
      <c r="F176" s="87" t="s">
        <v>6729</v>
      </c>
      <c r="G176" s="87" t="s">
        <v>6730</v>
      </c>
    </row>
    <row r="180">
      <c r="A180" s="138" t="s">
        <v>608</v>
      </c>
      <c r="B180" s="139" t="s">
        <v>610</v>
      </c>
      <c r="C180" s="139" t="s">
        <v>611</v>
      </c>
      <c r="D180" s="41" t="s">
        <v>612</v>
      </c>
      <c r="E180" s="42"/>
      <c r="F180" s="141" t="s">
        <v>617</v>
      </c>
      <c r="G180" s="42"/>
      <c r="H180" s="42"/>
      <c r="I180" s="42"/>
      <c r="J180" s="42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</sheetData>
  <conditionalFormatting sqref="C154:C155 C157">
    <cfRule type="expression" dxfId="0" priority="1">
      <formula>COUNTIF($B:$B, $C154) &gt; 1</formula>
    </cfRule>
  </conditionalFormatting>
  <conditionalFormatting sqref="B1:B107 B109:B149 B151:B153 B158:B994">
    <cfRule type="expression" dxfId="0" priority="2">
      <formula>COUNTIF($B:$B, $B1) &gt; 1</formula>
    </cfRule>
  </conditionalFormatting>
  <hyperlinks>
    <hyperlink r:id="rId1" ref="D5"/>
    <hyperlink r:id="rId2" ref="D7"/>
    <hyperlink r:id="rId3" ref="D109"/>
    <hyperlink r:id="rId4" ref="D111"/>
    <hyperlink r:id="rId5" ref="D117"/>
    <hyperlink r:id="rId6" ref="D118"/>
    <hyperlink r:id="rId7" ref="D120"/>
    <hyperlink r:id="rId8" ref="D123"/>
    <hyperlink r:id="rId9" ref="D126"/>
    <hyperlink r:id="rId10" ref="B127"/>
    <hyperlink r:id="rId11" ref="D127"/>
    <hyperlink r:id="rId12" ref="D128"/>
    <hyperlink r:id="rId13" ref="D129"/>
    <hyperlink r:id="rId14" ref="D130"/>
    <hyperlink r:id="rId15" ref="D131"/>
    <hyperlink r:id="rId16" ref="D132"/>
    <hyperlink r:id="rId17" ref="D133"/>
    <hyperlink r:id="rId18" ref="D134"/>
    <hyperlink r:id="rId19" ref="D135"/>
    <hyperlink r:id="rId20" ref="D136"/>
    <hyperlink r:id="rId21" ref="D137"/>
    <hyperlink r:id="rId22" ref="A138"/>
    <hyperlink r:id="rId23" ref="B138"/>
    <hyperlink r:id="rId24" ref="D138"/>
    <hyperlink r:id="rId25" ref="D139"/>
    <hyperlink r:id="rId26" ref="D140"/>
    <hyperlink r:id="rId27" ref="D141"/>
    <hyperlink r:id="rId28" ref="D142"/>
    <hyperlink r:id="rId29" ref="D143"/>
    <hyperlink r:id="rId30" ref="D144"/>
    <hyperlink r:id="rId31" ref="D145"/>
    <hyperlink r:id="rId32" ref="B146"/>
    <hyperlink r:id="rId33" ref="D146"/>
    <hyperlink r:id="rId34" ref="D147"/>
    <hyperlink r:id="rId35" ref="D148"/>
    <hyperlink r:id="rId36" ref="D149"/>
    <hyperlink r:id="rId37" ref="D150"/>
    <hyperlink r:id="rId38" ref="D151"/>
    <hyperlink r:id="rId39" ref="D152"/>
    <hyperlink r:id="rId40" ref="D153"/>
    <hyperlink r:id="rId41" ref="D154"/>
    <hyperlink r:id="rId42" ref="B155"/>
    <hyperlink r:id="rId43" ref="D155"/>
    <hyperlink r:id="rId44" ref="D156"/>
    <hyperlink r:id="rId45" ref="D157"/>
    <hyperlink r:id="rId46" ref="D158"/>
    <hyperlink r:id="rId47" ref="D159"/>
    <hyperlink r:id="rId48" ref="D160"/>
    <hyperlink r:id="rId49" ref="D161"/>
    <hyperlink r:id="rId50" ref="D162"/>
    <hyperlink r:id="rId51" ref="A163"/>
    <hyperlink r:id="rId52" ref="D163"/>
    <hyperlink r:id="rId53" ref="D164"/>
    <hyperlink r:id="rId54" ref="D165"/>
    <hyperlink r:id="rId55" ref="D166"/>
    <hyperlink r:id="rId56" ref="D167"/>
    <hyperlink r:id="rId57" ref="D168"/>
    <hyperlink r:id="rId58" ref="D170"/>
    <hyperlink r:id="rId59" ref="D173"/>
    <hyperlink r:id="rId60" ref="D175"/>
    <hyperlink r:id="rId61" ref="D176"/>
    <hyperlink r:id="rId62" ref="D180"/>
  </hyperlinks>
  <drawing r:id="rId6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31.13"/>
    <col customWidth="1" min="3" max="3" width="16.0"/>
    <col customWidth="1" min="4" max="4" width="48.38"/>
    <col customWidth="1" min="5" max="5" width="24.38"/>
    <col customWidth="1" min="6" max="6" width="23.88"/>
  </cols>
  <sheetData>
    <row r="1">
      <c r="A1" s="452" t="s">
        <v>0</v>
      </c>
      <c r="B1" s="453" t="s">
        <v>2</v>
      </c>
      <c r="C1" s="453" t="s">
        <v>4</v>
      </c>
      <c r="D1" s="43" t="s">
        <v>5</v>
      </c>
      <c r="E1" s="22" t="s">
        <v>7</v>
      </c>
      <c r="F1" s="43" t="s">
        <v>6</v>
      </c>
      <c r="G1" s="454" t="s">
        <v>9</v>
      </c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>
      <c r="A2" s="455" t="s">
        <v>6753</v>
      </c>
      <c r="B2" s="456"/>
      <c r="C2" s="456"/>
      <c r="D2" s="130"/>
      <c r="E2" s="129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</row>
    <row r="3">
      <c r="A3" s="457" t="s">
        <v>589</v>
      </c>
      <c r="B3" s="458" t="s">
        <v>6755</v>
      </c>
      <c r="C3" s="458" t="s">
        <v>527</v>
      </c>
      <c r="D3" s="459" t="s">
        <v>6757</v>
      </c>
      <c r="E3" s="181" t="s">
        <v>6759</v>
      </c>
      <c r="F3" s="454" t="s">
        <v>6760</v>
      </c>
      <c r="G3" s="454" t="s">
        <v>6761</v>
      </c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>
      <c r="A4" s="457"/>
      <c r="B4" s="458"/>
      <c r="C4" s="458"/>
      <c r="D4" s="461"/>
      <c r="E4" s="181"/>
      <c r="F4" s="454"/>
      <c r="G4" s="454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>
      <c r="A5" s="457" t="s">
        <v>6765</v>
      </c>
      <c r="B5" s="458" t="s">
        <v>6766</v>
      </c>
      <c r="C5" s="458" t="s">
        <v>527</v>
      </c>
      <c r="D5" s="459" t="s">
        <v>6767</v>
      </c>
      <c r="E5" s="181" t="s">
        <v>6771</v>
      </c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>
      <c r="A6" s="457" t="s">
        <v>4310</v>
      </c>
      <c r="B6" s="458" t="s">
        <v>6773</v>
      </c>
      <c r="C6" s="458" t="s">
        <v>527</v>
      </c>
      <c r="D6" s="459" t="s">
        <v>6775</v>
      </c>
      <c r="E6" s="181" t="s">
        <v>6776</v>
      </c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</row>
    <row r="7">
      <c r="A7" s="457"/>
      <c r="B7" s="462"/>
      <c r="C7" s="458"/>
      <c r="D7" s="461"/>
      <c r="E7" s="181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</row>
    <row r="8">
      <c r="A8" s="457" t="s">
        <v>126</v>
      </c>
      <c r="B8" s="458" t="s">
        <v>6781</v>
      </c>
      <c r="C8" s="458" t="s">
        <v>527</v>
      </c>
      <c r="D8" s="459" t="s">
        <v>6782</v>
      </c>
      <c r="E8" s="181" t="s">
        <v>6783</v>
      </c>
      <c r="F8" s="68"/>
      <c r="G8" s="454" t="s">
        <v>6784</v>
      </c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</row>
    <row r="9">
      <c r="A9" s="457" t="s">
        <v>659</v>
      </c>
      <c r="B9" s="458" t="s">
        <v>6785</v>
      </c>
      <c r="C9" s="458" t="s">
        <v>527</v>
      </c>
      <c r="D9" s="459" t="s">
        <v>6786</v>
      </c>
      <c r="E9" s="181" t="s">
        <v>6789</v>
      </c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</row>
    <row r="10">
      <c r="A10" s="457" t="s">
        <v>6790</v>
      </c>
      <c r="B10" s="458" t="s">
        <v>6791</v>
      </c>
      <c r="C10" s="458" t="s">
        <v>527</v>
      </c>
      <c r="D10" s="466" t="s">
        <v>6792</v>
      </c>
      <c r="E10" s="181" t="s">
        <v>6795</v>
      </c>
      <c r="F10" s="68"/>
      <c r="G10" s="454" t="s">
        <v>6796</v>
      </c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</row>
    <row r="11">
      <c r="A11" s="457" t="s">
        <v>3932</v>
      </c>
      <c r="B11" s="458" t="s">
        <v>6797</v>
      </c>
      <c r="C11" s="458" t="s">
        <v>527</v>
      </c>
      <c r="D11" s="459" t="s">
        <v>6798</v>
      </c>
      <c r="E11" s="181" t="s">
        <v>6801</v>
      </c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</row>
    <row r="12">
      <c r="A12" s="457" t="s">
        <v>648</v>
      </c>
      <c r="B12" s="458" t="s">
        <v>6803</v>
      </c>
      <c r="C12" s="458" t="s">
        <v>527</v>
      </c>
      <c r="D12" s="459" t="s">
        <v>6804</v>
      </c>
      <c r="E12" s="181" t="s">
        <v>6808</v>
      </c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</row>
    <row r="13">
      <c r="A13" s="457" t="s">
        <v>2407</v>
      </c>
      <c r="B13" s="458" t="s">
        <v>6810</v>
      </c>
      <c r="C13" s="458" t="s">
        <v>527</v>
      </c>
      <c r="D13" s="459" t="s">
        <v>6811</v>
      </c>
      <c r="E13" s="181" t="s">
        <v>6814</v>
      </c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</row>
    <row r="14">
      <c r="A14" s="471" t="s">
        <v>999</v>
      </c>
      <c r="B14" s="458" t="s">
        <v>6821</v>
      </c>
      <c r="C14" s="458" t="s">
        <v>527</v>
      </c>
      <c r="D14" s="459" t="s">
        <v>6822</v>
      </c>
      <c r="E14" s="181" t="s">
        <v>6828</v>
      </c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</row>
    <row r="15">
      <c r="A15" s="471" t="s">
        <v>5289</v>
      </c>
      <c r="B15" s="458" t="s">
        <v>6835</v>
      </c>
      <c r="C15" s="458" t="s">
        <v>527</v>
      </c>
      <c r="D15" s="459" t="s">
        <v>6836</v>
      </c>
      <c r="E15" s="181" t="s">
        <v>6838</v>
      </c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</row>
    <row r="16">
      <c r="A16" s="471" t="s">
        <v>4263</v>
      </c>
      <c r="B16" s="458" t="s">
        <v>6843</v>
      </c>
      <c r="C16" s="458" t="s">
        <v>527</v>
      </c>
      <c r="D16" s="459" t="s">
        <v>6844</v>
      </c>
      <c r="E16" s="181" t="s">
        <v>6850</v>
      </c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</row>
    <row r="17">
      <c r="A17" s="471" t="s">
        <v>6851</v>
      </c>
      <c r="B17" s="458" t="s">
        <v>6852</v>
      </c>
      <c r="C17" s="458" t="s">
        <v>527</v>
      </c>
      <c r="D17" s="459" t="s">
        <v>6853</v>
      </c>
      <c r="E17" s="181" t="s">
        <v>6855</v>
      </c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</row>
    <row r="18">
      <c r="A18" s="471" t="s">
        <v>1231</v>
      </c>
      <c r="B18" s="458" t="s">
        <v>6859</v>
      </c>
      <c r="C18" s="458" t="s">
        <v>527</v>
      </c>
      <c r="D18" s="459" t="s">
        <v>6860</v>
      </c>
      <c r="E18" s="181" t="s">
        <v>6861</v>
      </c>
      <c r="F18" s="68"/>
      <c r="G18" s="454" t="s">
        <v>6863</v>
      </c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</row>
    <row r="19">
      <c r="A19" s="471" t="s">
        <v>6868</v>
      </c>
      <c r="B19" s="458" t="s">
        <v>1315</v>
      </c>
      <c r="C19" s="458" t="s">
        <v>527</v>
      </c>
      <c r="D19" s="459" t="s">
        <v>6869</v>
      </c>
      <c r="E19" s="181" t="s">
        <v>6874</v>
      </c>
      <c r="F19" s="68"/>
      <c r="G19" s="454" t="s">
        <v>6876</v>
      </c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</row>
    <row r="20">
      <c r="A20" s="471" t="s">
        <v>5026</v>
      </c>
      <c r="B20" s="458" t="s">
        <v>6880</v>
      </c>
      <c r="C20" s="458" t="s">
        <v>527</v>
      </c>
      <c r="D20" s="459" t="s">
        <v>6881</v>
      </c>
      <c r="E20" s="181" t="s">
        <v>6887</v>
      </c>
      <c r="F20" s="68"/>
      <c r="G20" s="454" t="s">
        <v>6888</v>
      </c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</row>
    <row r="21">
      <c r="A21" s="471" t="s">
        <v>5107</v>
      </c>
      <c r="B21" s="458" t="s">
        <v>6893</v>
      </c>
      <c r="C21" s="458" t="s">
        <v>4188</v>
      </c>
      <c r="D21" s="459" t="s">
        <v>6896</v>
      </c>
      <c r="E21" s="181" t="s">
        <v>4194</v>
      </c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</row>
    <row r="22">
      <c r="A22" s="471" t="s">
        <v>1640</v>
      </c>
      <c r="B22" s="458" t="s">
        <v>6904</v>
      </c>
      <c r="C22" s="458" t="s">
        <v>527</v>
      </c>
      <c r="D22" s="459" t="s">
        <v>6906</v>
      </c>
      <c r="E22" s="181" t="s">
        <v>6911</v>
      </c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>
      <c r="A23" s="471" t="s">
        <v>4055</v>
      </c>
      <c r="B23" s="458" t="s">
        <v>2467</v>
      </c>
      <c r="C23" s="458" t="s">
        <v>527</v>
      </c>
      <c r="D23" s="459" t="s">
        <v>6915</v>
      </c>
      <c r="E23" s="181" t="s">
        <v>6921</v>
      </c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</row>
    <row r="24">
      <c r="A24" s="471" t="s">
        <v>1295</v>
      </c>
      <c r="B24" s="458" t="s">
        <v>1297</v>
      </c>
      <c r="C24" s="458" t="s">
        <v>147</v>
      </c>
      <c r="D24" s="459" t="s">
        <v>6925</v>
      </c>
      <c r="E24" s="181" t="s">
        <v>6927</v>
      </c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>
      <c r="A25" s="471" t="s">
        <v>3809</v>
      </c>
      <c r="B25" s="458" t="s">
        <v>6935</v>
      </c>
      <c r="C25" s="458" t="s">
        <v>527</v>
      </c>
      <c r="D25" s="459" t="s">
        <v>6937</v>
      </c>
      <c r="E25" s="181" t="s">
        <v>6943</v>
      </c>
      <c r="F25" s="68"/>
      <c r="G25" s="454" t="s">
        <v>6944</v>
      </c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</row>
    <row r="26">
      <c r="A26" s="471" t="s">
        <v>374</v>
      </c>
      <c r="B26" s="458" t="s">
        <v>6950</v>
      </c>
      <c r="C26" s="458" t="s">
        <v>527</v>
      </c>
      <c r="D26" s="459" t="s">
        <v>6951</v>
      </c>
      <c r="E26" s="181" t="s">
        <v>6954</v>
      </c>
      <c r="F26" s="68"/>
      <c r="G26" s="454" t="s">
        <v>6956</v>
      </c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>
      <c r="A27" s="471" t="s">
        <v>3404</v>
      </c>
      <c r="B27" s="458" t="s">
        <v>6961</v>
      </c>
      <c r="C27" s="458" t="s">
        <v>527</v>
      </c>
      <c r="D27" s="459" t="s">
        <v>6963</v>
      </c>
      <c r="E27" s="181" t="s">
        <v>6966</v>
      </c>
      <c r="F27" s="68"/>
      <c r="G27" s="454" t="s">
        <v>6970</v>
      </c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</row>
    <row r="28">
      <c r="A28" s="471" t="s">
        <v>3439</v>
      </c>
      <c r="B28" s="458" t="s">
        <v>6974</v>
      </c>
      <c r="C28" s="458" t="s">
        <v>527</v>
      </c>
      <c r="D28" s="459" t="s">
        <v>6977</v>
      </c>
      <c r="E28" s="181" t="s">
        <v>6978</v>
      </c>
      <c r="F28" s="454" t="s">
        <v>6980</v>
      </c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</row>
    <row r="29">
      <c r="A29" s="471" t="s">
        <v>221</v>
      </c>
      <c r="B29" s="458" t="s">
        <v>6986</v>
      </c>
      <c r="C29" s="458" t="s">
        <v>527</v>
      </c>
      <c r="D29" s="459" t="s">
        <v>6987</v>
      </c>
      <c r="E29" s="181" t="s">
        <v>6990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>
      <c r="A30" s="471" t="s">
        <v>6999</v>
      </c>
      <c r="B30" s="458" t="s">
        <v>7000</v>
      </c>
      <c r="C30" s="458" t="s">
        <v>527</v>
      </c>
      <c r="D30" s="459" t="s">
        <v>7001</v>
      </c>
      <c r="E30" s="181" t="s">
        <v>7008</v>
      </c>
      <c r="F30" s="68"/>
      <c r="G30" s="454" t="s">
        <v>7009</v>
      </c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</row>
    <row r="31">
      <c r="A31" s="471" t="s">
        <v>2824</v>
      </c>
      <c r="B31" s="458" t="s">
        <v>7016</v>
      </c>
      <c r="C31" s="458" t="s">
        <v>527</v>
      </c>
      <c r="D31" s="459" t="s">
        <v>7017</v>
      </c>
      <c r="E31" s="181" t="s">
        <v>7025</v>
      </c>
      <c r="F31" s="454">
        <v>9.900596404E9</v>
      </c>
      <c r="G31" s="454" t="s">
        <v>7026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</row>
    <row r="32">
      <c r="A32" s="471" t="s">
        <v>992</v>
      </c>
      <c r="B32" s="458" t="s">
        <v>7032</v>
      </c>
      <c r="C32" s="458" t="s">
        <v>527</v>
      </c>
      <c r="D32" s="459" t="s">
        <v>7034</v>
      </c>
      <c r="E32" s="181" t="s">
        <v>7037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</row>
    <row r="33">
      <c r="A33" s="471" t="s">
        <v>7043</v>
      </c>
      <c r="B33" s="458" t="s">
        <v>7044</v>
      </c>
      <c r="C33" s="458" t="s">
        <v>7046</v>
      </c>
      <c r="D33" s="459" t="s">
        <v>7048</v>
      </c>
      <c r="E33" s="181" t="s">
        <v>7052</v>
      </c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</row>
    <row r="34">
      <c r="A34" s="471" t="s">
        <v>132</v>
      </c>
      <c r="B34" s="458" t="s">
        <v>7054</v>
      </c>
      <c r="C34" s="458" t="s">
        <v>527</v>
      </c>
      <c r="D34" s="459" t="s">
        <v>7056</v>
      </c>
      <c r="E34" s="181" t="s">
        <v>7061</v>
      </c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>
      <c r="A35" s="471" t="s">
        <v>4965</v>
      </c>
      <c r="B35" s="458" t="s">
        <v>7067</v>
      </c>
      <c r="C35" s="458" t="s">
        <v>527</v>
      </c>
      <c r="D35" s="459" t="s">
        <v>7068</v>
      </c>
      <c r="E35" s="181" t="s">
        <v>7074</v>
      </c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>
      <c r="A36" s="471" t="s">
        <v>1601</v>
      </c>
      <c r="B36" s="458" t="s">
        <v>7078</v>
      </c>
      <c r="C36" s="458" t="s">
        <v>527</v>
      </c>
      <c r="D36" s="459" t="s">
        <v>7081</v>
      </c>
      <c r="E36" s="181" t="s">
        <v>7083</v>
      </c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>
      <c r="A37" s="471" t="s">
        <v>1900</v>
      </c>
      <c r="B37" s="458" t="s">
        <v>7087</v>
      </c>
      <c r="C37" s="458" t="s">
        <v>527</v>
      </c>
      <c r="D37" s="459" t="s">
        <v>7088</v>
      </c>
      <c r="E37" s="181" t="s">
        <v>7094</v>
      </c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>
      <c r="A38" s="471" t="s">
        <v>1007</v>
      </c>
      <c r="B38" s="458" t="s">
        <v>7096</v>
      </c>
      <c r="C38" s="458" t="s">
        <v>527</v>
      </c>
      <c r="D38" s="466" t="s">
        <v>7098</v>
      </c>
      <c r="E38" s="181" t="s">
        <v>7103</v>
      </c>
      <c r="F38" s="68"/>
      <c r="G38" s="454" t="s">
        <v>7104</v>
      </c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</row>
    <row r="39">
      <c r="A39" s="471" t="s">
        <v>1533</v>
      </c>
      <c r="B39" s="458" t="s">
        <v>7110</v>
      </c>
      <c r="C39" s="458" t="s">
        <v>527</v>
      </c>
      <c r="D39" s="459" t="s">
        <v>7111</v>
      </c>
      <c r="E39" s="181" t="s">
        <v>7116</v>
      </c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>
      <c r="A40" s="471" t="s">
        <v>250</v>
      </c>
      <c r="B40" s="458" t="s">
        <v>7121</v>
      </c>
      <c r="C40" s="458" t="s">
        <v>7122</v>
      </c>
      <c r="D40" s="459" t="s">
        <v>7123</v>
      </c>
      <c r="E40" s="181" t="s">
        <v>7126</v>
      </c>
      <c r="F40" s="454" t="s">
        <v>7127</v>
      </c>
      <c r="G40" s="454" t="s">
        <v>7129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>
      <c r="A41" s="118" t="s">
        <v>524</v>
      </c>
      <c r="B41" s="120" t="s">
        <v>525</v>
      </c>
      <c r="C41" s="120" t="s">
        <v>527</v>
      </c>
      <c r="D41" s="122" t="s">
        <v>528</v>
      </c>
      <c r="E41" s="22" t="s">
        <v>532</v>
      </c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>
      <c r="A42" s="471" t="s">
        <v>4221</v>
      </c>
      <c r="B42" s="458" t="s">
        <v>7145</v>
      </c>
      <c r="C42" s="458" t="s">
        <v>7146</v>
      </c>
      <c r="D42" s="459" t="s">
        <v>7147</v>
      </c>
      <c r="E42" s="181" t="s">
        <v>7150</v>
      </c>
      <c r="F42" s="68"/>
      <c r="G42" s="454" t="s">
        <v>7154</v>
      </c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</row>
    <row r="43" ht="18.75" customHeight="1">
      <c r="A43" s="118" t="s">
        <v>537</v>
      </c>
      <c r="B43" s="124" t="s">
        <v>538</v>
      </c>
      <c r="C43" s="120" t="s">
        <v>527</v>
      </c>
      <c r="D43" s="125" t="s">
        <v>541</v>
      </c>
      <c r="E43" s="22" t="s">
        <v>545</v>
      </c>
      <c r="F43" s="43">
        <v>9.00001028E9</v>
      </c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>
      <c r="A44" s="471" t="s">
        <v>226</v>
      </c>
      <c r="B44" s="458" t="s">
        <v>7169</v>
      </c>
      <c r="C44" s="458" t="s">
        <v>527</v>
      </c>
      <c r="D44" s="459" t="s">
        <v>7172</v>
      </c>
      <c r="E44" s="181" t="s">
        <v>7176</v>
      </c>
      <c r="F44" s="454" t="s">
        <v>7177</v>
      </c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</row>
    <row r="45">
      <c r="A45" s="471" t="s">
        <v>1960</v>
      </c>
      <c r="B45" s="458" t="s">
        <v>7181</v>
      </c>
      <c r="C45" s="458" t="s">
        <v>527</v>
      </c>
      <c r="D45" s="459" t="s">
        <v>7183</v>
      </c>
      <c r="E45" s="181" t="s">
        <v>7186</v>
      </c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</row>
    <row r="46" ht="23.25" customHeight="1">
      <c r="A46" s="118" t="s">
        <v>200</v>
      </c>
      <c r="B46" s="120" t="s">
        <v>552</v>
      </c>
      <c r="C46" s="120" t="s">
        <v>527</v>
      </c>
      <c r="D46" s="122" t="s">
        <v>553</v>
      </c>
      <c r="E46" s="22" t="s">
        <v>557</v>
      </c>
      <c r="F46" s="43" t="s">
        <v>559</v>
      </c>
      <c r="G46" s="43" t="s">
        <v>562</v>
      </c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>
      <c r="A47" s="471" t="s">
        <v>4200</v>
      </c>
      <c r="B47" s="458">
        <v>2.0</v>
      </c>
      <c r="C47" s="458" t="s">
        <v>527</v>
      </c>
      <c r="D47" s="459" t="s">
        <v>7202</v>
      </c>
      <c r="E47" s="181" t="s">
        <v>7203</v>
      </c>
      <c r="F47" s="454" t="s">
        <v>7205</v>
      </c>
      <c r="G47" s="454" t="s">
        <v>7206</v>
      </c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</row>
    <row r="48">
      <c r="A48" s="471" t="s">
        <v>4996</v>
      </c>
      <c r="B48" s="458" t="s">
        <v>7209</v>
      </c>
      <c r="C48" s="458" t="s">
        <v>527</v>
      </c>
      <c r="D48" s="459" t="s">
        <v>7210</v>
      </c>
      <c r="E48" s="181" t="s">
        <v>7218</v>
      </c>
      <c r="F48" s="454">
        <v>9.717747672E9</v>
      </c>
      <c r="G48" s="454" t="s">
        <v>7219</v>
      </c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</row>
    <row r="49">
      <c r="A49" s="471" t="s">
        <v>568</v>
      </c>
      <c r="B49" s="458" t="s">
        <v>7223</v>
      </c>
      <c r="C49" s="458" t="s">
        <v>527</v>
      </c>
      <c r="D49" s="466" t="s">
        <v>7225</v>
      </c>
      <c r="E49" s="181" t="s">
        <v>7231</v>
      </c>
      <c r="F49" s="454" t="s">
        <v>7232</v>
      </c>
      <c r="G49" s="454" t="s">
        <v>7233</v>
      </c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</row>
    <row r="50">
      <c r="A50" s="471" t="s">
        <v>1265</v>
      </c>
      <c r="B50" s="458" t="s">
        <v>7236</v>
      </c>
      <c r="C50" s="458"/>
      <c r="D50" s="459" t="s">
        <v>7238</v>
      </c>
      <c r="E50" s="181" t="s">
        <v>7243</v>
      </c>
      <c r="F50" s="454">
        <v>8.130279922E9</v>
      </c>
      <c r="G50" s="454" t="s">
        <v>7244</v>
      </c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</row>
    <row r="51">
      <c r="A51" s="471" t="s">
        <v>511</v>
      </c>
      <c r="B51" s="458" t="s">
        <v>7247</v>
      </c>
      <c r="C51" s="458" t="s">
        <v>527</v>
      </c>
      <c r="D51" s="459" t="s">
        <v>7249</v>
      </c>
      <c r="E51" s="181" t="s">
        <v>7255</v>
      </c>
      <c r="F51" s="454" t="s">
        <v>7256</v>
      </c>
      <c r="G51" s="454" t="s">
        <v>7257</v>
      </c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>
      <c r="A52" s="471" t="s">
        <v>1511</v>
      </c>
      <c r="B52" s="458" t="s">
        <v>7261</v>
      </c>
      <c r="C52" s="458" t="s">
        <v>527</v>
      </c>
      <c r="D52" s="459" t="s">
        <v>7263</v>
      </c>
      <c r="E52" s="179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</row>
    <row r="53">
      <c r="A53" s="471" t="s">
        <v>7269</v>
      </c>
      <c r="B53" s="497" t="s">
        <v>7270</v>
      </c>
      <c r="C53" s="458" t="s">
        <v>527</v>
      </c>
      <c r="D53" s="459" t="s">
        <v>7272</v>
      </c>
      <c r="E53" s="181" t="s">
        <v>7280</v>
      </c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</row>
    <row r="54">
      <c r="A54" s="471" t="s">
        <v>3685</v>
      </c>
      <c r="B54" s="499"/>
      <c r="C54" s="458" t="s">
        <v>527</v>
      </c>
      <c r="D54" s="68"/>
      <c r="E54" s="179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</row>
    <row r="55">
      <c r="A55" s="471" t="s">
        <v>3467</v>
      </c>
      <c r="B55" s="497" t="s">
        <v>7290</v>
      </c>
      <c r="C55" s="458" t="s">
        <v>527</v>
      </c>
      <c r="D55" s="466" t="s">
        <v>7291</v>
      </c>
      <c r="E55" s="181" t="s">
        <v>7297</v>
      </c>
      <c r="F55" s="454">
        <v>9.833569E8</v>
      </c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</row>
    <row r="56">
      <c r="A56" s="471" t="s">
        <v>4267</v>
      </c>
      <c r="B56" s="497" t="s">
        <v>7302</v>
      </c>
      <c r="C56" s="458" t="s">
        <v>527</v>
      </c>
      <c r="D56" s="466" t="s">
        <v>7305</v>
      </c>
      <c r="E56" s="181" t="s">
        <v>7311</v>
      </c>
      <c r="F56" s="454">
        <v>9.818889826E9</v>
      </c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</row>
    <row r="57">
      <c r="A57" s="471" t="s">
        <v>1438</v>
      </c>
      <c r="B57" s="497" t="s">
        <v>7319</v>
      </c>
      <c r="C57" s="458" t="s">
        <v>527</v>
      </c>
      <c r="D57" s="459" t="s">
        <v>7321</v>
      </c>
      <c r="E57" s="181" t="s">
        <v>7328</v>
      </c>
      <c r="F57" s="454">
        <v>9.902078654E9</v>
      </c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</row>
    <row r="58">
      <c r="A58" s="471" t="s">
        <v>1243</v>
      </c>
      <c r="B58" s="497" t="s">
        <v>7331</v>
      </c>
      <c r="C58" s="458" t="s">
        <v>527</v>
      </c>
      <c r="D58" s="459" t="s">
        <v>7333</v>
      </c>
      <c r="E58" s="181" t="s">
        <v>7337</v>
      </c>
      <c r="F58" s="454" t="s">
        <v>7339</v>
      </c>
      <c r="G58" s="454" t="s">
        <v>7340</v>
      </c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</row>
    <row r="59">
      <c r="A59" s="471" t="s">
        <v>1166</v>
      </c>
      <c r="B59" s="497" t="s">
        <v>7343</v>
      </c>
      <c r="C59" s="458" t="s">
        <v>527</v>
      </c>
      <c r="D59" s="459" t="s">
        <v>7344</v>
      </c>
      <c r="E59" s="181" t="s">
        <v>7345</v>
      </c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</row>
    <row r="60">
      <c r="A60" s="471" t="s">
        <v>1148</v>
      </c>
      <c r="B60" s="497" t="s">
        <v>7349</v>
      </c>
      <c r="C60" s="458" t="s">
        <v>527</v>
      </c>
      <c r="D60" s="459" t="s">
        <v>7350</v>
      </c>
      <c r="E60" s="181" t="s">
        <v>7355</v>
      </c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</row>
    <row r="61">
      <c r="A61" s="471" t="s">
        <v>53</v>
      </c>
      <c r="B61" s="497" t="s">
        <v>7359</v>
      </c>
      <c r="C61" s="458" t="s">
        <v>527</v>
      </c>
      <c r="D61" s="459" t="s">
        <v>7361</v>
      </c>
      <c r="E61" s="181" t="s">
        <v>7362</v>
      </c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</row>
    <row r="62">
      <c r="A62" s="471" t="s">
        <v>669</v>
      </c>
      <c r="B62" s="497" t="s">
        <v>7367</v>
      </c>
      <c r="C62" s="458" t="s">
        <v>527</v>
      </c>
      <c r="D62" s="459" t="s">
        <v>7368</v>
      </c>
      <c r="E62" s="181" t="s">
        <v>7372</v>
      </c>
      <c r="F62" s="454" t="s">
        <v>7374</v>
      </c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</row>
    <row r="63">
      <c r="A63" s="471" t="s">
        <v>3717</v>
      </c>
      <c r="B63" s="497" t="s">
        <v>7377</v>
      </c>
      <c r="C63" s="458" t="s">
        <v>527</v>
      </c>
      <c r="D63" s="459" t="s">
        <v>7380</v>
      </c>
      <c r="E63" s="181" t="s">
        <v>7384</v>
      </c>
      <c r="F63" s="454">
        <v>9.811213131E9</v>
      </c>
      <c r="G63" s="454" t="s">
        <v>7385</v>
      </c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</row>
    <row r="64">
      <c r="A64" s="471" t="s">
        <v>322</v>
      </c>
      <c r="B64" s="497" t="s">
        <v>7387</v>
      </c>
      <c r="C64" s="458" t="s">
        <v>527</v>
      </c>
      <c r="D64" s="466" t="s">
        <v>7389</v>
      </c>
      <c r="E64" s="181" t="s">
        <v>7393</v>
      </c>
      <c r="F64" s="454" t="s">
        <v>7394</v>
      </c>
      <c r="G64" s="454" t="s">
        <v>7395</v>
      </c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</row>
    <row r="65">
      <c r="A65" s="471" t="s">
        <v>203</v>
      </c>
      <c r="B65" s="497" t="s">
        <v>7396</v>
      </c>
      <c r="C65" s="458" t="s">
        <v>527</v>
      </c>
      <c r="D65" s="459" t="s">
        <v>7398</v>
      </c>
      <c r="E65" s="181" t="s">
        <v>7400</v>
      </c>
      <c r="F65" s="454">
        <v>9.999568876E9</v>
      </c>
      <c r="G65" s="454" t="s">
        <v>7401</v>
      </c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</row>
    <row r="66">
      <c r="A66" s="471" t="s">
        <v>7022</v>
      </c>
      <c r="B66" s="497" t="s">
        <v>7403</v>
      </c>
      <c r="C66" s="458" t="s">
        <v>527</v>
      </c>
      <c r="D66" s="459" t="s">
        <v>7405</v>
      </c>
      <c r="E66" s="181" t="s">
        <v>7406</v>
      </c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</row>
    <row r="67">
      <c r="A67" s="471" t="s">
        <v>1097</v>
      </c>
      <c r="B67" s="497" t="s">
        <v>7411</v>
      </c>
      <c r="C67" s="458" t="s">
        <v>527</v>
      </c>
      <c r="D67" s="459" t="s">
        <v>7412</v>
      </c>
      <c r="E67" s="181" t="s">
        <v>7417</v>
      </c>
      <c r="F67" s="454" t="s">
        <v>7418</v>
      </c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</row>
    <row r="68">
      <c r="A68" s="471" t="s">
        <v>3847</v>
      </c>
      <c r="B68" s="497" t="s">
        <v>7420</v>
      </c>
      <c r="C68" s="458" t="s">
        <v>527</v>
      </c>
      <c r="D68" s="68"/>
      <c r="E68" s="179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</row>
    <row r="69">
      <c r="A69" s="471" t="s">
        <v>470</v>
      </c>
      <c r="B69" s="497" t="s">
        <v>7421</v>
      </c>
      <c r="C69" s="458" t="s">
        <v>527</v>
      </c>
      <c r="D69" s="466" t="s">
        <v>7424</v>
      </c>
      <c r="E69" s="181" t="s">
        <v>7427</v>
      </c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</row>
    <row r="70">
      <c r="A70" s="471" t="s">
        <v>6192</v>
      </c>
      <c r="B70" s="497" t="s">
        <v>7434</v>
      </c>
      <c r="C70" s="458" t="s">
        <v>527</v>
      </c>
      <c r="D70" s="466" t="s">
        <v>7436</v>
      </c>
      <c r="E70" s="181" t="s">
        <v>7438</v>
      </c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</row>
    <row r="71">
      <c r="A71" s="471" t="s">
        <v>548</v>
      </c>
      <c r="B71" s="497" t="s">
        <v>7439</v>
      </c>
      <c r="C71" s="458" t="s">
        <v>527</v>
      </c>
      <c r="D71" s="459" t="s">
        <v>7440</v>
      </c>
      <c r="E71" s="181" t="s">
        <v>2759</v>
      </c>
      <c r="F71" s="68"/>
      <c r="G71" s="454" t="s">
        <v>7442</v>
      </c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</row>
    <row r="72">
      <c r="A72" s="471" t="s">
        <v>1132</v>
      </c>
      <c r="B72" s="497" t="s">
        <v>7449</v>
      </c>
      <c r="C72" s="458" t="s">
        <v>527</v>
      </c>
      <c r="D72" s="466" t="s">
        <v>7451</v>
      </c>
      <c r="E72" s="181" t="s">
        <v>7454</v>
      </c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</row>
    <row r="73">
      <c r="A73" s="471" t="s">
        <v>1111</v>
      </c>
      <c r="B73" s="497" t="s">
        <v>7460</v>
      </c>
      <c r="C73" s="458" t="s">
        <v>527</v>
      </c>
      <c r="D73" s="466" t="s">
        <v>7461</v>
      </c>
      <c r="E73" s="181" t="s">
        <v>7463</v>
      </c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</row>
    <row r="74">
      <c r="A74" s="471" t="s">
        <v>4166</v>
      </c>
      <c r="B74" s="497" t="s">
        <v>7466</v>
      </c>
      <c r="C74" s="458" t="s">
        <v>527</v>
      </c>
      <c r="D74" s="459" t="s">
        <v>7467</v>
      </c>
      <c r="E74" s="181" t="s">
        <v>7468</v>
      </c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</row>
    <row r="75">
      <c r="A75" s="457" t="s">
        <v>5240</v>
      </c>
      <c r="B75" s="497" t="s">
        <v>7469</v>
      </c>
      <c r="C75" s="458" t="s">
        <v>527</v>
      </c>
      <c r="D75" s="459" t="s">
        <v>7470</v>
      </c>
      <c r="E75" s="181" t="s">
        <v>7471</v>
      </c>
      <c r="F75" s="454">
        <v>8.861006053E9</v>
      </c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</row>
    <row r="76">
      <c r="A76" s="471" t="s">
        <v>4896</v>
      </c>
      <c r="B76" s="497" t="s">
        <v>7472</v>
      </c>
      <c r="C76" s="458" t="s">
        <v>527</v>
      </c>
      <c r="D76" s="459" t="s">
        <v>7473</v>
      </c>
      <c r="E76" s="181" t="s">
        <v>7474</v>
      </c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</row>
    <row r="77">
      <c r="A77" s="471" t="s">
        <v>2052</v>
      </c>
      <c r="B77" s="497" t="s">
        <v>7476</v>
      </c>
      <c r="C77" s="458" t="s">
        <v>527</v>
      </c>
      <c r="D77" s="459" t="s">
        <v>7477</v>
      </c>
      <c r="E77" s="181" t="s">
        <v>7479</v>
      </c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</row>
    <row r="78">
      <c r="A78" s="471" t="s">
        <v>4286</v>
      </c>
      <c r="B78" s="497" t="s">
        <v>7480</v>
      </c>
      <c r="C78" s="458" t="s">
        <v>527</v>
      </c>
      <c r="D78" s="513" t="s">
        <v>7481</v>
      </c>
      <c r="E78" s="181" t="s">
        <v>7474</v>
      </c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</row>
    <row r="79">
      <c r="A79" s="457" t="s">
        <v>4103</v>
      </c>
      <c r="B79" s="497" t="s">
        <v>7483</v>
      </c>
      <c r="C79" s="458" t="s">
        <v>527</v>
      </c>
      <c r="D79" s="459" t="s">
        <v>7484</v>
      </c>
      <c r="E79" s="181" t="s">
        <v>7486</v>
      </c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</row>
    <row r="80">
      <c r="A80" s="457" t="s">
        <v>5445</v>
      </c>
      <c r="B80" s="497" t="s">
        <v>7487</v>
      </c>
      <c r="C80" s="458" t="s">
        <v>527</v>
      </c>
      <c r="D80" s="459" t="s">
        <v>7488</v>
      </c>
      <c r="E80" s="181" t="s">
        <v>7490</v>
      </c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</row>
    <row r="81">
      <c r="A81" s="471" t="s">
        <v>965</v>
      </c>
      <c r="B81" s="497" t="s">
        <v>346</v>
      </c>
      <c r="C81" s="458" t="s">
        <v>527</v>
      </c>
      <c r="D81" s="466" t="s">
        <v>7491</v>
      </c>
      <c r="E81" s="181" t="s">
        <v>7493</v>
      </c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</row>
    <row r="82">
      <c r="A82" s="471" t="s">
        <v>4292</v>
      </c>
      <c r="B82" s="497" t="s">
        <v>7494</v>
      </c>
      <c r="C82" s="458" t="s">
        <v>527</v>
      </c>
      <c r="D82" s="459" t="s">
        <v>7495</v>
      </c>
      <c r="E82" s="179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</row>
    <row r="83">
      <c r="A83" s="471" t="s">
        <v>932</v>
      </c>
      <c r="B83" s="499"/>
      <c r="C83" s="458" t="s">
        <v>527</v>
      </c>
      <c r="D83" s="68"/>
      <c r="E83" s="179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</row>
    <row r="84">
      <c r="A84" s="514" t="s">
        <v>7496</v>
      </c>
      <c r="B84" s="497" t="s">
        <v>7498</v>
      </c>
      <c r="C84" s="458" t="s">
        <v>527</v>
      </c>
      <c r="D84" s="459" t="s">
        <v>7499</v>
      </c>
      <c r="E84" s="181" t="s">
        <v>7501</v>
      </c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</row>
    <row r="85">
      <c r="A85" s="471" t="s">
        <v>67</v>
      </c>
      <c r="B85" s="497" t="s">
        <v>7502</v>
      </c>
      <c r="C85" s="458" t="s">
        <v>527</v>
      </c>
      <c r="D85" s="459" t="s">
        <v>7503</v>
      </c>
      <c r="E85" s="181" t="s">
        <v>7504</v>
      </c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</row>
    <row r="86">
      <c r="A86" s="471" t="s">
        <v>1072</v>
      </c>
      <c r="B86" s="497" t="s">
        <v>7505</v>
      </c>
      <c r="C86" s="458" t="s">
        <v>527</v>
      </c>
      <c r="D86" s="459" t="s">
        <v>7506</v>
      </c>
      <c r="E86" s="181" t="s">
        <v>7507</v>
      </c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</row>
    <row r="87">
      <c r="A87" s="471" t="s">
        <v>45</v>
      </c>
      <c r="B87" s="497" t="s">
        <v>7509</v>
      </c>
      <c r="C87" s="458" t="s">
        <v>527</v>
      </c>
      <c r="D87" s="459" t="s">
        <v>7510</v>
      </c>
      <c r="E87" s="181" t="s">
        <v>7512</v>
      </c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</row>
    <row r="88">
      <c r="A88" s="471" t="s">
        <v>1041</v>
      </c>
      <c r="B88" s="497" t="s">
        <v>7514</v>
      </c>
      <c r="C88" s="458" t="s">
        <v>527</v>
      </c>
      <c r="D88" s="459" t="s">
        <v>7515</v>
      </c>
      <c r="E88" s="181" t="s">
        <v>7516</v>
      </c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</row>
    <row r="89">
      <c r="A89" s="471" t="s">
        <v>1090</v>
      </c>
      <c r="B89" s="497"/>
      <c r="C89" s="458"/>
      <c r="D89" s="461"/>
      <c r="E89" s="181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</row>
    <row r="90">
      <c r="A90" s="471" t="s">
        <v>4236</v>
      </c>
      <c r="B90" s="497" t="s">
        <v>7518</v>
      </c>
      <c r="C90" s="458" t="s">
        <v>527</v>
      </c>
      <c r="D90" s="459" t="s">
        <v>7520</v>
      </c>
      <c r="E90" s="181" t="s">
        <v>7521</v>
      </c>
      <c r="F90" s="68"/>
      <c r="G90" s="454" t="s">
        <v>7522</v>
      </c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</row>
    <row r="91">
      <c r="A91" s="457" t="s">
        <v>2746</v>
      </c>
      <c r="B91" s="497" t="s">
        <v>7523</v>
      </c>
      <c r="C91" s="458" t="s">
        <v>527</v>
      </c>
      <c r="D91" s="459" t="s">
        <v>7524</v>
      </c>
      <c r="E91" s="181" t="s">
        <v>7525</v>
      </c>
      <c r="F91" s="454" t="s">
        <v>7526</v>
      </c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</row>
    <row r="92">
      <c r="A92" s="457" t="s">
        <v>6715</v>
      </c>
      <c r="B92" s="497" t="s">
        <v>7529</v>
      </c>
      <c r="C92" s="458" t="s">
        <v>527</v>
      </c>
      <c r="D92" s="459" t="s">
        <v>7530</v>
      </c>
      <c r="E92" s="181" t="s">
        <v>7531</v>
      </c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</row>
    <row r="93">
      <c r="A93" s="457" t="s">
        <v>978</v>
      </c>
      <c r="B93" s="497" t="s">
        <v>4810</v>
      </c>
      <c r="C93" s="458" t="s">
        <v>527</v>
      </c>
      <c r="D93" s="459" t="s">
        <v>7534</v>
      </c>
      <c r="E93" s="181" t="s">
        <v>7538</v>
      </c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</row>
    <row r="94">
      <c r="A94" s="457" t="s">
        <v>761</v>
      </c>
      <c r="B94" s="497" t="s">
        <v>3440</v>
      </c>
      <c r="C94" s="458" t="s">
        <v>527</v>
      </c>
      <c r="D94" s="459" t="s">
        <v>7541</v>
      </c>
      <c r="E94" s="181" t="s">
        <v>7543</v>
      </c>
      <c r="F94" s="454" t="s">
        <v>7544</v>
      </c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</row>
    <row r="95">
      <c r="A95" s="457" t="s">
        <v>5218</v>
      </c>
      <c r="B95" s="497" t="s">
        <v>7549</v>
      </c>
      <c r="C95" s="458" t="s">
        <v>527</v>
      </c>
      <c r="D95" s="466" t="s">
        <v>7550</v>
      </c>
      <c r="E95" s="181" t="s">
        <v>7551</v>
      </c>
      <c r="F95" s="454">
        <v>9.999313634E9</v>
      </c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</row>
    <row r="96">
      <c r="A96" s="457" t="s">
        <v>13</v>
      </c>
      <c r="B96" s="497" t="s">
        <v>7552</v>
      </c>
      <c r="C96" s="458" t="s">
        <v>527</v>
      </c>
      <c r="D96" s="459" t="s">
        <v>7553</v>
      </c>
      <c r="E96" s="179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</row>
    <row r="97">
      <c r="A97" s="471" t="s">
        <v>2900</v>
      </c>
      <c r="B97" s="497"/>
      <c r="C97" s="458" t="s">
        <v>527</v>
      </c>
      <c r="D97" s="461"/>
      <c r="E97" s="181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</row>
    <row r="98">
      <c r="A98" s="457"/>
      <c r="B98" s="497"/>
      <c r="C98" s="458"/>
      <c r="D98" s="461"/>
      <c r="E98" s="181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</row>
    <row r="99">
      <c r="A99" s="471" t="s">
        <v>3076</v>
      </c>
      <c r="B99" s="521" t="s">
        <v>7569</v>
      </c>
      <c r="C99" s="458" t="s">
        <v>527</v>
      </c>
      <c r="D99" s="459" t="s">
        <v>7570</v>
      </c>
      <c r="E99" s="179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</row>
    <row r="100">
      <c r="A100" s="471" t="s">
        <v>7578</v>
      </c>
      <c r="B100" s="521" t="s">
        <v>7579</v>
      </c>
      <c r="C100" s="458" t="s">
        <v>527</v>
      </c>
      <c r="D100" s="459" t="s">
        <v>7580</v>
      </c>
      <c r="E100" s="181" t="s">
        <v>7586</v>
      </c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</row>
    <row r="101">
      <c r="A101" s="471" t="s">
        <v>1028</v>
      </c>
      <c r="B101" s="524" t="s">
        <v>7591</v>
      </c>
      <c r="C101" s="458" t="s">
        <v>527</v>
      </c>
      <c r="D101" s="466" t="s">
        <v>7593</v>
      </c>
      <c r="E101" s="179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</row>
    <row r="102">
      <c r="A102" s="471" t="s">
        <v>91</v>
      </c>
      <c r="B102" s="524" t="s">
        <v>7603</v>
      </c>
      <c r="C102" s="458" t="s">
        <v>527</v>
      </c>
      <c r="D102" s="466" t="s">
        <v>7605</v>
      </c>
      <c r="E102" s="181" t="s">
        <v>7609</v>
      </c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</row>
    <row r="103">
      <c r="A103" s="471" t="s">
        <v>2821</v>
      </c>
      <c r="B103" s="524" t="s">
        <v>7616</v>
      </c>
      <c r="C103" s="458" t="s">
        <v>527</v>
      </c>
      <c r="D103" s="459" t="s">
        <v>7617</v>
      </c>
      <c r="E103" s="181" t="s">
        <v>7624</v>
      </c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</row>
    <row r="104">
      <c r="A104" s="471" t="s">
        <v>946</v>
      </c>
      <c r="B104" s="524" t="s">
        <v>7627</v>
      </c>
      <c r="C104" s="458" t="s">
        <v>527</v>
      </c>
      <c r="D104" s="459" t="s">
        <v>7628</v>
      </c>
      <c r="E104" s="181" t="s">
        <v>7631</v>
      </c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</row>
    <row r="105">
      <c r="A105" s="528" t="s">
        <v>7642</v>
      </c>
      <c r="B105" s="529"/>
      <c r="C105" s="529"/>
      <c r="D105" s="108"/>
      <c r="E105" s="530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</row>
    <row r="106">
      <c r="A106" s="514" t="s">
        <v>4615</v>
      </c>
      <c r="B106" s="524" t="s">
        <v>7644</v>
      </c>
      <c r="C106" s="524" t="s">
        <v>527</v>
      </c>
      <c r="D106" s="459" t="s">
        <v>7645</v>
      </c>
      <c r="E106" s="179"/>
      <c r="F106" s="454" t="s">
        <v>7649</v>
      </c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</row>
    <row r="107">
      <c r="A107" s="471" t="s">
        <v>4616</v>
      </c>
      <c r="B107" s="524" t="s">
        <v>7650</v>
      </c>
      <c r="C107" s="524" t="s">
        <v>527</v>
      </c>
      <c r="D107" s="459" t="s">
        <v>7651</v>
      </c>
      <c r="E107" s="181" t="s">
        <v>7658</v>
      </c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</row>
    <row r="108">
      <c r="A108" s="471" t="s">
        <v>7661</v>
      </c>
      <c r="B108" s="524" t="s">
        <v>7662</v>
      </c>
      <c r="C108" s="524" t="s">
        <v>527</v>
      </c>
      <c r="D108" s="459" t="s">
        <v>7663</v>
      </c>
      <c r="E108" s="181" t="s">
        <v>7671</v>
      </c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</row>
    <row r="109">
      <c r="A109" s="471" t="s">
        <v>7675</v>
      </c>
      <c r="B109" s="524" t="s">
        <v>7676</v>
      </c>
      <c r="C109" s="524" t="s">
        <v>527</v>
      </c>
      <c r="D109" s="459" t="s">
        <v>7678</v>
      </c>
      <c r="E109" s="179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</row>
    <row r="110">
      <c r="A110" s="471" t="s">
        <v>4631</v>
      </c>
      <c r="B110" s="524" t="s">
        <v>7687</v>
      </c>
      <c r="C110" s="524" t="s">
        <v>527</v>
      </c>
      <c r="D110" s="466" t="s">
        <v>7688</v>
      </c>
      <c r="E110" s="181" t="s">
        <v>7691</v>
      </c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</row>
    <row r="111">
      <c r="A111" s="471" t="s">
        <v>7695</v>
      </c>
      <c r="B111" s="533"/>
      <c r="C111" s="524" t="s">
        <v>527</v>
      </c>
      <c r="D111" s="68"/>
      <c r="E111" s="179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</row>
    <row r="112">
      <c r="A112" s="471" t="s">
        <v>7700</v>
      </c>
      <c r="B112" s="524" t="s">
        <v>7701</v>
      </c>
      <c r="C112" s="524" t="s">
        <v>527</v>
      </c>
      <c r="D112" s="459" t="s">
        <v>7702</v>
      </c>
      <c r="E112" s="181" t="s">
        <v>7705</v>
      </c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</row>
    <row r="113">
      <c r="A113" s="471" t="s">
        <v>2714</v>
      </c>
      <c r="B113" s="524" t="s">
        <v>7711</v>
      </c>
      <c r="C113" s="524" t="s">
        <v>527</v>
      </c>
      <c r="D113" s="466" t="s">
        <v>7712</v>
      </c>
      <c r="E113" s="181" t="s">
        <v>7718</v>
      </c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</row>
    <row r="114">
      <c r="A114" s="471" t="s">
        <v>7722</v>
      </c>
      <c r="B114" s="524" t="s">
        <v>7724</v>
      </c>
      <c r="C114" s="524" t="s">
        <v>527</v>
      </c>
      <c r="D114" s="459" t="s">
        <v>7725</v>
      </c>
      <c r="E114" s="181" t="s">
        <v>7730</v>
      </c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</row>
    <row r="115">
      <c r="A115" s="471" t="s">
        <v>4644</v>
      </c>
      <c r="B115" s="524" t="s">
        <v>7734</v>
      </c>
      <c r="C115" s="524" t="s">
        <v>527</v>
      </c>
      <c r="D115" s="466" t="s">
        <v>7735</v>
      </c>
      <c r="E115" s="181" t="s">
        <v>7738</v>
      </c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</row>
    <row r="116">
      <c r="A116" s="471" t="s">
        <v>7743</v>
      </c>
      <c r="B116" s="524" t="s">
        <v>7745</v>
      </c>
      <c r="C116" s="524" t="s">
        <v>527</v>
      </c>
      <c r="D116" s="459" t="s">
        <v>7747</v>
      </c>
      <c r="E116" s="181" t="s">
        <v>7753</v>
      </c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</row>
    <row r="117">
      <c r="A117" s="471" t="s">
        <v>7754</v>
      </c>
      <c r="B117" s="524" t="s">
        <v>7755</v>
      </c>
      <c r="C117" s="524" t="s">
        <v>527</v>
      </c>
      <c r="D117" s="459" t="s">
        <v>7757</v>
      </c>
      <c r="E117" s="181" t="s">
        <v>7764</v>
      </c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</row>
    <row r="118">
      <c r="A118" s="471" t="s">
        <v>7769</v>
      </c>
      <c r="B118" s="524" t="s">
        <v>7588</v>
      </c>
      <c r="C118" s="524" t="s">
        <v>527</v>
      </c>
      <c r="D118" s="466" t="s">
        <v>7770</v>
      </c>
      <c r="E118" s="181" t="s">
        <v>7772</v>
      </c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</row>
    <row r="119">
      <c r="A119" s="471" t="s">
        <v>3473</v>
      </c>
      <c r="B119" s="524" t="s">
        <v>7781</v>
      </c>
      <c r="C119" s="524" t="s">
        <v>527</v>
      </c>
      <c r="D119" s="459" t="s">
        <v>7784</v>
      </c>
      <c r="E119" s="181" t="s">
        <v>7787</v>
      </c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</row>
    <row r="120">
      <c r="A120" s="471" t="s">
        <v>3479</v>
      </c>
      <c r="B120" s="524" t="s">
        <v>7793</v>
      </c>
      <c r="C120" s="524" t="s">
        <v>527</v>
      </c>
      <c r="D120" s="466" t="s">
        <v>7794</v>
      </c>
      <c r="E120" s="181" t="s">
        <v>7800</v>
      </c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</row>
    <row r="121">
      <c r="A121" s="538" t="s">
        <v>7805</v>
      </c>
      <c r="B121" s="524" t="s">
        <v>7809</v>
      </c>
      <c r="C121" s="524" t="s">
        <v>527</v>
      </c>
      <c r="D121" s="459" t="s">
        <v>7810</v>
      </c>
      <c r="E121" s="181" t="s">
        <v>7811</v>
      </c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</row>
    <row r="122">
      <c r="A122" s="514" t="s">
        <v>7813</v>
      </c>
      <c r="B122" s="524" t="s">
        <v>7815</v>
      </c>
      <c r="C122" s="524" t="s">
        <v>527</v>
      </c>
      <c r="D122" s="466" t="s">
        <v>7817</v>
      </c>
      <c r="E122" s="181" t="s">
        <v>7820</v>
      </c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</row>
    <row r="123">
      <c r="A123" s="471" t="s">
        <v>7827</v>
      </c>
      <c r="B123" s="524" t="s">
        <v>7829</v>
      </c>
      <c r="C123" s="524" t="s">
        <v>527</v>
      </c>
      <c r="D123" s="459" t="s">
        <v>7831</v>
      </c>
      <c r="E123" s="181" t="s">
        <v>7833</v>
      </c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</row>
    <row r="124">
      <c r="A124" s="471" t="s">
        <v>7838</v>
      </c>
      <c r="B124" s="524" t="s">
        <v>7839</v>
      </c>
      <c r="C124" s="524" t="s">
        <v>527</v>
      </c>
      <c r="D124" s="459" t="s">
        <v>7841</v>
      </c>
      <c r="E124" s="181" t="s">
        <v>7845</v>
      </c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</row>
    <row r="125">
      <c r="A125" s="471" t="s">
        <v>7852</v>
      </c>
      <c r="B125" s="524" t="s">
        <v>7853</v>
      </c>
      <c r="C125" s="524" t="s">
        <v>527</v>
      </c>
      <c r="D125" s="459" t="s">
        <v>3177</v>
      </c>
      <c r="E125" s="181" t="s">
        <v>3183</v>
      </c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</row>
    <row r="126">
      <c r="A126" s="471" t="s">
        <v>1659</v>
      </c>
      <c r="B126" s="524" t="s">
        <v>7863</v>
      </c>
      <c r="C126" s="524" t="s">
        <v>527</v>
      </c>
      <c r="D126" s="459" t="s">
        <v>7864</v>
      </c>
      <c r="E126" s="179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</row>
    <row r="127">
      <c r="A127" s="471" t="s">
        <v>7871</v>
      </c>
      <c r="B127" s="524" t="s">
        <v>7872</v>
      </c>
      <c r="C127" s="524" t="s">
        <v>527</v>
      </c>
      <c r="D127" s="466" t="s">
        <v>7873</v>
      </c>
      <c r="E127" s="181" t="s">
        <v>7877</v>
      </c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</row>
    <row r="128">
      <c r="A128" s="471" t="s">
        <v>7880</v>
      </c>
      <c r="B128" s="524" t="s">
        <v>7881</v>
      </c>
      <c r="C128" s="524" t="s">
        <v>527</v>
      </c>
      <c r="D128" s="466" t="s">
        <v>7882</v>
      </c>
      <c r="E128" s="181" t="s">
        <v>7883</v>
      </c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</row>
    <row r="129">
      <c r="A129" s="471" t="s">
        <v>3521</v>
      </c>
      <c r="B129" s="524" t="s">
        <v>7885</v>
      </c>
      <c r="C129" s="524" t="s">
        <v>527</v>
      </c>
      <c r="D129" s="466" t="s">
        <v>7886</v>
      </c>
      <c r="E129" s="181" t="s">
        <v>7890</v>
      </c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</row>
    <row r="130">
      <c r="A130" s="471" t="s">
        <v>7892</v>
      </c>
      <c r="B130" s="524" t="s">
        <v>7893</v>
      </c>
      <c r="C130" s="524" t="s">
        <v>527</v>
      </c>
      <c r="D130" s="459" t="s">
        <v>7894</v>
      </c>
      <c r="E130" s="181" t="s">
        <v>7897</v>
      </c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</row>
    <row r="131">
      <c r="A131" s="471" t="s">
        <v>2846</v>
      </c>
      <c r="B131" s="524" t="s">
        <v>7904</v>
      </c>
      <c r="C131" s="524" t="s">
        <v>527</v>
      </c>
      <c r="D131" s="459" t="s">
        <v>7906</v>
      </c>
      <c r="E131" s="181" t="s">
        <v>7910</v>
      </c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</row>
    <row r="132">
      <c r="A132" s="471" t="s">
        <v>7915</v>
      </c>
      <c r="B132" s="524" t="s">
        <v>7916</v>
      </c>
      <c r="C132" s="524" t="s">
        <v>527</v>
      </c>
      <c r="D132" s="459" t="s">
        <v>7917</v>
      </c>
      <c r="E132" s="181" t="s">
        <v>7918</v>
      </c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</row>
    <row r="133">
      <c r="A133" s="471" t="s">
        <v>7924</v>
      </c>
      <c r="B133" s="533"/>
      <c r="C133" s="524" t="s">
        <v>527</v>
      </c>
      <c r="D133" s="68"/>
      <c r="E133" s="179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</row>
    <row r="134">
      <c r="A134" s="471" t="s">
        <v>7927</v>
      </c>
      <c r="B134" s="524" t="s">
        <v>7928</v>
      </c>
      <c r="C134" s="524" t="s">
        <v>527</v>
      </c>
      <c r="D134" s="459" t="s">
        <v>7929</v>
      </c>
      <c r="E134" s="181" t="s">
        <v>7931</v>
      </c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</row>
    <row r="135">
      <c r="A135" s="471" t="s">
        <v>7937</v>
      </c>
      <c r="B135" s="533"/>
      <c r="C135" s="524" t="s">
        <v>527</v>
      </c>
      <c r="D135" s="68"/>
      <c r="E135" s="179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</row>
    <row r="136">
      <c r="A136" s="471" t="s">
        <v>7943</v>
      </c>
      <c r="B136" s="524" t="s">
        <v>7944</v>
      </c>
      <c r="C136" s="524" t="s">
        <v>527</v>
      </c>
      <c r="D136" s="459" t="s">
        <v>7945</v>
      </c>
      <c r="E136" s="181" t="s">
        <v>7948</v>
      </c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</row>
    <row r="137">
      <c r="A137" s="471" t="s">
        <v>4698</v>
      </c>
      <c r="B137" s="524" t="s">
        <v>7951</v>
      </c>
      <c r="C137" s="524" t="s">
        <v>527</v>
      </c>
      <c r="D137" s="466" t="s">
        <v>7952</v>
      </c>
      <c r="E137" s="181" t="s">
        <v>7956</v>
      </c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</row>
    <row r="138">
      <c r="A138" s="471" t="s">
        <v>7957</v>
      </c>
      <c r="B138" s="524" t="s">
        <v>7958</v>
      </c>
      <c r="C138" s="524" t="s">
        <v>527</v>
      </c>
      <c r="D138" s="459" t="s">
        <v>7961</v>
      </c>
      <c r="E138" s="181" t="s">
        <v>7964</v>
      </c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</row>
    <row r="139">
      <c r="A139" s="471" t="s">
        <v>7969</v>
      </c>
      <c r="B139" s="533"/>
      <c r="C139" s="524" t="s">
        <v>527</v>
      </c>
      <c r="D139" s="68"/>
      <c r="E139" s="179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</row>
    <row r="140">
      <c r="A140" s="471" t="s">
        <v>7974</v>
      </c>
      <c r="B140" s="524" t="s">
        <v>7975</v>
      </c>
      <c r="C140" s="524" t="s">
        <v>527</v>
      </c>
      <c r="D140" s="459" t="s">
        <v>7976</v>
      </c>
      <c r="E140" s="181" t="s">
        <v>7981</v>
      </c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</row>
    <row r="141">
      <c r="A141" s="471" t="s">
        <v>1942</v>
      </c>
      <c r="B141" s="524" t="s">
        <v>7988</v>
      </c>
      <c r="C141" s="524" t="s">
        <v>527</v>
      </c>
      <c r="D141" s="459" t="s">
        <v>7989</v>
      </c>
      <c r="E141" s="181" t="s">
        <v>7990</v>
      </c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</row>
    <row r="142">
      <c r="A142" s="471" t="s">
        <v>7995</v>
      </c>
      <c r="B142" s="524" t="s">
        <v>7997</v>
      </c>
      <c r="C142" s="524" t="s">
        <v>527</v>
      </c>
      <c r="D142" s="466" t="s">
        <v>7998</v>
      </c>
      <c r="E142" s="181" t="s">
        <v>8001</v>
      </c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</row>
    <row r="143">
      <c r="A143" s="471" t="s">
        <v>8004</v>
      </c>
      <c r="B143" s="524" t="s">
        <v>8005</v>
      </c>
      <c r="C143" s="524" t="s">
        <v>527</v>
      </c>
      <c r="D143" s="459" t="s">
        <v>8007</v>
      </c>
      <c r="E143" s="181" t="s">
        <v>8011</v>
      </c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</row>
    <row r="144">
      <c r="A144" s="514" t="s">
        <v>8016</v>
      </c>
      <c r="B144" s="524" t="s">
        <v>8017</v>
      </c>
      <c r="C144" s="524" t="s">
        <v>527</v>
      </c>
      <c r="D144" s="459" t="s">
        <v>8018</v>
      </c>
      <c r="E144" s="179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</row>
    <row r="145">
      <c r="A145" s="471" t="s">
        <v>345</v>
      </c>
      <c r="B145" s="454" t="s">
        <v>8022</v>
      </c>
      <c r="C145" s="524" t="s">
        <v>527</v>
      </c>
      <c r="D145" s="466" t="s">
        <v>8023</v>
      </c>
      <c r="E145" s="179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</row>
    <row r="146">
      <c r="A146" s="471" t="s">
        <v>8028</v>
      </c>
      <c r="B146" s="524" t="s">
        <v>8029</v>
      </c>
      <c r="C146" s="524" t="s">
        <v>527</v>
      </c>
      <c r="D146" s="466" t="s">
        <v>8030</v>
      </c>
      <c r="E146" s="181" t="s">
        <v>8035</v>
      </c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</row>
    <row r="147">
      <c r="A147" s="471" t="s">
        <v>477</v>
      </c>
      <c r="B147" s="524" t="s">
        <v>8038</v>
      </c>
      <c r="C147" s="524" t="s">
        <v>527</v>
      </c>
      <c r="D147" s="466" t="s">
        <v>8040</v>
      </c>
      <c r="E147" s="179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</row>
    <row r="148">
      <c r="A148" s="471" t="s">
        <v>8044</v>
      </c>
      <c r="B148" s="533"/>
      <c r="C148" s="524" t="s">
        <v>527</v>
      </c>
      <c r="D148" s="68"/>
      <c r="E148" s="179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</row>
    <row r="149">
      <c r="A149" s="471" t="s">
        <v>8048</v>
      </c>
      <c r="B149" s="524" t="s">
        <v>8049</v>
      </c>
      <c r="C149" s="524" t="s">
        <v>527</v>
      </c>
      <c r="D149" s="466" t="s">
        <v>8050</v>
      </c>
      <c r="E149" s="181" t="s">
        <v>8052</v>
      </c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</row>
    <row r="150">
      <c r="A150" s="471" t="s">
        <v>7578</v>
      </c>
      <c r="B150" s="524" t="s">
        <v>8057</v>
      </c>
      <c r="C150" s="524" t="s">
        <v>527</v>
      </c>
      <c r="D150" s="466" t="s">
        <v>7580</v>
      </c>
      <c r="E150" s="181" t="s">
        <v>8058</v>
      </c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</row>
    <row r="151">
      <c r="A151" s="471" t="s">
        <v>4721</v>
      </c>
      <c r="B151" s="524" t="s">
        <v>8061</v>
      </c>
      <c r="C151" s="524" t="s">
        <v>527</v>
      </c>
      <c r="D151" s="466" t="s">
        <v>8063</v>
      </c>
      <c r="E151" s="181" t="s">
        <v>8065</v>
      </c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</row>
    <row r="152">
      <c r="A152" s="471" t="s">
        <v>8073</v>
      </c>
      <c r="B152" s="524" t="s">
        <v>8075</v>
      </c>
      <c r="C152" s="524" t="s">
        <v>527</v>
      </c>
      <c r="D152" s="466" t="s">
        <v>8077</v>
      </c>
      <c r="E152" s="181" t="s">
        <v>8084</v>
      </c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</row>
    <row r="153">
      <c r="A153" s="471" t="s">
        <v>8085</v>
      </c>
      <c r="B153" s="524" t="s">
        <v>8086</v>
      </c>
      <c r="C153" s="524" t="s">
        <v>527</v>
      </c>
      <c r="D153" s="466" t="s">
        <v>8087</v>
      </c>
      <c r="E153" s="179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</row>
    <row r="154">
      <c r="A154" s="471" t="s">
        <v>2371</v>
      </c>
      <c r="B154" s="524" t="s">
        <v>8088</v>
      </c>
      <c r="C154" s="524" t="s">
        <v>527</v>
      </c>
      <c r="D154" s="466" t="s">
        <v>7238</v>
      </c>
      <c r="E154" s="181" t="s">
        <v>7243</v>
      </c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</row>
    <row r="155">
      <c r="A155" s="471" t="s">
        <v>8100</v>
      </c>
      <c r="B155" s="524" t="s">
        <v>8101</v>
      </c>
      <c r="C155" s="524" t="s">
        <v>527</v>
      </c>
      <c r="D155" s="466" t="s">
        <v>8103</v>
      </c>
      <c r="E155" s="181" t="s">
        <v>8106</v>
      </c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</row>
    <row r="156">
      <c r="A156" s="471" t="s">
        <v>1275</v>
      </c>
      <c r="B156" s="524" t="s">
        <v>8110</v>
      </c>
      <c r="C156" s="524" t="s">
        <v>527</v>
      </c>
      <c r="D156" s="466" t="s">
        <v>8112</v>
      </c>
      <c r="E156" s="181" t="s">
        <v>8116</v>
      </c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</row>
    <row r="157">
      <c r="A157" s="471" t="s">
        <v>8122</v>
      </c>
      <c r="B157" s="524" t="s">
        <v>3071</v>
      </c>
      <c r="C157" s="524" t="s">
        <v>147</v>
      </c>
      <c r="D157" s="466" t="s">
        <v>8123</v>
      </c>
      <c r="E157" s="181" t="s">
        <v>8129</v>
      </c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</row>
    <row r="158">
      <c r="A158" s="471" t="s">
        <v>2896</v>
      </c>
      <c r="B158" s="524" t="s">
        <v>8134</v>
      </c>
      <c r="C158" s="524" t="s">
        <v>527</v>
      </c>
      <c r="D158" s="466" t="s">
        <v>8135</v>
      </c>
      <c r="E158" s="181" t="s">
        <v>8141</v>
      </c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</row>
    <row r="159">
      <c r="A159" s="471" t="s">
        <v>2093</v>
      </c>
      <c r="B159" s="524" t="s">
        <v>8146</v>
      </c>
      <c r="C159" s="524" t="s">
        <v>527</v>
      </c>
      <c r="D159" s="466" t="s">
        <v>8148</v>
      </c>
      <c r="E159" s="181" t="s">
        <v>8153</v>
      </c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</row>
    <row r="160">
      <c r="A160" s="471" t="s">
        <v>8157</v>
      </c>
      <c r="B160" s="524" t="s">
        <v>8159</v>
      </c>
      <c r="C160" s="524" t="s">
        <v>527</v>
      </c>
      <c r="D160" s="466" t="s">
        <v>8161</v>
      </c>
      <c r="E160" s="181" t="s">
        <v>8167</v>
      </c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</row>
    <row r="161">
      <c r="A161" s="471" t="s">
        <v>4726</v>
      </c>
      <c r="B161" s="524" t="s">
        <v>8172</v>
      </c>
      <c r="C161" s="524" t="s">
        <v>147</v>
      </c>
      <c r="D161" s="466" t="s">
        <v>8173</v>
      </c>
      <c r="E161" s="179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</row>
    <row r="162">
      <c r="A162" s="471" t="s">
        <v>8181</v>
      </c>
      <c r="B162" s="524" t="s">
        <v>8182</v>
      </c>
      <c r="C162" s="524" t="s">
        <v>527</v>
      </c>
      <c r="D162" s="466" t="s">
        <v>8184</v>
      </c>
      <c r="E162" s="181" t="s">
        <v>8190</v>
      </c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</row>
    <row r="163">
      <c r="A163" s="471" t="s">
        <v>1158</v>
      </c>
      <c r="B163" s="524" t="s">
        <v>8200</v>
      </c>
      <c r="C163" s="524" t="s">
        <v>527</v>
      </c>
      <c r="D163" s="466" t="s">
        <v>8201</v>
      </c>
      <c r="E163" s="181" t="s">
        <v>8204</v>
      </c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</row>
    <row r="164">
      <c r="A164" s="471" t="s">
        <v>8208</v>
      </c>
      <c r="B164" s="524" t="s">
        <v>8209</v>
      </c>
      <c r="C164" s="524" t="s">
        <v>527</v>
      </c>
      <c r="D164" s="466" t="s">
        <v>8210</v>
      </c>
      <c r="E164" s="181" t="s">
        <v>8215</v>
      </c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</row>
    <row r="165">
      <c r="A165" s="471" t="s">
        <v>8218</v>
      </c>
      <c r="B165" s="524" t="s">
        <v>8220</v>
      </c>
      <c r="C165" s="524" t="s">
        <v>527</v>
      </c>
      <c r="D165" s="466" t="s">
        <v>8222</v>
      </c>
      <c r="E165" s="181" t="s">
        <v>8223</v>
      </c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</row>
    <row r="166">
      <c r="A166" s="471" t="s">
        <v>7262</v>
      </c>
      <c r="B166" s="454" t="s">
        <v>8230</v>
      </c>
      <c r="C166" s="524" t="s">
        <v>527</v>
      </c>
      <c r="D166" s="466" t="s">
        <v>8232</v>
      </c>
      <c r="E166" s="181" t="s">
        <v>8236</v>
      </c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</row>
    <row r="167">
      <c r="A167" s="471" t="s">
        <v>8237</v>
      </c>
      <c r="B167" s="524" t="s">
        <v>8238</v>
      </c>
      <c r="C167" s="524"/>
      <c r="D167" s="466" t="s">
        <v>8239</v>
      </c>
      <c r="E167" s="179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</row>
    <row r="168">
      <c r="A168" s="471" t="s">
        <v>8244</v>
      </c>
      <c r="B168" s="524" t="s">
        <v>8245</v>
      </c>
      <c r="C168" s="524" t="s">
        <v>527</v>
      </c>
      <c r="D168" s="466" t="s">
        <v>8247</v>
      </c>
      <c r="E168" s="181" t="s">
        <v>8254</v>
      </c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</row>
    <row r="169">
      <c r="A169" s="471" t="s">
        <v>569</v>
      </c>
      <c r="B169" s="524" t="s">
        <v>8255</v>
      </c>
      <c r="C169" s="524" t="s">
        <v>527</v>
      </c>
      <c r="D169" s="466" t="s">
        <v>8256</v>
      </c>
      <c r="E169" s="181" t="s">
        <v>8257</v>
      </c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</row>
    <row r="170">
      <c r="A170" s="471" t="s">
        <v>8259</v>
      </c>
      <c r="B170" s="524" t="s">
        <v>8260</v>
      </c>
      <c r="C170" s="524" t="s">
        <v>527</v>
      </c>
      <c r="D170" s="466" t="s">
        <v>8261</v>
      </c>
      <c r="E170" s="181" t="s">
        <v>8263</v>
      </c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</row>
    <row r="171" hidden="1">
      <c r="A171" s="471" t="s">
        <v>362</v>
      </c>
      <c r="B171" s="524" t="s">
        <v>8267</v>
      </c>
      <c r="C171" s="524" t="s">
        <v>527</v>
      </c>
      <c r="D171" s="466" t="s">
        <v>8268</v>
      </c>
      <c r="E171" s="181" t="s">
        <v>8270</v>
      </c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</row>
    <row r="172">
      <c r="A172" s="471" t="s">
        <v>3962</v>
      </c>
      <c r="B172" s="524" t="s">
        <v>8275</v>
      </c>
      <c r="C172" s="524" t="s">
        <v>527</v>
      </c>
      <c r="D172" s="466" t="s">
        <v>8276</v>
      </c>
      <c r="E172" s="181" t="s">
        <v>8278</v>
      </c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</row>
    <row r="173">
      <c r="A173" s="548" t="s">
        <v>8280</v>
      </c>
      <c r="B173" s="550" t="s">
        <v>8282</v>
      </c>
      <c r="C173" s="524" t="s">
        <v>527</v>
      </c>
      <c r="D173" s="466" t="s">
        <v>8284</v>
      </c>
      <c r="E173" s="181" t="s">
        <v>8285</v>
      </c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</row>
    <row r="174">
      <c r="A174" s="514" t="s">
        <v>8287</v>
      </c>
      <c r="B174" s="454" t="s">
        <v>8288</v>
      </c>
      <c r="C174" s="524" t="s">
        <v>527</v>
      </c>
      <c r="D174" s="466" t="s">
        <v>8289</v>
      </c>
      <c r="E174" s="181" t="s">
        <v>8294</v>
      </c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</row>
    <row r="175">
      <c r="A175" s="471" t="s">
        <v>8297</v>
      </c>
      <c r="B175" s="524" t="s">
        <v>8298</v>
      </c>
      <c r="C175" s="524" t="s">
        <v>7077</v>
      </c>
      <c r="D175" s="466" t="s">
        <v>8299</v>
      </c>
      <c r="E175" s="181" t="s">
        <v>8304</v>
      </c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</row>
    <row r="176">
      <c r="A176" s="471" t="s">
        <v>8306</v>
      </c>
      <c r="B176" s="524" t="s">
        <v>8307</v>
      </c>
      <c r="C176" s="524" t="s">
        <v>527</v>
      </c>
      <c r="D176" s="466" t="s">
        <v>8308</v>
      </c>
      <c r="E176" s="181" t="s">
        <v>8312</v>
      </c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</row>
    <row r="177">
      <c r="A177" s="471" t="s">
        <v>8313</v>
      </c>
      <c r="B177" s="524" t="s">
        <v>8314</v>
      </c>
      <c r="C177" s="524" t="s">
        <v>527</v>
      </c>
      <c r="D177" s="466" t="s">
        <v>8315</v>
      </c>
      <c r="E177" s="181" t="s">
        <v>8317</v>
      </c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</row>
    <row r="178">
      <c r="A178" s="471" t="s">
        <v>4331</v>
      </c>
      <c r="B178" s="454" t="s">
        <v>8322</v>
      </c>
      <c r="C178" s="524" t="s">
        <v>527</v>
      </c>
      <c r="D178" s="466" t="s">
        <v>8323</v>
      </c>
      <c r="E178" s="181" t="s">
        <v>8326</v>
      </c>
      <c r="F178" s="454" t="s">
        <v>8327</v>
      </c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</row>
    <row r="179">
      <c r="A179" s="471" t="s">
        <v>364</v>
      </c>
      <c r="B179" s="524" t="s">
        <v>8328</v>
      </c>
      <c r="C179" s="524" t="s">
        <v>1145</v>
      </c>
      <c r="D179" s="466" t="s">
        <v>8330</v>
      </c>
      <c r="E179" s="181" t="s">
        <v>8334</v>
      </c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</row>
    <row r="180">
      <c r="A180" s="471" t="s">
        <v>8337</v>
      </c>
      <c r="B180" s="524" t="s">
        <v>8338</v>
      </c>
      <c r="C180" s="524" t="s">
        <v>527</v>
      </c>
      <c r="D180" s="466" t="s">
        <v>8339</v>
      </c>
      <c r="E180" s="181" t="s">
        <v>8344</v>
      </c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</row>
    <row r="181">
      <c r="A181" s="471" t="s">
        <v>5049</v>
      </c>
      <c r="B181" s="524" t="s">
        <v>8346</v>
      </c>
      <c r="C181" s="524" t="s">
        <v>527</v>
      </c>
      <c r="D181" s="466" t="s">
        <v>8347</v>
      </c>
      <c r="E181" s="181" t="s">
        <v>8349</v>
      </c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</row>
    <row r="182">
      <c r="A182" s="471" t="s">
        <v>5065</v>
      </c>
      <c r="B182" s="524" t="s">
        <v>8350</v>
      </c>
      <c r="C182" s="524" t="s">
        <v>527</v>
      </c>
      <c r="D182" s="466" t="s">
        <v>8351</v>
      </c>
      <c r="E182" s="168" t="s">
        <v>8353</v>
      </c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</row>
    <row r="183">
      <c r="A183" s="471" t="s">
        <v>7149</v>
      </c>
      <c r="B183" s="524" t="s">
        <v>8355</v>
      </c>
      <c r="C183" s="524" t="s">
        <v>527</v>
      </c>
      <c r="D183" s="466" t="s">
        <v>8356</v>
      </c>
      <c r="E183" s="181" t="s">
        <v>8358</v>
      </c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</row>
    <row r="184">
      <c r="A184" s="471" t="s">
        <v>8359</v>
      </c>
      <c r="B184" s="524" t="s">
        <v>8360</v>
      </c>
      <c r="C184" s="524" t="s">
        <v>527</v>
      </c>
      <c r="D184" s="466" t="s">
        <v>8361</v>
      </c>
      <c r="E184" s="181" t="s">
        <v>8363</v>
      </c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</row>
    <row r="185">
      <c r="A185" s="471" t="s">
        <v>8365</v>
      </c>
      <c r="B185" s="524" t="s">
        <v>8366</v>
      </c>
      <c r="C185" s="524" t="s">
        <v>527</v>
      </c>
      <c r="D185" s="466" t="s">
        <v>8367</v>
      </c>
      <c r="E185" s="168" t="s">
        <v>8369</v>
      </c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</row>
    <row r="186">
      <c r="A186" s="471" t="s">
        <v>4551</v>
      </c>
      <c r="B186" s="454" t="s">
        <v>8370</v>
      </c>
      <c r="C186" s="524" t="s">
        <v>527</v>
      </c>
      <c r="D186" s="466" t="s">
        <v>8371</v>
      </c>
      <c r="E186" s="181" t="s">
        <v>8373</v>
      </c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</row>
    <row r="187">
      <c r="A187" s="471" t="s">
        <v>8375</v>
      </c>
      <c r="B187" s="524" t="s">
        <v>8376</v>
      </c>
      <c r="C187" s="524" t="s">
        <v>527</v>
      </c>
      <c r="D187" s="466" t="s">
        <v>8377</v>
      </c>
      <c r="E187" s="181" t="s">
        <v>8379</v>
      </c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</row>
    <row r="188">
      <c r="A188" s="471" t="s">
        <v>7275</v>
      </c>
      <c r="B188" s="454" t="s">
        <v>8380</v>
      </c>
      <c r="C188" s="524" t="s">
        <v>527</v>
      </c>
      <c r="D188" s="466" t="s">
        <v>8382</v>
      </c>
      <c r="E188" s="181" t="s">
        <v>8383</v>
      </c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</row>
    <row r="189">
      <c r="A189" s="471" t="s">
        <v>8385</v>
      </c>
      <c r="B189" s="454" t="s">
        <v>8386</v>
      </c>
      <c r="C189" s="524" t="s">
        <v>527</v>
      </c>
      <c r="D189" s="466" t="s">
        <v>8387</v>
      </c>
      <c r="E189" s="168" t="s">
        <v>8389</v>
      </c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</row>
    <row r="190">
      <c r="A190" s="471" t="s">
        <v>8390</v>
      </c>
      <c r="B190" s="524" t="s">
        <v>2697</v>
      </c>
      <c r="C190" s="524" t="s">
        <v>527</v>
      </c>
      <c r="D190" s="466" t="s">
        <v>8391</v>
      </c>
      <c r="E190" s="181" t="s">
        <v>8393</v>
      </c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</row>
    <row r="191">
      <c r="A191" s="471" t="s">
        <v>8395</v>
      </c>
      <c r="B191" s="524" t="s">
        <v>8396</v>
      </c>
      <c r="C191" s="524" t="s">
        <v>527</v>
      </c>
      <c r="D191" s="466" t="s">
        <v>8397</v>
      </c>
      <c r="E191" s="181" t="s">
        <v>8398</v>
      </c>
      <c r="F191" s="454" t="s">
        <v>8400</v>
      </c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</row>
    <row r="192">
      <c r="A192" s="471" t="s">
        <v>8401</v>
      </c>
      <c r="B192" s="454" t="s">
        <v>8402</v>
      </c>
      <c r="C192" s="524" t="s">
        <v>527</v>
      </c>
      <c r="D192" s="466" t="s">
        <v>8403</v>
      </c>
      <c r="E192" s="181" t="s">
        <v>8405</v>
      </c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</row>
    <row r="193">
      <c r="A193" s="471" t="s">
        <v>2872</v>
      </c>
      <c r="B193" s="524" t="s">
        <v>8407</v>
      </c>
      <c r="C193" s="524" t="s">
        <v>527</v>
      </c>
      <c r="D193" s="466" t="s">
        <v>8408</v>
      </c>
      <c r="E193" s="181" t="s">
        <v>8410</v>
      </c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</row>
    <row r="194">
      <c r="A194" s="471" t="s">
        <v>8411</v>
      </c>
      <c r="B194" s="524" t="s">
        <v>8412</v>
      </c>
      <c r="C194" s="524" t="s">
        <v>527</v>
      </c>
      <c r="D194" s="466" t="s">
        <v>8413</v>
      </c>
      <c r="E194" s="181" t="s">
        <v>8414</v>
      </c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</row>
    <row r="195">
      <c r="A195" s="471" t="s">
        <v>2986</v>
      </c>
      <c r="B195" s="524" t="s">
        <v>4741</v>
      </c>
      <c r="C195" s="524" t="s">
        <v>527</v>
      </c>
      <c r="D195" s="466" t="s">
        <v>8416</v>
      </c>
      <c r="E195" s="181" t="s">
        <v>8417</v>
      </c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</row>
    <row r="196">
      <c r="A196" s="514" t="s">
        <v>8422</v>
      </c>
      <c r="B196" s="524" t="s">
        <v>5275</v>
      </c>
      <c r="C196" s="524" t="s">
        <v>527</v>
      </c>
      <c r="D196" s="466" t="s">
        <v>8423</v>
      </c>
      <c r="E196" s="181" t="s">
        <v>8425</v>
      </c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</row>
    <row r="197">
      <c r="A197" s="471" t="s">
        <v>8428</v>
      </c>
      <c r="B197" s="524" t="s">
        <v>8429</v>
      </c>
      <c r="C197" s="524" t="s">
        <v>527</v>
      </c>
      <c r="D197" s="466" t="s">
        <v>8431</v>
      </c>
      <c r="E197" s="181" t="s">
        <v>8433</v>
      </c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</row>
    <row r="198">
      <c r="A198" s="528" t="s">
        <v>8435</v>
      </c>
      <c r="B198" s="529"/>
      <c r="C198" s="553" t="s">
        <v>527</v>
      </c>
      <c r="D198" s="108"/>
      <c r="E198" s="530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</row>
    <row r="199">
      <c r="A199" s="554" t="s">
        <v>1654</v>
      </c>
      <c r="B199" s="555" t="s">
        <v>8440</v>
      </c>
      <c r="C199" s="555" t="s">
        <v>8441</v>
      </c>
      <c r="D199" s="466" t="s">
        <v>8442</v>
      </c>
      <c r="E199" s="181" t="s">
        <v>8444</v>
      </c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</row>
    <row r="200">
      <c r="A200" s="554" t="s">
        <v>1383</v>
      </c>
      <c r="B200" s="555" t="s">
        <v>8446</v>
      </c>
      <c r="C200" s="555" t="s">
        <v>8447</v>
      </c>
      <c r="D200" s="466" t="s">
        <v>8448</v>
      </c>
      <c r="E200" s="181" t="s">
        <v>8450</v>
      </c>
      <c r="F200" s="556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</row>
    <row r="201">
      <c r="A201" s="554" t="s">
        <v>2395</v>
      </c>
      <c r="B201" s="555" t="s">
        <v>8451</v>
      </c>
      <c r="C201" s="555" t="s">
        <v>8453</v>
      </c>
      <c r="D201" s="466" t="s">
        <v>8454</v>
      </c>
      <c r="E201" s="181" t="s">
        <v>8455</v>
      </c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</row>
    <row r="202">
      <c r="A202" s="554" t="s">
        <v>1996</v>
      </c>
      <c r="B202" s="555" t="s">
        <v>8457</v>
      </c>
      <c r="C202" s="555" t="s">
        <v>8453</v>
      </c>
      <c r="D202" s="459" t="s">
        <v>8458</v>
      </c>
      <c r="E202" s="181" t="s">
        <v>8460</v>
      </c>
      <c r="F202" s="533"/>
      <c r="G202" s="524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</row>
    <row r="203">
      <c r="A203" s="554" t="s">
        <v>1718</v>
      </c>
      <c r="B203" s="555" t="s">
        <v>1729</v>
      </c>
      <c r="C203" s="555" t="s">
        <v>8447</v>
      </c>
      <c r="D203" s="466" t="s">
        <v>8462</v>
      </c>
      <c r="E203" s="181" t="s">
        <v>8463</v>
      </c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</row>
    <row r="204">
      <c r="A204" s="554" t="s">
        <v>8465</v>
      </c>
      <c r="B204" s="555" t="s">
        <v>8466</v>
      </c>
      <c r="C204" s="555" t="s">
        <v>8453</v>
      </c>
      <c r="D204" s="459" t="s">
        <v>8467</v>
      </c>
      <c r="E204" s="181" t="s">
        <v>8468</v>
      </c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</row>
    <row r="205">
      <c r="A205" s="554"/>
      <c r="B205" s="555"/>
      <c r="C205" s="555"/>
      <c r="D205" s="68"/>
      <c r="E205" s="179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</row>
    <row r="206">
      <c r="A206" s="554" t="s">
        <v>1366</v>
      </c>
      <c r="B206" s="555" t="s">
        <v>8470</v>
      </c>
      <c r="C206" s="555" t="s">
        <v>8453</v>
      </c>
      <c r="D206" s="466" t="s">
        <v>8471</v>
      </c>
      <c r="E206" s="181" t="s">
        <v>8473</v>
      </c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</row>
    <row r="207">
      <c r="A207" s="554" t="s">
        <v>2504</v>
      </c>
      <c r="B207" s="555" t="s">
        <v>8475</v>
      </c>
      <c r="C207" s="555" t="s">
        <v>8453</v>
      </c>
      <c r="D207" s="459" t="s">
        <v>8476</v>
      </c>
      <c r="E207" s="181" t="s">
        <v>8477</v>
      </c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</row>
    <row r="208">
      <c r="A208" s="554" t="s">
        <v>1536</v>
      </c>
      <c r="B208" s="555" t="s">
        <v>8482</v>
      </c>
      <c r="C208" s="555" t="s">
        <v>8453</v>
      </c>
      <c r="D208" s="459" t="s">
        <v>8483</v>
      </c>
      <c r="E208" s="181" t="s">
        <v>8485</v>
      </c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</row>
    <row r="209">
      <c r="A209" s="554" t="s">
        <v>8489</v>
      </c>
      <c r="B209" s="555" t="s">
        <v>8491</v>
      </c>
      <c r="C209" s="555" t="s">
        <v>8492</v>
      </c>
      <c r="D209" s="466" t="s">
        <v>8493</v>
      </c>
      <c r="E209" s="181" t="s">
        <v>8494</v>
      </c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</row>
    <row r="210">
      <c r="A210" s="554" t="s">
        <v>1308</v>
      </c>
      <c r="B210" s="555" t="s">
        <v>8496</v>
      </c>
      <c r="C210" s="555" t="s">
        <v>8453</v>
      </c>
      <c r="D210" s="466" t="s">
        <v>8498</v>
      </c>
      <c r="E210" s="181" t="s">
        <v>8500</v>
      </c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</row>
    <row r="211">
      <c r="A211" s="554" t="s">
        <v>2430</v>
      </c>
      <c r="B211" s="555" t="s">
        <v>8504</v>
      </c>
      <c r="C211" s="555" t="s">
        <v>8447</v>
      </c>
      <c r="D211" s="68"/>
      <c r="E211" s="179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</row>
    <row r="212">
      <c r="A212" s="554" t="s">
        <v>2456</v>
      </c>
      <c r="B212" s="555" t="s">
        <v>8507</v>
      </c>
      <c r="C212" s="555" t="s">
        <v>8453</v>
      </c>
      <c r="D212" s="459" t="s">
        <v>8508</v>
      </c>
      <c r="E212" s="181" t="s">
        <v>8509</v>
      </c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</row>
    <row r="213">
      <c r="A213" s="554" t="s">
        <v>2081</v>
      </c>
      <c r="B213" s="555" t="s">
        <v>8514</v>
      </c>
      <c r="C213" s="555" t="s">
        <v>8453</v>
      </c>
      <c r="D213" s="459" t="s">
        <v>8515</v>
      </c>
      <c r="E213" s="181" t="s">
        <v>8517</v>
      </c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</row>
    <row r="214">
      <c r="A214" s="554" t="s">
        <v>1892</v>
      </c>
      <c r="B214" s="555" t="s">
        <v>8521</v>
      </c>
      <c r="C214" s="555" t="s">
        <v>8492</v>
      </c>
      <c r="D214" s="466" t="s">
        <v>8522</v>
      </c>
      <c r="E214" s="181" t="s">
        <v>8524</v>
      </c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</row>
    <row r="215">
      <c r="A215" s="554" t="s">
        <v>1649</v>
      </c>
      <c r="B215" s="555" t="s">
        <v>8529</v>
      </c>
      <c r="C215" s="555" t="s">
        <v>2476</v>
      </c>
      <c r="D215" s="68"/>
      <c r="E215" s="179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</row>
    <row r="216">
      <c r="A216" s="554" t="s">
        <v>2515</v>
      </c>
      <c r="B216" s="555" t="s">
        <v>8530</v>
      </c>
      <c r="C216" s="555" t="s">
        <v>8453</v>
      </c>
      <c r="D216" s="459" t="s">
        <v>8531</v>
      </c>
      <c r="E216" s="181" t="s">
        <v>8533</v>
      </c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</row>
    <row r="217">
      <c r="A217" s="554" t="s">
        <v>2336</v>
      </c>
      <c r="B217" s="555" t="s">
        <v>6893</v>
      </c>
      <c r="C217" s="555" t="s">
        <v>8453</v>
      </c>
      <c r="D217" s="459" t="s">
        <v>8537</v>
      </c>
      <c r="E217" s="181" t="s">
        <v>8538</v>
      </c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</row>
    <row r="218">
      <c r="A218" s="559" t="s">
        <v>2594</v>
      </c>
      <c r="B218" s="560" t="s">
        <v>8540</v>
      </c>
      <c r="C218" s="560" t="s">
        <v>8453</v>
      </c>
      <c r="D218" s="561" t="s">
        <v>8541</v>
      </c>
      <c r="E218" s="562" t="s">
        <v>8542</v>
      </c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</row>
    <row r="219">
      <c r="A219" s="554" t="s">
        <v>1871</v>
      </c>
      <c r="B219" s="555" t="s">
        <v>8544</v>
      </c>
      <c r="C219" s="555" t="s">
        <v>8545</v>
      </c>
      <c r="D219" s="563" t="s">
        <v>8546</v>
      </c>
      <c r="E219" s="168" t="s">
        <v>8547</v>
      </c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</row>
    <row r="220">
      <c r="A220" s="554" t="s">
        <v>1354</v>
      </c>
      <c r="B220" s="555" t="s">
        <v>8549</v>
      </c>
      <c r="C220" s="555" t="s">
        <v>2476</v>
      </c>
      <c r="D220" s="466" t="s">
        <v>8550</v>
      </c>
      <c r="E220" s="181" t="s">
        <v>8552</v>
      </c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</row>
    <row r="221">
      <c r="A221" s="554" t="s">
        <v>8553</v>
      </c>
      <c r="B221" s="555" t="s">
        <v>8554</v>
      </c>
      <c r="C221" s="555" t="s">
        <v>8453</v>
      </c>
      <c r="D221" s="466" t="s">
        <v>8555</v>
      </c>
      <c r="E221" s="181" t="s">
        <v>8557</v>
      </c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</row>
    <row r="222">
      <c r="A222" s="554" t="s">
        <v>8558</v>
      </c>
      <c r="B222" s="555" t="s">
        <v>8559</v>
      </c>
      <c r="C222" s="555" t="s">
        <v>8453</v>
      </c>
      <c r="D222" s="466" t="s">
        <v>8560</v>
      </c>
      <c r="E222" s="181" t="s">
        <v>8562</v>
      </c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</row>
    <row r="223">
      <c r="A223" s="554" t="s">
        <v>2269</v>
      </c>
      <c r="B223" s="555" t="s">
        <v>8563</v>
      </c>
      <c r="C223" s="555" t="s">
        <v>8453</v>
      </c>
      <c r="D223" s="466" t="s">
        <v>8564</v>
      </c>
      <c r="E223" s="168" t="s">
        <v>8566</v>
      </c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</row>
    <row r="224">
      <c r="A224" s="554" t="s">
        <v>1525</v>
      </c>
      <c r="B224" s="555" t="s">
        <v>8567</v>
      </c>
      <c r="C224" s="555" t="s">
        <v>8453</v>
      </c>
      <c r="D224" s="466" t="s">
        <v>8568</v>
      </c>
      <c r="E224" s="181" t="s">
        <v>8569</v>
      </c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</row>
    <row r="225">
      <c r="A225" s="554" t="s">
        <v>1291</v>
      </c>
      <c r="B225" s="555" t="s">
        <v>8571</v>
      </c>
      <c r="C225" s="555" t="s">
        <v>8453</v>
      </c>
      <c r="D225" s="466" t="s">
        <v>8572</v>
      </c>
      <c r="E225" s="181" t="s">
        <v>8573</v>
      </c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</row>
    <row r="226">
      <c r="A226" s="554" t="s">
        <v>1803</v>
      </c>
      <c r="B226" s="555" t="s">
        <v>8574</v>
      </c>
      <c r="C226" s="555" t="s">
        <v>8447</v>
      </c>
      <c r="D226" s="466" t="s">
        <v>8575</v>
      </c>
      <c r="E226" s="181" t="s">
        <v>8576</v>
      </c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</row>
    <row r="227">
      <c r="A227" s="554" t="s">
        <v>1248</v>
      </c>
      <c r="B227" s="555" t="s">
        <v>8578</v>
      </c>
      <c r="C227" s="555" t="s">
        <v>2375</v>
      </c>
      <c r="D227" s="466" t="s">
        <v>8579</v>
      </c>
      <c r="E227" s="181" t="s">
        <v>8580</v>
      </c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</row>
    <row r="228">
      <c r="A228" s="554"/>
      <c r="B228" s="555"/>
      <c r="C228" s="555"/>
      <c r="D228" s="68"/>
      <c r="E228" s="179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</row>
    <row r="229">
      <c r="A229" s="554" t="s">
        <v>1210</v>
      </c>
      <c r="B229" s="555" t="s">
        <v>7064</v>
      </c>
      <c r="C229" s="555" t="s">
        <v>2476</v>
      </c>
      <c r="D229" s="466" t="s">
        <v>8583</v>
      </c>
      <c r="E229" s="181" t="s">
        <v>8585</v>
      </c>
      <c r="F229" s="454" t="s">
        <v>8586</v>
      </c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</row>
    <row r="230">
      <c r="A230" s="554" t="s">
        <v>8588</v>
      </c>
      <c r="B230" s="555" t="s">
        <v>8589</v>
      </c>
      <c r="C230" s="555" t="s">
        <v>8453</v>
      </c>
      <c r="D230" s="466" t="s">
        <v>8590</v>
      </c>
      <c r="E230" s="181" t="s">
        <v>8591</v>
      </c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</row>
    <row r="231">
      <c r="A231" s="554" t="s">
        <v>1312</v>
      </c>
      <c r="B231" s="555" t="s">
        <v>8593</v>
      </c>
      <c r="C231" s="555" t="s">
        <v>8453</v>
      </c>
      <c r="D231" s="466" t="s">
        <v>8594</v>
      </c>
      <c r="E231" s="564" t="s">
        <v>8595</v>
      </c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</row>
    <row r="232">
      <c r="A232" s="554" t="s">
        <v>1409</v>
      </c>
      <c r="B232" s="555" t="s">
        <v>8597</v>
      </c>
      <c r="C232" s="555" t="s">
        <v>8598</v>
      </c>
      <c r="D232" s="466" t="s">
        <v>8599</v>
      </c>
      <c r="E232" s="181" t="s">
        <v>8601</v>
      </c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</row>
    <row r="233">
      <c r="A233" s="554" t="s">
        <v>2412</v>
      </c>
      <c r="B233" s="555" t="s">
        <v>8602</v>
      </c>
      <c r="C233" s="555" t="s">
        <v>2375</v>
      </c>
      <c r="D233" s="466" t="s">
        <v>8603</v>
      </c>
      <c r="E233" s="168" t="s">
        <v>8605</v>
      </c>
      <c r="F233" s="178">
        <f>+919426448435</f>
        <v>919426448435</v>
      </c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</row>
    <row r="234">
      <c r="A234" s="554" t="s">
        <v>2419</v>
      </c>
      <c r="B234" s="555" t="s">
        <v>8608</v>
      </c>
      <c r="C234" s="555" t="s">
        <v>8453</v>
      </c>
      <c r="D234" s="466" t="s">
        <v>8609</v>
      </c>
      <c r="E234" s="181" t="s">
        <v>8611</v>
      </c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</row>
    <row r="235">
      <c r="A235" s="554" t="s">
        <v>1785</v>
      </c>
      <c r="B235" s="555" t="s">
        <v>1794</v>
      </c>
      <c r="C235" s="555" t="s">
        <v>8612</v>
      </c>
      <c r="D235" s="466" t="s">
        <v>1795</v>
      </c>
      <c r="E235" s="181" t="s">
        <v>1798</v>
      </c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</row>
    <row r="236">
      <c r="A236" s="554" t="s">
        <v>2536</v>
      </c>
      <c r="B236" s="555" t="s">
        <v>8615</v>
      </c>
      <c r="C236" s="555" t="s">
        <v>8616</v>
      </c>
      <c r="D236" s="466" t="s">
        <v>8617</v>
      </c>
      <c r="E236" s="181" t="s">
        <v>8619</v>
      </c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</row>
    <row r="237">
      <c r="A237" s="554" t="s">
        <v>2486</v>
      </c>
      <c r="B237" s="555" t="s">
        <v>8620</v>
      </c>
      <c r="C237" s="555" t="s">
        <v>8453</v>
      </c>
      <c r="D237" s="466" t="s">
        <v>8621</v>
      </c>
      <c r="E237" s="181" t="s">
        <v>8622</v>
      </c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</row>
    <row r="238">
      <c r="A238" s="554" t="s">
        <v>1330</v>
      </c>
      <c r="B238" s="555" t="s">
        <v>8623</v>
      </c>
      <c r="C238" s="555" t="s">
        <v>8447</v>
      </c>
      <c r="D238" s="466" t="s">
        <v>8624</v>
      </c>
      <c r="E238" s="564" t="s">
        <v>8625</v>
      </c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</row>
    <row r="239">
      <c r="A239" s="554" t="s">
        <v>1447</v>
      </c>
      <c r="B239" s="555" t="s">
        <v>8626</v>
      </c>
      <c r="C239" s="555" t="s">
        <v>8627</v>
      </c>
      <c r="D239" s="466" t="s">
        <v>8628</v>
      </c>
      <c r="E239" s="181" t="s">
        <v>8629</v>
      </c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</row>
    <row r="240">
      <c r="A240" s="554" t="s">
        <v>2315</v>
      </c>
      <c r="B240" s="555" t="s">
        <v>8630</v>
      </c>
      <c r="C240" s="555" t="s">
        <v>8631</v>
      </c>
      <c r="D240" s="466" t="s">
        <v>8632</v>
      </c>
      <c r="E240" s="181" t="s">
        <v>8633</v>
      </c>
      <c r="F240" s="68"/>
      <c r="G240" s="454" t="s">
        <v>8634</v>
      </c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</row>
    <row r="241">
      <c r="A241" s="554" t="s">
        <v>2349</v>
      </c>
      <c r="B241" s="555" t="s">
        <v>8635</v>
      </c>
      <c r="C241" s="555" t="s">
        <v>8636</v>
      </c>
      <c r="D241" s="466" t="s">
        <v>8637</v>
      </c>
      <c r="E241" s="168" t="s">
        <v>8638</v>
      </c>
      <c r="F241" s="178">
        <f>+359899986002</f>
        <v>359899986002</v>
      </c>
      <c r="G241" s="168" t="s">
        <v>8639</v>
      </c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</row>
    <row r="242">
      <c r="A242" s="554" t="s">
        <v>1303</v>
      </c>
      <c r="B242" s="555" t="s">
        <v>8640</v>
      </c>
      <c r="C242" s="181" t="s">
        <v>2476</v>
      </c>
      <c r="D242" s="466" t="s">
        <v>8641</v>
      </c>
      <c r="E242" s="87" t="s">
        <v>8642</v>
      </c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</row>
    <row r="243">
      <c r="A243" s="554" t="s">
        <v>1556</v>
      </c>
      <c r="B243" s="555" t="s">
        <v>1562</v>
      </c>
      <c r="C243" s="555" t="s">
        <v>8453</v>
      </c>
      <c r="D243" s="466" t="s">
        <v>1564</v>
      </c>
      <c r="E243" s="168" t="s">
        <v>1570</v>
      </c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</row>
    <row r="244">
      <c r="A244" s="554" t="s">
        <v>2434</v>
      </c>
      <c r="B244" s="555" t="s">
        <v>8643</v>
      </c>
      <c r="C244" s="555" t="s">
        <v>8453</v>
      </c>
      <c r="D244" s="466" t="s">
        <v>8644</v>
      </c>
      <c r="E244" s="181" t="s">
        <v>8645</v>
      </c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</row>
    <row r="245">
      <c r="A245" s="554" t="s">
        <v>1225</v>
      </c>
      <c r="B245" s="555" t="s">
        <v>8646</v>
      </c>
      <c r="C245" s="555" t="s">
        <v>2375</v>
      </c>
      <c r="D245" s="466" t="s">
        <v>8647</v>
      </c>
      <c r="E245" s="181" t="s">
        <v>8648</v>
      </c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</row>
    <row r="246">
      <c r="A246" s="554" t="s">
        <v>2469</v>
      </c>
      <c r="B246" s="555" t="s">
        <v>8649</v>
      </c>
      <c r="C246" s="555" t="s">
        <v>2375</v>
      </c>
      <c r="D246" s="68"/>
      <c r="E246" s="179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</row>
    <row r="247">
      <c r="A247" s="554" t="s">
        <v>8650</v>
      </c>
      <c r="B247" s="555" t="s">
        <v>8651</v>
      </c>
      <c r="C247" s="555" t="s">
        <v>2476</v>
      </c>
      <c r="D247" s="68"/>
      <c r="E247" s="179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</row>
    <row r="248">
      <c r="A248" s="554" t="s">
        <v>1812</v>
      </c>
      <c r="B248" s="555" t="s">
        <v>8652</v>
      </c>
      <c r="C248" s="555" t="s">
        <v>2476</v>
      </c>
      <c r="D248" s="68"/>
      <c r="E248" s="179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</row>
    <row r="249">
      <c r="A249" s="554" t="s">
        <v>2005</v>
      </c>
      <c r="B249" s="555" t="s">
        <v>8653</v>
      </c>
      <c r="C249" s="555" t="s">
        <v>2375</v>
      </c>
      <c r="D249" s="68"/>
      <c r="E249" s="179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</row>
    <row r="250">
      <c r="A250" s="554"/>
      <c r="B250" s="555"/>
      <c r="C250" s="555"/>
      <c r="D250" s="68"/>
      <c r="E250" s="179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</row>
    <row r="251">
      <c r="A251" s="554" t="s">
        <v>2279</v>
      </c>
      <c r="B251" s="555" t="s">
        <v>8654</v>
      </c>
      <c r="C251" s="555" t="s">
        <v>8655</v>
      </c>
      <c r="D251" s="68"/>
      <c r="E251" s="179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</row>
    <row r="252">
      <c r="A252" s="554" t="s">
        <v>1203</v>
      </c>
      <c r="B252" s="555" t="s">
        <v>8656</v>
      </c>
      <c r="C252" s="555" t="s">
        <v>8453</v>
      </c>
      <c r="D252" s="68"/>
      <c r="E252" s="179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</row>
    <row r="253">
      <c r="A253" s="554" t="s">
        <v>2246</v>
      </c>
      <c r="B253" s="555" t="s">
        <v>8657</v>
      </c>
      <c r="C253" s="555" t="s">
        <v>8453</v>
      </c>
      <c r="D253" s="68"/>
      <c r="E253" s="179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</row>
    <row r="254">
      <c r="A254" s="554" t="s">
        <v>1370</v>
      </c>
      <c r="B254" s="555" t="s">
        <v>8658</v>
      </c>
      <c r="C254" s="555" t="s">
        <v>8453</v>
      </c>
      <c r="D254" s="466" t="s">
        <v>8659</v>
      </c>
      <c r="E254" s="181" t="s">
        <v>8660</v>
      </c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</row>
    <row r="255">
      <c r="A255" s="554" t="s">
        <v>2598</v>
      </c>
      <c r="B255" s="555" t="s">
        <v>8661</v>
      </c>
      <c r="C255" s="555" t="s">
        <v>8453</v>
      </c>
      <c r="D255" s="466" t="s">
        <v>8662</v>
      </c>
      <c r="E255" s="168" t="s">
        <v>8663</v>
      </c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</row>
    <row r="256">
      <c r="A256" s="554" t="s">
        <v>1372</v>
      </c>
      <c r="B256" s="555" t="s">
        <v>8664</v>
      </c>
      <c r="C256" s="555" t="s">
        <v>2476</v>
      </c>
      <c r="D256" s="466" t="s">
        <v>8665</v>
      </c>
      <c r="E256" s="168" t="s">
        <v>8666</v>
      </c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</row>
    <row r="257">
      <c r="A257" s="554" t="s">
        <v>1861</v>
      </c>
      <c r="B257" s="555" t="s">
        <v>8667</v>
      </c>
      <c r="C257" s="555" t="s">
        <v>8447</v>
      </c>
      <c r="D257" s="466" t="s">
        <v>8668</v>
      </c>
      <c r="E257" s="181" t="s">
        <v>8669</v>
      </c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</row>
    <row r="258">
      <c r="A258" s="554" t="s">
        <v>2365</v>
      </c>
      <c r="B258" s="555" t="s">
        <v>8670</v>
      </c>
      <c r="C258" s="555" t="s">
        <v>8453</v>
      </c>
      <c r="D258" s="466" t="s">
        <v>8671</v>
      </c>
      <c r="E258" s="181" t="s">
        <v>8672</v>
      </c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</row>
    <row r="259">
      <c r="A259" s="554" t="s">
        <v>2326</v>
      </c>
      <c r="B259" s="555" t="s">
        <v>8673</v>
      </c>
      <c r="C259" s="555" t="s">
        <v>8453</v>
      </c>
      <c r="D259" s="466" t="s">
        <v>8674</v>
      </c>
      <c r="E259" s="181" t="s">
        <v>8675</v>
      </c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</row>
    <row r="260">
      <c r="A260" s="554" t="s">
        <v>2437</v>
      </c>
      <c r="B260" s="555" t="s">
        <v>8676</v>
      </c>
      <c r="C260" s="555" t="s">
        <v>8447</v>
      </c>
      <c r="D260" s="466" t="s">
        <v>8677</v>
      </c>
      <c r="E260" s="181" t="s">
        <v>8678</v>
      </c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</row>
    <row r="261">
      <c r="A261" s="554" t="s">
        <v>1282</v>
      </c>
      <c r="B261" s="555" t="s">
        <v>8679</v>
      </c>
      <c r="C261" s="555" t="s">
        <v>8453</v>
      </c>
      <c r="D261" s="466" t="s">
        <v>8680</v>
      </c>
      <c r="E261" s="181" t="s">
        <v>8681</v>
      </c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</row>
    <row r="262">
      <c r="A262" s="554" t="s">
        <v>2497</v>
      </c>
      <c r="B262" s="555" t="s">
        <v>8682</v>
      </c>
      <c r="C262" s="555" t="s">
        <v>8453</v>
      </c>
      <c r="D262" s="466" t="s">
        <v>8683</v>
      </c>
      <c r="E262" s="181" t="s">
        <v>8684</v>
      </c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</row>
    <row r="263">
      <c r="A263" s="554" t="s">
        <v>1259</v>
      </c>
      <c r="B263" s="555" t="s">
        <v>8685</v>
      </c>
      <c r="C263" s="555" t="s">
        <v>8447</v>
      </c>
      <c r="D263" s="68"/>
      <c r="E263" s="179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</row>
    <row r="264">
      <c r="A264" s="554" t="s">
        <v>2266</v>
      </c>
      <c r="B264" s="555" t="s">
        <v>8686</v>
      </c>
      <c r="C264" s="555" t="s">
        <v>8453</v>
      </c>
      <c r="D264" s="68"/>
      <c r="E264" s="179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</row>
    <row r="265">
      <c r="A265" s="554" t="s">
        <v>1269</v>
      </c>
      <c r="B265" s="555" t="s">
        <v>8687</v>
      </c>
      <c r="C265" s="555" t="s">
        <v>8598</v>
      </c>
      <c r="D265" s="466" t="s">
        <v>8688</v>
      </c>
      <c r="E265" s="181" t="s">
        <v>8689</v>
      </c>
      <c r="F265" s="454" t="s">
        <v>8690</v>
      </c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</row>
    <row r="266">
      <c r="A266" s="554" t="s">
        <v>2610</v>
      </c>
      <c r="B266" s="555" t="s">
        <v>8691</v>
      </c>
      <c r="C266" s="555" t="s">
        <v>8598</v>
      </c>
      <c r="D266" s="466" t="s">
        <v>8692</v>
      </c>
      <c r="E266" s="168" t="s">
        <v>8693</v>
      </c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</row>
    <row r="267">
      <c r="A267" s="554"/>
      <c r="B267" s="555"/>
      <c r="C267" s="555"/>
      <c r="D267" s="68"/>
      <c r="E267" s="179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</row>
    <row r="268">
      <c r="A268" s="554" t="s">
        <v>1418</v>
      </c>
      <c r="B268" s="555" t="s">
        <v>8694</v>
      </c>
      <c r="C268" s="555" t="s">
        <v>8695</v>
      </c>
      <c r="D268" s="466" t="s">
        <v>8696</v>
      </c>
      <c r="E268" s="168" t="s">
        <v>8697</v>
      </c>
      <c r="F268" s="68"/>
      <c r="G268" s="168" t="s">
        <v>8698</v>
      </c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</row>
    <row r="269">
      <c r="A269" s="554"/>
      <c r="B269" s="555"/>
      <c r="C269" s="555"/>
      <c r="D269" s="68"/>
      <c r="E269" s="179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</row>
    <row r="270">
      <c r="A270" s="554" t="s">
        <v>1345</v>
      </c>
      <c r="B270" s="555" t="s">
        <v>8699</v>
      </c>
      <c r="C270" s="555" t="s">
        <v>8453</v>
      </c>
      <c r="D270" s="466" t="s">
        <v>8700</v>
      </c>
      <c r="E270" s="181" t="s">
        <v>8701</v>
      </c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</row>
    <row r="271">
      <c r="A271" s="554" t="s">
        <v>8702</v>
      </c>
      <c r="B271" s="555" t="s">
        <v>8703</v>
      </c>
      <c r="C271" s="555" t="s">
        <v>8453</v>
      </c>
      <c r="D271" s="466" t="s">
        <v>8704</v>
      </c>
      <c r="E271" s="181" t="s">
        <v>8705</v>
      </c>
      <c r="F271" s="178">
        <f>+919819658686</f>
        <v>919819658686</v>
      </c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</row>
    <row r="272">
      <c r="A272" s="554" t="s">
        <v>1388</v>
      </c>
      <c r="B272" s="555" t="s">
        <v>8706</v>
      </c>
      <c r="C272" s="555" t="s">
        <v>8453</v>
      </c>
      <c r="D272" s="466" t="s">
        <v>8707</v>
      </c>
      <c r="E272" s="168" t="s">
        <v>8708</v>
      </c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</row>
    <row r="273">
      <c r="A273" s="554" t="s">
        <v>2601</v>
      </c>
      <c r="B273" s="555" t="s">
        <v>8709</v>
      </c>
      <c r="C273" s="555" t="s">
        <v>527</v>
      </c>
      <c r="D273" s="466" t="s">
        <v>8710</v>
      </c>
      <c r="E273" s="168" t="s">
        <v>8711</v>
      </c>
      <c r="F273" s="178">
        <f>+919833965629</f>
        <v>919833965629</v>
      </c>
      <c r="G273" s="168" t="s">
        <v>8712</v>
      </c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</row>
    <row r="274">
      <c r="A274" s="132" t="s">
        <v>8713</v>
      </c>
      <c r="B274" s="134" t="s">
        <v>5586</v>
      </c>
      <c r="C274" s="87" t="s">
        <v>527</v>
      </c>
      <c r="D274" s="136" t="s">
        <v>8714</v>
      </c>
      <c r="E274" s="181" t="s">
        <v>5589</v>
      </c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</row>
    <row r="275">
      <c r="A275" s="132" t="s">
        <v>8715</v>
      </c>
      <c r="B275" s="134" t="s">
        <v>8716</v>
      </c>
      <c r="C275" s="87" t="s">
        <v>8717</v>
      </c>
      <c r="D275" s="136" t="s">
        <v>8718</v>
      </c>
      <c r="E275" s="181" t="s">
        <v>8719</v>
      </c>
      <c r="F275" s="178">
        <f>+918884112337</f>
        <v>918884112337</v>
      </c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</row>
    <row r="276">
      <c r="A276" s="132" t="s">
        <v>8720</v>
      </c>
      <c r="B276" s="134" t="s">
        <v>8721</v>
      </c>
      <c r="C276" s="87" t="s">
        <v>527</v>
      </c>
      <c r="D276" s="136" t="s">
        <v>8722</v>
      </c>
      <c r="E276" s="181" t="s">
        <v>8723</v>
      </c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</row>
    <row r="277">
      <c r="A277" s="132" t="s">
        <v>6103</v>
      </c>
      <c r="B277" s="134" t="s">
        <v>4874</v>
      </c>
      <c r="C277" s="87" t="s">
        <v>527</v>
      </c>
      <c r="D277" s="136" t="s">
        <v>8724</v>
      </c>
      <c r="E277" s="168" t="s">
        <v>8725</v>
      </c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</row>
    <row r="278">
      <c r="A278" s="132" t="s">
        <v>8726</v>
      </c>
      <c r="B278" s="134" t="s">
        <v>8727</v>
      </c>
      <c r="C278" s="87" t="s">
        <v>527</v>
      </c>
      <c r="D278" s="136" t="s">
        <v>8728</v>
      </c>
      <c r="E278" s="181" t="s">
        <v>8729</v>
      </c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</row>
    <row r="279">
      <c r="A279" s="132" t="s">
        <v>8730</v>
      </c>
      <c r="B279" s="134" t="s">
        <v>8731</v>
      </c>
      <c r="C279" s="87" t="s">
        <v>527</v>
      </c>
      <c r="D279" s="136" t="s">
        <v>8732</v>
      </c>
      <c r="E279" s="168" t="s">
        <v>8733</v>
      </c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</row>
    <row r="280">
      <c r="A280" s="132" t="s">
        <v>8734</v>
      </c>
      <c r="B280" s="134" t="s">
        <v>8735</v>
      </c>
      <c r="C280" s="87" t="s">
        <v>527</v>
      </c>
      <c r="D280" s="136" t="s">
        <v>8736</v>
      </c>
      <c r="E280" s="168" t="s">
        <v>8737</v>
      </c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</row>
    <row r="281">
      <c r="A281" s="132" t="s">
        <v>8738</v>
      </c>
      <c r="B281" s="134" t="s">
        <v>8739</v>
      </c>
      <c r="C281" s="87" t="s">
        <v>527</v>
      </c>
      <c r="D281" s="136" t="s">
        <v>8740</v>
      </c>
      <c r="E281" s="181" t="s">
        <v>8741</v>
      </c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</row>
    <row r="282">
      <c r="A282" s="132" t="s">
        <v>8742</v>
      </c>
      <c r="B282" s="134" t="s">
        <v>8743</v>
      </c>
      <c r="C282" s="524" t="s">
        <v>527</v>
      </c>
      <c r="D282" s="466" t="s">
        <v>8744</v>
      </c>
      <c r="E282" s="181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</row>
    <row r="283">
      <c r="A283" s="132" t="s">
        <v>1606</v>
      </c>
      <c r="B283" s="134" t="s">
        <v>8745</v>
      </c>
      <c r="C283" s="87" t="s">
        <v>147</v>
      </c>
      <c r="D283" s="136" t="s">
        <v>8746</v>
      </c>
      <c r="E283" s="181" t="s">
        <v>8747</v>
      </c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</row>
    <row r="284">
      <c r="A284" s="132" t="s">
        <v>2581</v>
      </c>
      <c r="B284" s="134" t="s">
        <v>8748</v>
      </c>
      <c r="C284" s="87" t="s">
        <v>527</v>
      </c>
      <c r="D284" s="136" t="s">
        <v>8749</v>
      </c>
      <c r="E284" s="181" t="s">
        <v>8750</v>
      </c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</row>
    <row r="285">
      <c r="A285" s="132" t="s">
        <v>1541</v>
      </c>
      <c r="B285" s="134" t="s">
        <v>1542</v>
      </c>
      <c r="C285" s="87" t="s">
        <v>93</v>
      </c>
      <c r="D285" s="136" t="s">
        <v>8751</v>
      </c>
      <c r="E285" s="181" t="s">
        <v>1546</v>
      </c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</row>
    <row r="286">
      <c r="A286" s="132" t="s">
        <v>8752</v>
      </c>
      <c r="B286" s="134" t="s">
        <v>8753</v>
      </c>
      <c r="C286" s="87" t="s">
        <v>8754</v>
      </c>
      <c r="D286" s="136" t="s">
        <v>8755</v>
      </c>
      <c r="E286" s="168" t="s">
        <v>8756</v>
      </c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</row>
    <row r="287">
      <c r="A287" s="132" t="s">
        <v>8757</v>
      </c>
      <c r="B287" s="134" t="s">
        <v>8758</v>
      </c>
      <c r="C287" s="524" t="s">
        <v>527</v>
      </c>
      <c r="D287" s="466" t="s">
        <v>8759</v>
      </c>
      <c r="E287" s="168" t="s">
        <v>8760</v>
      </c>
      <c r="F287" s="178">
        <f>+919358829229</f>
        <v>919358829229</v>
      </c>
      <c r="G287" s="168" t="s">
        <v>8761</v>
      </c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</row>
    <row r="288">
      <c r="A288" s="132" t="s">
        <v>5568</v>
      </c>
      <c r="B288" s="134" t="s">
        <v>8762</v>
      </c>
      <c r="C288" s="524" t="s">
        <v>527</v>
      </c>
      <c r="D288" s="466" t="s">
        <v>8763</v>
      </c>
      <c r="E288" s="168" t="s">
        <v>8764</v>
      </c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</row>
    <row r="289">
      <c r="A289" s="132" t="s">
        <v>7902</v>
      </c>
      <c r="B289" s="134" t="s">
        <v>8765</v>
      </c>
      <c r="C289" s="87" t="s">
        <v>527</v>
      </c>
      <c r="D289" s="136" t="s">
        <v>8766</v>
      </c>
      <c r="E289" s="565" t="s">
        <v>8767</v>
      </c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</row>
    <row r="290">
      <c r="A290" s="132" t="s">
        <v>7802</v>
      </c>
      <c r="B290" s="566" t="s">
        <v>8768</v>
      </c>
      <c r="C290" s="87" t="s">
        <v>527</v>
      </c>
      <c r="D290" s="136" t="s">
        <v>8769</v>
      </c>
      <c r="E290" s="567" t="s">
        <v>8770</v>
      </c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</row>
    <row r="291">
      <c r="A291" s="132" t="s">
        <v>8771</v>
      </c>
      <c r="B291" s="134" t="s">
        <v>8772</v>
      </c>
      <c r="C291" s="87" t="s">
        <v>527</v>
      </c>
      <c r="D291" s="136" t="s">
        <v>8773</v>
      </c>
      <c r="E291" s="168" t="s">
        <v>8774</v>
      </c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</row>
    <row r="292">
      <c r="A292" s="132" t="s">
        <v>5682</v>
      </c>
      <c r="B292" s="134" t="s">
        <v>8775</v>
      </c>
      <c r="C292" s="87" t="s">
        <v>1730</v>
      </c>
      <c r="D292" s="136" t="s">
        <v>8776</v>
      </c>
      <c r="E292" s="168" t="s">
        <v>8777</v>
      </c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</row>
    <row r="293">
      <c r="A293" s="132" t="s">
        <v>8778</v>
      </c>
      <c r="B293" s="134" t="s">
        <v>8779</v>
      </c>
      <c r="C293" s="87" t="s">
        <v>527</v>
      </c>
      <c r="D293" s="136" t="s">
        <v>8780</v>
      </c>
      <c r="E293" s="168" t="s">
        <v>8781</v>
      </c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</row>
    <row r="294">
      <c r="A294" s="132" t="s">
        <v>8782</v>
      </c>
      <c r="B294" s="134" t="s">
        <v>8783</v>
      </c>
      <c r="C294" s="87" t="s">
        <v>527</v>
      </c>
      <c r="D294" s="136" t="s">
        <v>8784</v>
      </c>
      <c r="E294" s="168" t="s">
        <v>8785</v>
      </c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</row>
    <row r="295">
      <c r="A295" s="132" t="s">
        <v>8786</v>
      </c>
      <c r="B295" s="134" t="s">
        <v>8787</v>
      </c>
      <c r="C295" s="87" t="s">
        <v>527</v>
      </c>
      <c r="D295" s="136" t="s">
        <v>8788</v>
      </c>
      <c r="E295" s="181" t="s">
        <v>8789</v>
      </c>
      <c r="F295" s="68"/>
      <c r="G295" s="68"/>
      <c r="H295" s="68"/>
      <c r="I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</row>
    <row r="296">
      <c r="A296" s="132" t="s">
        <v>8790</v>
      </c>
      <c r="B296" s="134" t="s">
        <v>8791</v>
      </c>
      <c r="C296" s="524" t="s">
        <v>527</v>
      </c>
      <c r="D296" s="466" t="s">
        <v>8792</v>
      </c>
      <c r="E296" s="168" t="s">
        <v>8793</v>
      </c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</row>
    <row r="297">
      <c r="A297" s="132" t="s">
        <v>8794</v>
      </c>
      <c r="B297" s="134" t="s">
        <v>8795</v>
      </c>
      <c r="C297" s="524" t="s">
        <v>527</v>
      </c>
      <c r="D297" s="466" t="s">
        <v>8796</v>
      </c>
      <c r="E297" s="168" t="s">
        <v>8797</v>
      </c>
      <c r="F297" s="68"/>
      <c r="G297" s="168" t="s">
        <v>8798</v>
      </c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</row>
    <row r="298">
      <c r="A298" s="132" t="s">
        <v>8799</v>
      </c>
      <c r="B298" s="134" t="s">
        <v>335</v>
      </c>
      <c r="C298" s="524" t="s">
        <v>527</v>
      </c>
      <c r="D298" s="466" t="s">
        <v>8800</v>
      </c>
      <c r="E298" s="168" t="s">
        <v>8801</v>
      </c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</row>
    <row r="299">
      <c r="A299" s="132" t="s">
        <v>5128</v>
      </c>
      <c r="B299" s="134" t="s">
        <v>8802</v>
      </c>
      <c r="C299" s="524" t="s">
        <v>8803</v>
      </c>
      <c r="D299" s="466" t="s">
        <v>8804</v>
      </c>
      <c r="E299" s="179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</row>
    <row r="300">
      <c r="A300" s="132" t="s">
        <v>8805</v>
      </c>
      <c r="B300" s="134" t="s">
        <v>8806</v>
      </c>
      <c r="C300" s="87" t="s">
        <v>8807</v>
      </c>
      <c r="D300" s="136" t="s">
        <v>8808</v>
      </c>
      <c r="E300" s="181" t="s">
        <v>8809</v>
      </c>
      <c r="F300" s="68"/>
      <c r="G300" s="68"/>
      <c r="H300" s="68"/>
      <c r="I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</row>
    <row r="301">
      <c r="A301" s="132"/>
      <c r="B301" s="134"/>
      <c r="C301" s="533"/>
      <c r="D301" s="68"/>
      <c r="E301" s="179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</row>
    <row r="302">
      <c r="A302" s="189" t="s">
        <v>8810</v>
      </c>
      <c r="B302" s="134" t="s">
        <v>8811</v>
      </c>
      <c r="C302" s="524" t="s">
        <v>1318</v>
      </c>
      <c r="D302" s="466" t="s">
        <v>8812</v>
      </c>
      <c r="E302" s="168" t="s">
        <v>8813</v>
      </c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</row>
    <row r="303">
      <c r="A303" s="132" t="s">
        <v>8814</v>
      </c>
      <c r="B303" s="134" t="s">
        <v>8815</v>
      </c>
      <c r="C303" s="524" t="s">
        <v>527</v>
      </c>
      <c r="D303" s="466" t="s">
        <v>8816</v>
      </c>
      <c r="E303" s="168" t="s">
        <v>8817</v>
      </c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</row>
    <row r="304">
      <c r="A304" s="132" t="s">
        <v>8818</v>
      </c>
      <c r="B304" s="134" t="s">
        <v>8819</v>
      </c>
      <c r="C304" s="87" t="s">
        <v>527</v>
      </c>
      <c r="D304" s="136" t="s">
        <v>8820</v>
      </c>
      <c r="E304" s="168" t="s">
        <v>8821</v>
      </c>
      <c r="F304" s="68"/>
      <c r="G304" s="68"/>
      <c r="H304" s="68"/>
      <c r="I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</row>
    <row r="305">
      <c r="A305" s="132" t="s">
        <v>8822</v>
      </c>
      <c r="B305" s="134" t="s">
        <v>8823</v>
      </c>
      <c r="C305" s="524" t="s">
        <v>527</v>
      </c>
      <c r="D305" s="466" t="s">
        <v>8824</v>
      </c>
      <c r="E305" s="168" t="s">
        <v>8825</v>
      </c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</row>
    <row r="306">
      <c r="A306" s="132" t="s">
        <v>8826</v>
      </c>
      <c r="B306" s="134" t="s">
        <v>8827</v>
      </c>
      <c r="C306" s="524" t="s">
        <v>527</v>
      </c>
      <c r="D306" s="466" t="s">
        <v>8828</v>
      </c>
      <c r="E306" s="168" t="s">
        <v>8829</v>
      </c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</row>
    <row r="307">
      <c r="A307" s="132" t="s">
        <v>8830</v>
      </c>
      <c r="B307" s="134" t="s">
        <v>8831</v>
      </c>
      <c r="C307" s="524" t="s">
        <v>527</v>
      </c>
      <c r="D307" s="466" t="s">
        <v>8832</v>
      </c>
      <c r="E307" s="168" t="s">
        <v>8833</v>
      </c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</row>
    <row r="308">
      <c r="A308" s="132" t="s">
        <v>7913</v>
      </c>
      <c r="B308" s="134" t="s">
        <v>8834</v>
      </c>
      <c r="C308" s="524" t="s">
        <v>527</v>
      </c>
      <c r="D308" s="466" t="s">
        <v>8835</v>
      </c>
      <c r="E308" s="168" t="s">
        <v>8836</v>
      </c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</row>
    <row r="309">
      <c r="A309" s="189" t="s">
        <v>5194</v>
      </c>
      <c r="B309" s="134" t="s">
        <v>8837</v>
      </c>
      <c r="C309" s="87" t="s">
        <v>527</v>
      </c>
      <c r="D309" s="136" t="s">
        <v>8838</v>
      </c>
      <c r="E309" s="168" t="s">
        <v>8839</v>
      </c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</row>
    <row r="310">
      <c r="A310" s="189" t="s">
        <v>5135</v>
      </c>
      <c r="B310" s="87" t="s">
        <v>8840</v>
      </c>
      <c r="C310" s="87" t="s">
        <v>527</v>
      </c>
      <c r="D310" s="136" t="s">
        <v>8841</v>
      </c>
      <c r="E310" s="87" t="s">
        <v>8842</v>
      </c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</row>
    <row r="311">
      <c r="A311" s="568" t="s">
        <v>8843</v>
      </c>
      <c r="B311" s="134" t="s">
        <v>8844</v>
      </c>
      <c r="C311" s="87" t="s">
        <v>527</v>
      </c>
      <c r="D311" s="136" t="s">
        <v>8845</v>
      </c>
      <c r="E311" s="168" t="s">
        <v>8846</v>
      </c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</row>
    <row r="312"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</row>
    <row r="313">
      <c r="A313" s="554" t="s">
        <v>1418</v>
      </c>
      <c r="B313" s="555" t="s">
        <v>8847</v>
      </c>
      <c r="C313" s="555" t="s">
        <v>8695</v>
      </c>
      <c r="D313" s="466" t="s">
        <v>8696</v>
      </c>
      <c r="E313" s="168" t="s">
        <v>8697</v>
      </c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</row>
    <row r="314">
      <c r="A314" s="554" t="s">
        <v>1345</v>
      </c>
      <c r="B314" s="555" t="s">
        <v>8848</v>
      </c>
      <c r="C314" s="555" t="s">
        <v>8453</v>
      </c>
      <c r="D314" s="466" t="s">
        <v>8700</v>
      </c>
      <c r="E314" s="181" t="s">
        <v>8701</v>
      </c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</row>
    <row r="315">
      <c r="A315" s="554" t="s">
        <v>8702</v>
      </c>
      <c r="B315" s="555" t="s">
        <v>8849</v>
      </c>
      <c r="C315" s="555" t="s">
        <v>8453</v>
      </c>
      <c r="D315" s="466" t="s">
        <v>8704</v>
      </c>
      <c r="E315" s="181" t="s">
        <v>8705</v>
      </c>
      <c r="I315" s="10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</row>
    <row r="316">
      <c r="A316" s="554" t="s">
        <v>1388</v>
      </c>
      <c r="B316" s="555" t="s">
        <v>8850</v>
      </c>
      <c r="C316" s="555" t="s">
        <v>8453</v>
      </c>
      <c r="D316" s="466" t="s">
        <v>8707</v>
      </c>
      <c r="E316" s="168" t="s">
        <v>8708</v>
      </c>
      <c r="I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</row>
    <row r="317">
      <c r="A317" s="554" t="s">
        <v>2601</v>
      </c>
      <c r="B317" s="555" t="s">
        <v>8851</v>
      </c>
      <c r="C317" s="555" t="s">
        <v>527</v>
      </c>
      <c r="D317" s="466" t="s">
        <v>8710</v>
      </c>
      <c r="E317" s="168" t="s">
        <v>8711</v>
      </c>
      <c r="I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</row>
    <row r="318">
      <c r="A318" s="132" t="s">
        <v>8713</v>
      </c>
      <c r="B318" s="134" t="s">
        <v>8852</v>
      </c>
      <c r="C318" s="87" t="s">
        <v>527</v>
      </c>
      <c r="D318" s="136" t="s">
        <v>8714</v>
      </c>
      <c r="E318" s="181" t="s">
        <v>5589</v>
      </c>
      <c r="I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</row>
    <row r="319">
      <c r="A319" s="132" t="s">
        <v>8715</v>
      </c>
      <c r="B319" s="134" t="s">
        <v>8853</v>
      </c>
      <c r="C319" s="87" t="s">
        <v>8717</v>
      </c>
      <c r="D319" s="136" t="s">
        <v>8718</v>
      </c>
      <c r="E319" s="181" t="s">
        <v>8719</v>
      </c>
      <c r="I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</row>
    <row r="320">
      <c r="A320" s="132" t="s">
        <v>8720</v>
      </c>
      <c r="B320" s="134" t="s">
        <v>8854</v>
      </c>
      <c r="C320" s="87" t="s">
        <v>527</v>
      </c>
      <c r="D320" s="136" t="s">
        <v>8722</v>
      </c>
      <c r="E320" s="181" t="s">
        <v>8723</v>
      </c>
      <c r="I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</row>
    <row r="321">
      <c r="A321" s="132" t="s">
        <v>6103</v>
      </c>
      <c r="B321" s="134" t="s">
        <v>8855</v>
      </c>
      <c r="C321" s="87" t="s">
        <v>527</v>
      </c>
      <c r="D321" s="136" t="s">
        <v>8724</v>
      </c>
      <c r="E321" s="168" t="s">
        <v>8725</v>
      </c>
      <c r="I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</row>
    <row r="322">
      <c r="A322" s="134"/>
      <c r="B322" s="134"/>
      <c r="I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</row>
    <row r="323">
      <c r="A323" s="132" t="s">
        <v>8856</v>
      </c>
      <c r="B323" s="555" t="s">
        <v>8857</v>
      </c>
      <c r="C323" s="555" t="s">
        <v>8616</v>
      </c>
      <c r="D323" s="466" t="s">
        <v>8617</v>
      </c>
      <c r="E323" s="181" t="s">
        <v>8619</v>
      </c>
      <c r="I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</row>
    <row r="324">
      <c r="A324" s="132" t="s">
        <v>8858</v>
      </c>
      <c r="B324" s="555" t="s">
        <v>8859</v>
      </c>
      <c r="C324" s="555" t="s">
        <v>8453</v>
      </c>
      <c r="D324" s="466" t="s">
        <v>8621</v>
      </c>
      <c r="E324" s="181" t="s">
        <v>8622</v>
      </c>
      <c r="I324" s="10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</row>
    <row r="325">
      <c r="A325" s="132" t="s">
        <v>8860</v>
      </c>
      <c r="B325" s="555" t="s">
        <v>8861</v>
      </c>
      <c r="C325" s="555" t="s">
        <v>8447</v>
      </c>
      <c r="D325" s="466" t="s">
        <v>8624</v>
      </c>
      <c r="E325" s="564" t="s">
        <v>8625</v>
      </c>
      <c r="I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</row>
    <row r="326">
      <c r="A326" s="132" t="s">
        <v>8862</v>
      </c>
      <c r="B326" s="555" t="s">
        <v>8863</v>
      </c>
      <c r="C326" s="555" t="s">
        <v>8627</v>
      </c>
      <c r="D326" s="466" t="s">
        <v>8628</v>
      </c>
      <c r="E326" s="181" t="s">
        <v>8629</v>
      </c>
      <c r="I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</row>
    <row r="327">
      <c r="A327" s="132" t="s">
        <v>6704</v>
      </c>
      <c r="B327" s="555" t="s">
        <v>8864</v>
      </c>
      <c r="C327" s="555" t="s">
        <v>8631</v>
      </c>
      <c r="D327" s="466" t="s">
        <v>8632</v>
      </c>
      <c r="E327" s="181" t="s">
        <v>8633</v>
      </c>
      <c r="I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</row>
    <row r="328">
      <c r="A328" s="132" t="s">
        <v>8865</v>
      </c>
      <c r="B328" s="555" t="s">
        <v>8866</v>
      </c>
      <c r="C328" s="555" t="s">
        <v>8636</v>
      </c>
      <c r="D328" s="466" t="s">
        <v>8637</v>
      </c>
      <c r="E328" s="168" t="s">
        <v>8638</v>
      </c>
      <c r="I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</row>
    <row r="329">
      <c r="A329" s="132" t="s">
        <v>8867</v>
      </c>
      <c r="B329" s="555" t="s">
        <v>8868</v>
      </c>
      <c r="C329" s="181" t="s">
        <v>2476</v>
      </c>
      <c r="D329" s="466" t="s">
        <v>8641</v>
      </c>
      <c r="E329" s="87" t="s">
        <v>8642</v>
      </c>
      <c r="I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</row>
    <row r="330">
      <c r="A330" s="134"/>
      <c r="B330" s="134"/>
      <c r="C330" s="134"/>
      <c r="D330" s="454"/>
      <c r="E330" s="168"/>
      <c r="I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</row>
    <row r="331">
      <c r="A331" s="132" t="s">
        <v>8869</v>
      </c>
      <c r="B331" s="555" t="s">
        <v>8870</v>
      </c>
      <c r="C331" s="555" t="s">
        <v>8453</v>
      </c>
      <c r="D331" s="466" t="s">
        <v>8560</v>
      </c>
      <c r="E331" s="181" t="s">
        <v>8562</v>
      </c>
      <c r="I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</row>
    <row r="332">
      <c r="A332" s="132" t="s">
        <v>8871</v>
      </c>
      <c r="B332" s="555" t="s">
        <v>8872</v>
      </c>
      <c r="C332" s="555" t="s">
        <v>8453</v>
      </c>
      <c r="D332" s="466" t="s">
        <v>8564</v>
      </c>
      <c r="E332" s="168" t="s">
        <v>8566</v>
      </c>
      <c r="I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</row>
    <row r="333">
      <c r="A333" s="132" t="s">
        <v>8873</v>
      </c>
      <c r="B333" s="555" t="s">
        <v>8874</v>
      </c>
      <c r="C333" s="555" t="s">
        <v>8453</v>
      </c>
      <c r="D333" s="466" t="s">
        <v>8568</v>
      </c>
      <c r="E333" s="181" t="s">
        <v>8569</v>
      </c>
      <c r="I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</row>
    <row r="334">
      <c r="A334" s="132" t="s">
        <v>8875</v>
      </c>
      <c r="B334" s="555" t="s">
        <v>8876</v>
      </c>
      <c r="C334" s="555" t="s">
        <v>8453</v>
      </c>
      <c r="D334" s="466" t="s">
        <v>8572</v>
      </c>
      <c r="E334" s="181" t="s">
        <v>8573</v>
      </c>
      <c r="H334" s="108"/>
      <c r="I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</row>
    <row r="335">
      <c r="A335" s="132" t="s">
        <v>8877</v>
      </c>
      <c r="B335" s="555" t="s">
        <v>8574</v>
      </c>
      <c r="C335" s="555" t="s">
        <v>8447</v>
      </c>
      <c r="D335" s="466" t="s">
        <v>8575</v>
      </c>
      <c r="E335" s="181" t="s">
        <v>8576</v>
      </c>
      <c r="H335" s="68"/>
      <c r="I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</row>
    <row r="336">
      <c r="A336" s="132" t="s">
        <v>8878</v>
      </c>
      <c r="B336" s="555" t="s">
        <v>8578</v>
      </c>
      <c r="C336" s="555" t="s">
        <v>2375</v>
      </c>
      <c r="D336" s="466" t="s">
        <v>8579</v>
      </c>
      <c r="E336" s="181" t="s">
        <v>8580</v>
      </c>
      <c r="H336" s="68"/>
      <c r="I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</row>
    <row r="337">
      <c r="A337" s="132" t="s">
        <v>8879</v>
      </c>
      <c r="B337" s="134"/>
      <c r="C337" s="134"/>
      <c r="H337" s="68"/>
      <c r="I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</row>
    <row r="338">
      <c r="A338" s="132" t="s">
        <v>8880</v>
      </c>
      <c r="B338" s="134"/>
      <c r="C338" s="134"/>
      <c r="H338" s="68"/>
      <c r="I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</row>
    <row r="339">
      <c r="A339" s="132" t="s">
        <v>8881</v>
      </c>
      <c r="B339" s="134"/>
      <c r="C339" s="134"/>
      <c r="H339" s="68"/>
    </row>
    <row r="340">
      <c r="A340" s="132" t="s">
        <v>8882</v>
      </c>
      <c r="B340" s="134"/>
      <c r="C340" s="134"/>
      <c r="H340" s="68"/>
      <c r="I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</row>
    <row r="341">
      <c r="A341" s="132" t="s">
        <v>8883</v>
      </c>
      <c r="B341" s="134"/>
      <c r="C341" s="134"/>
      <c r="H341" s="68"/>
      <c r="I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</row>
    <row r="342">
      <c r="A342" s="132" t="s">
        <v>8884</v>
      </c>
      <c r="B342" s="134"/>
      <c r="C342" s="134"/>
      <c r="H342" s="68"/>
      <c r="I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</row>
    <row r="343">
      <c r="A343" s="132" t="s">
        <v>8885</v>
      </c>
      <c r="B343" s="134"/>
      <c r="C343" s="134"/>
      <c r="H343" s="108"/>
      <c r="I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</row>
    <row r="344">
      <c r="A344" s="132" t="s">
        <v>8886</v>
      </c>
      <c r="B344" s="134"/>
      <c r="C344" s="134"/>
      <c r="H344" s="68"/>
    </row>
    <row r="345">
      <c r="A345" s="132" t="s">
        <v>3375</v>
      </c>
      <c r="B345" s="134"/>
      <c r="C345" s="134"/>
      <c r="H345" s="68"/>
      <c r="I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</row>
    <row r="346">
      <c r="A346" s="132" t="s">
        <v>6185</v>
      </c>
      <c r="B346" s="134"/>
      <c r="C346" s="134"/>
      <c r="H346" s="68"/>
      <c r="I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</row>
    <row r="347">
      <c r="A347" s="132" t="s">
        <v>8887</v>
      </c>
      <c r="B347" s="134"/>
      <c r="C347" s="134"/>
      <c r="H347" s="68"/>
      <c r="I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</row>
    <row r="348">
      <c r="A348" s="132" t="s">
        <v>8888</v>
      </c>
      <c r="B348" s="134"/>
      <c r="C348" s="134"/>
      <c r="H348" s="68"/>
      <c r="I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</row>
    <row r="349">
      <c r="A349" s="132" t="s">
        <v>8889</v>
      </c>
      <c r="B349" s="134"/>
      <c r="C349" s="134"/>
      <c r="H349" s="68"/>
      <c r="I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</row>
    <row r="350">
      <c r="A350" s="132" t="s">
        <v>8890</v>
      </c>
      <c r="B350" s="134"/>
      <c r="C350" s="134"/>
      <c r="H350" s="68"/>
      <c r="I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</row>
    <row r="351">
      <c r="A351" s="132" t="s">
        <v>8891</v>
      </c>
      <c r="B351" s="134"/>
      <c r="C351" s="134"/>
      <c r="H351" s="68"/>
      <c r="I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</row>
    <row r="352">
      <c r="A352" s="132" t="s">
        <v>8892</v>
      </c>
      <c r="B352" s="134"/>
      <c r="C352" s="134"/>
      <c r="H352" s="68"/>
    </row>
    <row r="353">
      <c r="A353" s="132" t="s">
        <v>8893</v>
      </c>
      <c r="B353" s="134"/>
      <c r="C353" s="134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</row>
    <row r="354">
      <c r="A354" s="132" t="s">
        <v>8894</v>
      </c>
      <c r="B354" s="134"/>
      <c r="C354" s="134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</row>
    <row r="355">
      <c r="A355" s="132" t="s">
        <v>8895</v>
      </c>
      <c r="B355" s="134"/>
      <c r="C355" s="134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</row>
    <row r="356">
      <c r="A356" s="132" t="s">
        <v>8896</v>
      </c>
      <c r="B356" s="134"/>
      <c r="C356" s="134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</row>
    <row r="357">
      <c r="A357" s="132" t="s">
        <v>8897</v>
      </c>
      <c r="B357" s="134"/>
      <c r="C357" s="134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</row>
    <row r="358">
      <c r="A358" s="132" t="s">
        <v>8898</v>
      </c>
      <c r="B358" s="134"/>
      <c r="C358" s="134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</row>
    <row r="359">
      <c r="A359" s="132" t="s">
        <v>8899</v>
      </c>
      <c r="B359" s="134"/>
      <c r="C359" s="134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</row>
    <row r="360">
      <c r="A360" s="132" t="s">
        <v>8900</v>
      </c>
      <c r="B360" s="134"/>
      <c r="C360" s="134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</row>
    <row r="361">
      <c r="A361" s="132" t="s">
        <v>8901</v>
      </c>
      <c r="B361" s="134"/>
      <c r="C361" s="134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</row>
    <row r="362">
      <c r="A362" s="132" t="s">
        <v>8902</v>
      </c>
      <c r="B362" s="134"/>
      <c r="C362" s="134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</row>
    <row r="363">
      <c r="A363" s="132" t="s">
        <v>8903</v>
      </c>
      <c r="B363" s="134"/>
      <c r="C363" s="134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</row>
    <row r="364">
      <c r="A364" s="132" t="s">
        <v>8904</v>
      </c>
      <c r="B364" s="134"/>
      <c r="C364" s="134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</row>
    <row r="365">
      <c r="A365" s="132" t="s">
        <v>8905</v>
      </c>
      <c r="B365" s="134"/>
      <c r="C365" s="134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</row>
    <row r="366">
      <c r="A366" s="132" t="s">
        <v>8862</v>
      </c>
      <c r="B366" s="134"/>
      <c r="C366" s="134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</row>
    <row r="367">
      <c r="A367" s="132" t="s">
        <v>6704</v>
      </c>
      <c r="B367" s="134"/>
      <c r="C367" s="134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</row>
    <row r="368">
      <c r="A368" s="132" t="s">
        <v>8906</v>
      </c>
      <c r="B368" s="134"/>
      <c r="C368" s="134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</row>
    <row r="369">
      <c r="A369" s="132" t="s">
        <v>8907</v>
      </c>
      <c r="B369" s="134"/>
      <c r="C369" s="134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</row>
    <row r="370">
      <c r="A370" s="132" t="s">
        <v>8062</v>
      </c>
      <c r="B370" s="134"/>
      <c r="C370" s="134"/>
      <c r="D370" s="68"/>
      <c r="E370" s="179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</row>
    <row r="371">
      <c r="A371" s="132" t="s">
        <v>8908</v>
      </c>
      <c r="B371" s="134"/>
      <c r="C371" s="134"/>
      <c r="D371" s="68"/>
      <c r="E371" s="179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</row>
    <row r="372">
      <c r="A372" s="132" t="s">
        <v>8909</v>
      </c>
      <c r="B372" s="134"/>
      <c r="C372" s="134"/>
      <c r="D372" s="68"/>
      <c r="E372" s="179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</row>
    <row r="373">
      <c r="A373" s="132" t="s">
        <v>8910</v>
      </c>
      <c r="B373" s="134"/>
      <c r="C373" s="134"/>
      <c r="D373" s="68"/>
      <c r="E373" s="179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</row>
    <row r="374">
      <c r="A374" s="132" t="s">
        <v>8911</v>
      </c>
      <c r="B374" s="134"/>
      <c r="C374" s="134"/>
      <c r="D374" s="68"/>
      <c r="E374" s="179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</row>
    <row r="375">
      <c r="A375" s="132" t="s">
        <v>8912</v>
      </c>
      <c r="B375" s="134"/>
      <c r="C375" s="134"/>
      <c r="D375" s="68"/>
      <c r="E375" s="179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</row>
    <row r="376">
      <c r="A376" s="132" t="s">
        <v>8913</v>
      </c>
      <c r="B376" s="134"/>
      <c r="C376" s="134"/>
      <c r="D376" s="68"/>
      <c r="E376" s="179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</row>
    <row r="377">
      <c r="A377" s="132" t="s">
        <v>8014</v>
      </c>
      <c r="B377" s="134"/>
      <c r="C377" s="134"/>
      <c r="D377" s="68"/>
      <c r="E377" s="179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</row>
    <row r="378">
      <c r="A378" s="132" t="s">
        <v>8914</v>
      </c>
      <c r="B378" s="134"/>
      <c r="C378" s="134"/>
      <c r="D378" s="68"/>
      <c r="E378" s="179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</row>
    <row r="379">
      <c r="A379" s="132" t="s">
        <v>8915</v>
      </c>
      <c r="B379" s="134"/>
      <c r="C379" s="134"/>
      <c r="D379" s="68"/>
      <c r="E379" s="179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</row>
    <row r="380">
      <c r="A380" s="132" t="s">
        <v>8916</v>
      </c>
      <c r="B380" s="134"/>
      <c r="C380" s="134"/>
      <c r="D380" s="68"/>
      <c r="E380" s="179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</row>
    <row r="381">
      <c r="A381" s="132" t="s">
        <v>8917</v>
      </c>
      <c r="B381" s="134"/>
      <c r="C381" s="134"/>
      <c r="D381" s="68"/>
      <c r="E381" s="179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</row>
    <row r="382">
      <c r="A382" s="132" t="s">
        <v>8918</v>
      </c>
      <c r="B382" s="134"/>
      <c r="C382" s="134"/>
      <c r="D382" s="68"/>
      <c r="E382" s="179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</row>
    <row r="383">
      <c r="A383" s="132" t="s">
        <v>8919</v>
      </c>
      <c r="B383" s="134"/>
      <c r="C383" s="134"/>
      <c r="D383" s="68"/>
      <c r="E383" s="179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</row>
    <row r="384">
      <c r="A384" s="132" t="s">
        <v>8920</v>
      </c>
      <c r="B384" s="134"/>
      <c r="C384" s="134"/>
      <c r="D384" s="68"/>
      <c r="E384" s="179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</row>
    <row r="385">
      <c r="A385" s="132" t="s">
        <v>8921</v>
      </c>
      <c r="B385" s="134"/>
      <c r="C385" s="134"/>
      <c r="D385" s="68"/>
      <c r="E385" s="179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</row>
    <row r="386">
      <c r="A386" s="132" t="s">
        <v>8922</v>
      </c>
      <c r="B386" s="134"/>
      <c r="C386" s="134"/>
      <c r="D386" s="68"/>
      <c r="E386" s="179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</row>
    <row r="387">
      <c r="A387" s="132" t="s">
        <v>8923</v>
      </c>
      <c r="B387" s="134"/>
      <c r="C387" s="134"/>
      <c r="D387" s="68"/>
      <c r="E387" s="179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</row>
    <row r="388">
      <c r="A388" s="132" t="s">
        <v>8924</v>
      </c>
      <c r="B388" s="134"/>
      <c r="C388" s="134"/>
      <c r="D388" s="68"/>
      <c r="E388" s="179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</row>
    <row r="389">
      <c r="A389" s="132" t="s">
        <v>8925</v>
      </c>
      <c r="B389" s="134"/>
      <c r="C389" s="134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</row>
    <row r="390">
      <c r="A390" s="132" t="s">
        <v>8926</v>
      </c>
      <c r="B390" s="134"/>
      <c r="C390" s="134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</row>
    <row r="391">
      <c r="A391" s="132" t="s">
        <v>2625</v>
      </c>
      <c r="B391" s="134"/>
      <c r="C391" s="134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</row>
    <row r="392">
      <c r="A392" s="132" t="s">
        <v>8927</v>
      </c>
      <c r="B392" s="134"/>
      <c r="C392" s="134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</row>
    <row r="393">
      <c r="A393" s="132" t="s">
        <v>8928</v>
      </c>
      <c r="B393" s="134"/>
      <c r="C393" s="134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</row>
    <row r="394">
      <c r="A394" s="132" t="s">
        <v>8929</v>
      </c>
      <c r="B394" s="134"/>
      <c r="C394" s="134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</row>
    <row r="395"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</row>
    <row r="396"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</row>
    <row r="397"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</row>
    <row r="398"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</row>
    <row r="399">
      <c r="A399" s="528" t="s">
        <v>8930</v>
      </c>
      <c r="B399" s="529"/>
      <c r="C399" s="553" t="s">
        <v>527</v>
      </c>
      <c r="D399" s="108"/>
      <c r="E399" s="530"/>
      <c r="F399" s="108"/>
      <c r="G399" s="10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</row>
    <row r="400">
      <c r="A400" s="471" t="s">
        <v>8931</v>
      </c>
      <c r="B400" s="524" t="s">
        <v>8932</v>
      </c>
      <c r="C400" s="524" t="s">
        <v>527</v>
      </c>
      <c r="D400" s="459" t="s">
        <v>8933</v>
      </c>
      <c r="E400" s="181" t="s">
        <v>8934</v>
      </c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</row>
    <row r="401">
      <c r="A401" s="471" t="s">
        <v>8935</v>
      </c>
      <c r="B401" s="524" t="s">
        <v>8936</v>
      </c>
      <c r="C401" s="524" t="s">
        <v>527</v>
      </c>
      <c r="D401" s="459" t="s">
        <v>8937</v>
      </c>
      <c r="E401" s="181" t="s">
        <v>8938</v>
      </c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</row>
    <row r="402">
      <c r="A402" s="471" t="s">
        <v>8939</v>
      </c>
      <c r="B402" s="524" t="s">
        <v>8940</v>
      </c>
      <c r="C402" s="524" t="s">
        <v>527</v>
      </c>
      <c r="D402" s="466" t="s">
        <v>8941</v>
      </c>
      <c r="E402" s="168" t="s">
        <v>8942</v>
      </c>
      <c r="F402" s="178">
        <f>+919818151833</f>
        <v>919818151833</v>
      </c>
      <c r="G402" s="168" t="s">
        <v>8943</v>
      </c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</row>
    <row r="403">
      <c r="A403" s="471" t="s">
        <v>8944</v>
      </c>
      <c r="B403" s="524" t="s">
        <v>8945</v>
      </c>
      <c r="C403" s="524" t="s">
        <v>93</v>
      </c>
      <c r="D403" s="466" t="s">
        <v>8946</v>
      </c>
      <c r="E403" s="181" t="s">
        <v>8947</v>
      </c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</row>
    <row r="404">
      <c r="A404" s="471" t="s">
        <v>8948</v>
      </c>
      <c r="B404" s="524" t="s">
        <v>8949</v>
      </c>
      <c r="C404" s="524" t="s">
        <v>237</v>
      </c>
      <c r="D404" s="466" t="s">
        <v>8950</v>
      </c>
      <c r="E404" s="168" t="s">
        <v>8951</v>
      </c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</row>
    <row r="405">
      <c r="A405" s="471" t="s">
        <v>8952</v>
      </c>
      <c r="B405" s="524" t="s">
        <v>8953</v>
      </c>
      <c r="C405" s="524" t="s">
        <v>527</v>
      </c>
      <c r="D405" s="466" t="s">
        <v>8954</v>
      </c>
      <c r="E405" s="181" t="s">
        <v>8955</v>
      </c>
      <c r="F405" s="68"/>
      <c r="G405" s="454" t="s">
        <v>8956</v>
      </c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</row>
    <row r="406">
      <c r="A406" s="471" t="s">
        <v>8957</v>
      </c>
      <c r="B406" s="524" t="s">
        <v>8958</v>
      </c>
      <c r="C406" s="524" t="s">
        <v>527</v>
      </c>
      <c r="D406" s="466" t="s">
        <v>8959</v>
      </c>
      <c r="E406" s="181" t="s">
        <v>8960</v>
      </c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</row>
    <row r="407">
      <c r="A407" s="471" t="s">
        <v>8961</v>
      </c>
      <c r="B407" s="524" t="s">
        <v>3958</v>
      </c>
      <c r="C407" s="524" t="s">
        <v>527</v>
      </c>
      <c r="D407" s="466" t="s">
        <v>8962</v>
      </c>
      <c r="E407" s="181" t="s">
        <v>8963</v>
      </c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</row>
    <row r="408">
      <c r="A408" s="528" t="s">
        <v>8964</v>
      </c>
      <c r="B408" s="529"/>
      <c r="C408" s="553" t="s">
        <v>527</v>
      </c>
      <c r="D408" s="108"/>
      <c r="E408" s="530"/>
      <c r="F408" s="108"/>
      <c r="G408" s="10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</row>
    <row r="409">
      <c r="A409" s="471" t="s">
        <v>7806</v>
      </c>
      <c r="B409" s="569" t="s">
        <v>8965</v>
      </c>
      <c r="C409" s="524" t="s">
        <v>527</v>
      </c>
      <c r="D409" s="466" t="s">
        <v>8966</v>
      </c>
      <c r="E409" s="454" t="s">
        <v>8967</v>
      </c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</row>
    <row r="410">
      <c r="A410" s="471"/>
      <c r="B410" s="533"/>
      <c r="C410" s="524"/>
      <c r="D410" s="68"/>
      <c r="E410" s="179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</row>
    <row r="411">
      <c r="A411" s="471" t="s">
        <v>6224</v>
      </c>
      <c r="B411" s="555" t="s">
        <v>8968</v>
      </c>
      <c r="C411" s="524" t="s">
        <v>527</v>
      </c>
      <c r="D411" s="466" t="s">
        <v>8969</v>
      </c>
      <c r="E411" s="181" t="s">
        <v>8970</v>
      </c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</row>
    <row r="412">
      <c r="A412" s="471"/>
      <c r="B412" s="524"/>
      <c r="C412" s="524"/>
      <c r="D412" s="454"/>
      <c r="E412" s="181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</row>
    <row r="413">
      <c r="A413" s="471" t="s">
        <v>2557</v>
      </c>
      <c r="B413" s="555" t="s">
        <v>8971</v>
      </c>
      <c r="C413" s="524" t="s">
        <v>527</v>
      </c>
      <c r="D413" s="466" t="s">
        <v>8972</v>
      </c>
      <c r="E413" s="181" t="s">
        <v>8973</v>
      </c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</row>
    <row r="414">
      <c r="A414" s="471" t="s">
        <v>1507</v>
      </c>
      <c r="B414" s="524" t="s">
        <v>8974</v>
      </c>
      <c r="C414" s="524" t="s">
        <v>527</v>
      </c>
      <c r="D414" s="466" t="s">
        <v>8975</v>
      </c>
      <c r="E414" s="181" t="s">
        <v>8976</v>
      </c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</row>
    <row r="415">
      <c r="A415" s="471" t="s">
        <v>6191</v>
      </c>
      <c r="B415" s="555" t="s">
        <v>8977</v>
      </c>
      <c r="C415" s="524" t="s">
        <v>8803</v>
      </c>
      <c r="D415" s="466" t="s">
        <v>8978</v>
      </c>
      <c r="E415" s="181" t="s">
        <v>8979</v>
      </c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</row>
    <row r="416">
      <c r="A416" s="471" t="s">
        <v>2563</v>
      </c>
      <c r="B416" s="555" t="s">
        <v>8980</v>
      </c>
      <c r="C416" s="524" t="s">
        <v>527</v>
      </c>
      <c r="D416" s="466" t="s">
        <v>8981</v>
      </c>
      <c r="E416" s="181" t="s">
        <v>8982</v>
      </c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</row>
    <row r="417">
      <c r="A417" s="189" t="s">
        <v>8983</v>
      </c>
      <c r="B417" s="87" t="s">
        <v>8984</v>
      </c>
      <c r="D417" s="136" t="s">
        <v>8985</v>
      </c>
      <c r="E417" s="168" t="s">
        <v>8986</v>
      </c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</row>
    <row r="418">
      <c r="A418" s="134"/>
      <c r="B418" s="134"/>
      <c r="E418" s="179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</row>
    <row r="419">
      <c r="A419" s="132"/>
      <c r="B419" s="134"/>
      <c r="E419" s="179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</row>
    <row r="420">
      <c r="A420" s="132" t="s">
        <v>8987</v>
      </c>
      <c r="B420" s="134" t="s">
        <v>8988</v>
      </c>
      <c r="C420" s="87" t="s">
        <v>527</v>
      </c>
      <c r="D420" s="136" t="s">
        <v>8989</v>
      </c>
      <c r="E420" s="168" t="s">
        <v>8990</v>
      </c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</row>
    <row r="421">
      <c r="A421" s="132" t="s">
        <v>6198</v>
      </c>
      <c r="B421" s="134" t="s">
        <v>8991</v>
      </c>
      <c r="C421" s="87" t="s">
        <v>527</v>
      </c>
      <c r="D421" s="136" t="s">
        <v>8992</v>
      </c>
      <c r="E421" s="181" t="s">
        <v>8993</v>
      </c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</row>
    <row r="422">
      <c r="A422" s="132" t="s">
        <v>6203</v>
      </c>
      <c r="B422" s="134" t="s">
        <v>8994</v>
      </c>
      <c r="C422" s="87" t="s">
        <v>3126</v>
      </c>
      <c r="D422" s="136" t="s">
        <v>8995</v>
      </c>
      <c r="E422" s="181" t="s">
        <v>8996</v>
      </c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</row>
    <row r="423"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</row>
    <row r="424">
      <c r="A424" s="132" t="s">
        <v>8997</v>
      </c>
      <c r="B424" s="134" t="s">
        <v>8998</v>
      </c>
      <c r="C424" s="87" t="s">
        <v>3126</v>
      </c>
      <c r="D424" s="136" t="s">
        <v>8999</v>
      </c>
      <c r="E424" s="181" t="s">
        <v>9000</v>
      </c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</row>
    <row r="425">
      <c r="A425" s="132" t="s">
        <v>9001</v>
      </c>
      <c r="B425" s="134"/>
      <c r="E425" s="179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</row>
    <row r="426">
      <c r="A426" s="132" t="s">
        <v>9002</v>
      </c>
      <c r="B426" s="134"/>
      <c r="E426" s="179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</row>
    <row r="427">
      <c r="A427" s="132"/>
      <c r="B427" s="134"/>
      <c r="E427" s="179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</row>
    <row r="428"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</row>
    <row r="429">
      <c r="A429" s="132" t="s">
        <v>9003</v>
      </c>
      <c r="B429" s="134"/>
      <c r="E429" s="179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</row>
    <row r="430">
      <c r="A430" s="132" t="s">
        <v>6243</v>
      </c>
      <c r="B430" s="134" t="s">
        <v>9004</v>
      </c>
      <c r="C430" s="87" t="s">
        <v>9005</v>
      </c>
      <c r="D430" s="136" t="s">
        <v>9006</v>
      </c>
      <c r="E430" s="181" t="s">
        <v>9007</v>
      </c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</row>
    <row r="431">
      <c r="A431" s="132"/>
      <c r="B431" s="134"/>
      <c r="E431" s="179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</row>
    <row r="432">
      <c r="A432" s="132"/>
      <c r="B432" s="134"/>
      <c r="E432" s="179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</row>
    <row r="433">
      <c r="A433" s="132"/>
      <c r="B433" s="134"/>
      <c r="E433" s="179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</row>
    <row r="434">
      <c r="A434" s="570"/>
      <c r="B434" s="533"/>
      <c r="C434" s="533"/>
      <c r="D434" s="68"/>
      <c r="E434" s="179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</row>
    <row r="435">
      <c r="A435" s="570"/>
      <c r="B435" s="533"/>
      <c r="C435" s="533"/>
      <c r="D435" s="68"/>
      <c r="E435" s="179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</row>
    <row r="436">
      <c r="A436" s="570"/>
      <c r="B436" s="533"/>
      <c r="C436" s="533"/>
      <c r="D436" s="68"/>
      <c r="E436" s="179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</row>
    <row r="437">
      <c r="A437" s="570"/>
      <c r="B437" s="533"/>
      <c r="C437" s="533"/>
      <c r="D437" s="68"/>
      <c r="E437" s="179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</row>
    <row r="438">
      <c r="A438" s="570"/>
      <c r="B438" s="533"/>
      <c r="C438" s="533"/>
      <c r="D438" s="68"/>
      <c r="E438" s="179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</row>
    <row r="439">
      <c r="A439" s="570"/>
      <c r="B439" s="533"/>
      <c r="C439" s="533"/>
      <c r="D439" s="68"/>
      <c r="E439" s="179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</row>
    <row r="440">
      <c r="A440" s="570"/>
      <c r="B440" s="533"/>
      <c r="C440" s="533"/>
      <c r="D440" s="68"/>
      <c r="E440" s="179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</row>
    <row r="441">
      <c r="A441" s="570"/>
      <c r="B441" s="533"/>
      <c r="C441" s="533"/>
      <c r="D441" s="68"/>
      <c r="E441" s="179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</row>
    <row r="442">
      <c r="A442" s="570"/>
      <c r="B442" s="533"/>
      <c r="C442" s="533"/>
      <c r="D442" s="68"/>
      <c r="E442" s="179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</row>
    <row r="443">
      <c r="A443" s="570"/>
      <c r="B443" s="533"/>
      <c r="C443" s="533"/>
      <c r="D443" s="68"/>
      <c r="E443" s="179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</row>
    <row r="444">
      <c r="A444" s="570"/>
      <c r="B444" s="533"/>
      <c r="C444" s="533"/>
      <c r="D444" s="68"/>
      <c r="E444" s="179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</row>
    <row r="445">
      <c r="A445" s="570"/>
      <c r="B445" s="533"/>
      <c r="C445" s="533"/>
      <c r="D445" s="68"/>
      <c r="E445" s="179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</row>
    <row r="446">
      <c r="A446" s="570"/>
      <c r="B446" s="533"/>
      <c r="C446" s="533"/>
      <c r="D446" s="68"/>
      <c r="E446" s="179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</row>
    <row r="447">
      <c r="A447" s="570"/>
      <c r="B447" s="533"/>
      <c r="C447" s="533"/>
      <c r="D447" s="68"/>
      <c r="E447" s="179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</row>
    <row r="448">
      <c r="A448" s="570"/>
      <c r="B448" s="533"/>
      <c r="C448" s="533"/>
      <c r="D448" s="68"/>
      <c r="E448" s="179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</row>
    <row r="449">
      <c r="A449" s="570"/>
      <c r="B449" s="533"/>
      <c r="C449" s="533"/>
      <c r="D449" s="68"/>
      <c r="E449" s="179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</row>
    <row r="450">
      <c r="A450" s="570"/>
      <c r="B450" s="533"/>
      <c r="C450" s="533"/>
      <c r="D450" s="68"/>
      <c r="E450" s="179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</row>
    <row r="451">
      <c r="A451" s="570"/>
      <c r="B451" s="533"/>
      <c r="C451" s="533"/>
      <c r="D451" s="68"/>
      <c r="E451" s="179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</row>
    <row r="452">
      <c r="A452" s="570"/>
      <c r="B452" s="533"/>
      <c r="C452" s="533"/>
      <c r="D452" s="68"/>
      <c r="E452" s="179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</row>
    <row r="453">
      <c r="A453" s="570"/>
      <c r="B453" s="533"/>
      <c r="C453" s="533"/>
      <c r="D453" s="68"/>
      <c r="E453" s="179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</row>
    <row r="454">
      <c r="A454" s="570"/>
      <c r="B454" s="533"/>
      <c r="C454" s="533"/>
      <c r="D454" s="68"/>
      <c r="E454" s="179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</row>
    <row r="455">
      <c r="A455" s="570"/>
      <c r="B455" s="533"/>
      <c r="C455" s="533"/>
      <c r="D455" s="68"/>
      <c r="E455" s="179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</row>
    <row r="456">
      <c r="A456" s="570"/>
      <c r="B456" s="533"/>
      <c r="C456" s="533"/>
      <c r="D456" s="68"/>
      <c r="E456" s="179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</row>
    <row r="457">
      <c r="A457" s="570"/>
      <c r="B457" s="533"/>
      <c r="C457" s="533"/>
      <c r="D457" s="68"/>
      <c r="E457" s="179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</row>
    <row r="458">
      <c r="A458" s="570"/>
      <c r="B458" s="533"/>
      <c r="C458" s="533"/>
      <c r="D458" s="68"/>
      <c r="E458" s="179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</row>
    <row r="459">
      <c r="A459" s="570"/>
      <c r="B459" s="533"/>
      <c r="C459" s="533"/>
      <c r="D459" s="68"/>
      <c r="E459" s="179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</row>
    <row r="460">
      <c r="A460" s="570"/>
      <c r="B460" s="533"/>
      <c r="C460" s="533"/>
      <c r="D460" s="68"/>
      <c r="E460" s="179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</row>
    <row r="461">
      <c r="A461" s="570"/>
      <c r="B461" s="533"/>
      <c r="C461" s="533"/>
      <c r="D461" s="68"/>
      <c r="E461" s="179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</row>
    <row r="462">
      <c r="A462" s="570"/>
      <c r="B462" s="533"/>
      <c r="C462" s="533"/>
      <c r="D462" s="68"/>
      <c r="E462" s="179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</row>
    <row r="463">
      <c r="A463" s="570"/>
      <c r="B463" s="533"/>
      <c r="C463" s="533"/>
      <c r="D463" s="68"/>
      <c r="E463" s="179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</row>
    <row r="464">
      <c r="A464" s="570"/>
      <c r="B464" s="533"/>
      <c r="C464" s="533"/>
      <c r="D464" s="68"/>
      <c r="E464" s="179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</row>
    <row r="465">
      <c r="A465" s="570"/>
      <c r="B465" s="533"/>
      <c r="C465" s="533"/>
      <c r="D465" s="68"/>
      <c r="E465" s="179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</row>
    <row r="466">
      <c r="A466" s="570"/>
      <c r="B466" s="533"/>
      <c r="C466" s="533"/>
      <c r="D466" s="68"/>
      <c r="E466" s="179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</row>
    <row r="467">
      <c r="A467" s="570"/>
      <c r="B467" s="533"/>
      <c r="C467" s="533"/>
      <c r="D467" s="68"/>
      <c r="E467" s="179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</row>
    <row r="468">
      <c r="A468" s="570"/>
      <c r="B468" s="533"/>
      <c r="C468" s="533"/>
      <c r="D468" s="68"/>
      <c r="E468" s="179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</row>
    <row r="469">
      <c r="A469" s="570"/>
      <c r="B469" s="533"/>
      <c r="C469" s="533"/>
      <c r="D469" s="68"/>
      <c r="E469" s="179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</row>
    <row r="470">
      <c r="A470" s="570"/>
      <c r="B470" s="533"/>
      <c r="C470" s="533"/>
      <c r="D470" s="68"/>
      <c r="E470" s="179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</row>
    <row r="471">
      <c r="A471" s="570"/>
      <c r="B471" s="533"/>
      <c r="C471" s="533"/>
      <c r="D471" s="68"/>
      <c r="E471" s="179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</row>
    <row r="472">
      <c r="A472" s="570"/>
      <c r="B472" s="533"/>
      <c r="C472" s="533"/>
      <c r="D472" s="68"/>
      <c r="E472" s="179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</row>
    <row r="473">
      <c r="A473" s="570"/>
      <c r="B473" s="533"/>
      <c r="C473" s="533"/>
      <c r="D473" s="68"/>
      <c r="E473" s="179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</row>
    <row r="474">
      <c r="A474" s="570"/>
      <c r="B474" s="533"/>
      <c r="C474" s="533"/>
      <c r="D474" s="68"/>
      <c r="E474" s="179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</row>
    <row r="475">
      <c r="A475" s="570"/>
      <c r="B475" s="533"/>
      <c r="C475" s="533"/>
      <c r="D475" s="68"/>
      <c r="E475" s="179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</row>
    <row r="476">
      <c r="A476" s="570"/>
      <c r="B476" s="533"/>
      <c r="C476" s="533"/>
      <c r="D476" s="68"/>
      <c r="E476" s="179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</row>
    <row r="477">
      <c r="A477" s="570"/>
      <c r="B477" s="533"/>
      <c r="C477" s="533"/>
      <c r="D477" s="68"/>
      <c r="E477" s="179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</row>
    <row r="478">
      <c r="A478" s="570"/>
      <c r="B478" s="533"/>
      <c r="C478" s="533"/>
      <c r="D478" s="68"/>
      <c r="E478" s="179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</row>
    <row r="479">
      <c r="A479" s="570"/>
      <c r="B479" s="533"/>
      <c r="C479" s="533"/>
      <c r="D479" s="68"/>
      <c r="E479" s="179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</row>
    <row r="480">
      <c r="A480" s="570"/>
      <c r="B480" s="533"/>
      <c r="C480" s="533"/>
      <c r="D480" s="68"/>
      <c r="E480" s="179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</row>
    <row r="481">
      <c r="A481" s="570"/>
      <c r="B481" s="533"/>
      <c r="C481" s="533"/>
      <c r="D481" s="68"/>
      <c r="E481" s="179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</row>
    <row r="482">
      <c r="A482" s="570"/>
      <c r="B482" s="533"/>
      <c r="C482" s="533"/>
      <c r="D482" s="68"/>
      <c r="E482" s="179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</row>
    <row r="483">
      <c r="A483" s="570"/>
      <c r="B483" s="533"/>
      <c r="C483" s="533"/>
      <c r="D483" s="68"/>
      <c r="E483" s="179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</row>
    <row r="484">
      <c r="A484" s="570"/>
      <c r="B484" s="533"/>
      <c r="C484" s="533"/>
      <c r="D484" s="68"/>
      <c r="E484" s="179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</row>
    <row r="485">
      <c r="A485" s="570"/>
      <c r="B485" s="533"/>
      <c r="C485" s="533"/>
      <c r="D485" s="68"/>
      <c r="E485" s="179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</row>
    <row r="486">
      <c r="A486" s="570"/>
      <c r="B486" s="533"/>
      <c r="C486" s="533"/>
      <c r="D486" s="68"/>
      <c r="E486" s="179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</row>
    <row r="487">
      <c r="A487" s="570"/>
      <c r="B487" s="533"/>
      <c r="C487" s="533"/>
      <c r="D487" s="68"/>
      <c r="E487" s="179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</row>
    <row r="488">
      <c r="A488" s="570"/>
      <c r="B488" s="533"/>
      <c r="C488" s="533"/>
      <c r="D488" s="68"/>
      <c r="E488" s="179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</row>
    <row r="489">
      <c r="A489" s="570"/>
      <c r="B489" s="533"/>
      <c r="C489" s="533"/>
      <c r="D489" s="68"/>
      <c r="E489" s="179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</row>
    <row r="490">
      <c r="A490" s="570"/>
      <c r="B490" s="533"/>
      <c r="C490" s="533"/>
      <c r="D490" s="68"/>
      <c r="E490" s="179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</row>
    <row r="491">
      <c r="A491" s="570"/>
      <c r="B491" s="533"/>
      <c r="C491" s="533"/>
      <c r="D491" s="68"/>
      <c r="E491" s="179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</row>
    <row r="492">
      <c r="A492" s="570"/>
      <c r="B492" s="533"/>
      <c r="C492" s="533"/>
      <c r="D492" s="68"/>
      <c r="E492" s="179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</row>
    <row r="493">
      <c r="A493" s="570"/>
      <c r="B493" s="533"/>
      <c r="C493" s="533"/>
      <c r="D493" s="68"/>
      <c r="E493" s="179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</row>
    <row r="494">
      <c r="A494" s="570"/>
      <c r="B494" s="533"/>
      <c r="C494" s="533"/>
      <c r="D494" s="68"/>
      <c r="E494" s="179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</row>
    <row r="495">
      <c r="A495" s="570"/>
      <c r="B495" s="533"/>
      <c r="C495" s="533"/>
      <c r="D495" s="68"/>
      <c r="E495" s="179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</row>
    <row r="496">
      <c r="A496" s="570"/>
      <c r="B496" s="533"/>
      <c r="C496" s="533"/>
      <c r="D496" s="68"/>
      <c r="E496" s="179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</row>
    <row r="497">
      <c r="A497" s="570"/>
      <c r="B497" s="533"/>
      <c r="C497" s="533"/>
      <c r="D497" s="68"/>
      <c r="E497" s="179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</row>
    <row r="498">
      <c r="A498" s="570"/>
      <c r="B498" s="533"/>
      <c r="C498" s="533"/>
      <c r="D498" s="68"/>
      <c r="E498" s="179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</row>
    <row r="499">
      <c r="A499" s="570"/>
      <c r="B499" s="533"/>
      <c r="C499" s="533"/>
      <c r="D499" s="68"/>
      <c r="E499" s="179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</row>
    <row r="500">
      <c r="A500" s="570"/>
      <c r="B500" s="533"/>
      <c r="C500" s="533"/>
      <c r="D500" s="68"/>
      <c r="E500" s="179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</row>
    <row r="501">
      <c r="A501" s="570"/>
      <c r="B501" s="533"/>
      <c r="C501" s="533"/>
      <c r="D501" s="68"/>
      <c r="E501" s="179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</row>
    <row r="502">
      <c r="A502" s="570"/>
      <c r="B502" s="533"/>
      <c r="C502" s="533"/>
      <c r="D502" s="68"/>
      <c r="E502" s="179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</row>
    <row r="503">
      <c r="A503" s="570"/>
      <c r="B503" s="533"/>
      <c r="C503" s="533"/>
      <c r="D503" s="68"/>
      <c r="E503" s="179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</row>
    <row r="504">
      <c r="A504" s="570"/>
      <c r="B504" s="533"/>
      <c r="C504" s="533"/>
      <c r="D504" s="68"/>
      <c r="E504" s="179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</row>
    <row r="505">
      <c r="A505" s="570"/>
      <c r="B505" s="533"/>
      <c r="C505" s="533"/>
      <c r="D505" s="68"/>
      <c r="E505" s="179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</row>
    <row r="506">
      <c r="A506" s="570"/>
      <c r="B506" s="533"/>
      <c r="C506" s="533"/>
      <c r="D506" s="68"/>
      <c r="E506" s="179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</row>
    <row r="507">
      <c r="A507" s="570"/>
      <c r="B507" s="533"/>
      <c r="C507" s="533"/>
      <c r="D507" s="68"/>
      <c r="E507" s="179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</row>
    <row r="508">
      <c r="A508" s="570"/>
      <c r="B508" s="533"/>
      <c r="C508" s="533"/>
      <c r="D508" s="68"/>
      <c r="E508" s="179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</row>
    <row r="509">
      <c r="A509" s="570"/>
      <c r="B509" s="533"/>
      <c r="C509" s="533"/>
      <c r="D509" s="68"/>
      <c r="E509" s="179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</row>
    <row r="510">
      <c r="A510" s="570"/>
      <c r="B510" s="533"/>
      <c r="C510" s="533"/>
      <c r="D510" s="68"/>
      <c r="E510" s="179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</row>
    <row r="511">
      <c r="A511" s="570"/>
      <c r="B511" s="533"/>
      <c r="C511" s="533"/>
      <c r="D511" s="68"/>
      <c r="E511" s="179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</row>
    <row r="512">
      <c r="A512" s="570"/>
      <c r="B512" s="533"/>
      <c r="C512" s="533"/>
      <c r="D512" s="68"/>
      <c r="E512" s="179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</row>
    <row r="513">
      <c r="A513" s="570"/>
      <c r="B513" s="533"/>
      <c r="C513" s="533"/>
      <c r="D513" s="68"/>
      <c r="E513" s="179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</row>
    <row r="514">
      <c r="A514" s="570"/>
      <c r="B514" s="533"/>
      <c r="C514" s="533"/>
      <c r="D514" s="68"/>
      <c r="E514" s="179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</row>
    <row r="515">
      <c r="A515" s="570"/>
      <c r="B515" s="533"/>
      <c r="C515" s="533"/>
      <c r="D515" s="68"/>
      <c r="E515" s="179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</row>
    <row r="516">
      <c r="A516" s="570"/>
      <c r="B516" s="533"/>
      <c r="C516" s="533"/>
      <c r="D516" s="68"/>
      <c r="E516" s="179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</row>
    <row r="517">
      <c r="A517" s="570"/>
      <c r="B517" s="533"/>
      <c r="C517" s="533"/>
      <c r="D517" s="68"/>
      <c r="E517" s="179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</row>
    <row r="518">
      <c r="A518" s="570"/>
      <c r="B518" s="533"/>
      <c r="C518" s="533"/>
      <c r="D518" s="68"/>
      <c r="E518" s="179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</row>
    <row r="519">
      <c r="A519" s="570"/>
      <c r="B519" s="533"/>
      <c r="C519" s="533"/>
      <c r="D519" s="68"/>
      <c r="E519" s="179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</row>
    <row r="520">
      <c r="A520" s="570"/>
      <c r="B520" s="533"/>
      <c r="C520" s="533"/>
      <c r="D520" s="68"/>
      <c r="E520" s="179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</row>
    <row r="521">
      <c r="A521" s="570"/>
      <c r="B521" s="533"/>
      <c r="C521" s="533"/>
      <c r="D521" s="68"/>
      <c r="E521" s="179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</row>
    <row r="522">
      <c r="A522" s="570"/>
      <c r="B522" s="533"/>
      <c r="C522" s="533"/>
      <c r="D522" s="68"/>
      <c r="E522" s="179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</row>
    <row r="523">
      <c r="A523" s="570"/>
      <c r="B523" s="533"/>
      <c r="C523" s="533"/>
      <c r="D523" s="68"/>
      <c r="E523" s="179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</row>
    <row r="524">
      <c r="A524" s="570"/>
      <c r="B524" s="533"/>
      <c r="C524" s="533"/>
      <c r="D524" s="68"/>
      <c r="E524" s="179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</row>
    <row r="525">
      <c r="A525" s="570"/>
      <c r="B525" s="533"/>
      <c r="C525" s="533"/>
      <c r="D525" s="68"/>
      <c r="E525" s="179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</row>
    <row r="526">
      <c r="A526" s="570"/>
      <c r="B526" s="533"/>
      <c r="C526" s="533"/>
      <c r="D526" s="68"/>
      <c r="E526" s="179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</row>
    <row r="527">
      <c r="A527" s="570"/>
      <c r="B527" s="533"/>
      <c r="C527" s="533"/>
      <c r="D527" s="68"/>
      <c r="E527" s="179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</row>
    <row r="528">
      <c r="A528" s="570"/>
      <c r="B528" s="533"/>
      <c r="C528" s="533"/>
      <c r="D528" s="68"/>
      <c r="E528" s="179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</row>
    <row r="529">
      <c r="A529" s="570"/>
      <c r="B529" s="533"/>
      <c r="C529" s="533"/>
      <c r="D529" s="68"/>
      <c r="E529" s="179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</row>
    <row r="530">
      <c r="A530" s="570"/>
      <c r="B530" s="533"/>
      <c r="C530" s="533"/>
      <c r="D530" s="68"/>
      <c r="E530" s="179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</row>
    <row r="531">
      <c r="A531" s="570"/>
      <c r="B531" s="533"/>
      <c r="C531" s="533"/>
      <c r="D531" s="68"/>
      <c r="E531" s="179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</row>
    <row r="532">
      <c r="A532" s="570"/>
      <c r="B532" s="533"/>
      <c r="C532" s="533"/>
      <c r="D532" s="68"/>
      <c r="E532" s="179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</row>
    <row r="533">
      <c r="A533" s="570"/>
      <c r="B533" s="533"/>
      <c r="C533" s="533"/>
      <c r="D533" s="68"/>
      <c r="E533" s="179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</row>
    <row r="534">
      <c r="A534" s="570"/>
      <c r="B534" s="533"/>
      <c r="C534" s="533"/>
      <c r="D534" s="68"/>
      <c r="E534" s="179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</row>
    <row r="535">
      <c r="A535" s="570"/>
      <c r="B535" s="533"/>
      <c r="C535" s="533"/>
      <c r="D535" s="68"/>
      <c r="E535" s="179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</row>
    <row r="536">
      <c r="A536" s="570"/>
      <c r="B536" s="533"/>
      <c r="C536" s="533"/>
      <c r="D536" s="68"/>
      <c r="E536" s="179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</row>
    <row r="537">
      <c r="A537" s="570"/>
      <c r="B537" s="533"/>
      <c r="C537" s="533"/>
      <c r="D537" s="68"/>
      <c r="E537" s="179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</row>
    <row r="538">
      <c r="A538" s="570"/>
      <c r="B538" s="533"/>
      <c r="C538" s="533"/>
      <c r="D538" s="68"/>
      <c r="E538" s="179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</row>
    <row r="539">
      <c r="A539" s="570"/>
      <c r="B539" s="533"/>
      <c r="C539" s="533"/>
      <c r="D539" s="68"/>
      <c r="E539" s="179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</row>
    <row r="540">
      <c r="A540" s="570"/>
      <c r="B540" s="533"/>
      <c r="C540" s="533"/>
      <c r="D540" s="68"/>
      <c r="E540" s="179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</row>
    <row r="541">
      <c r="A541" s="570"/>
      <c r="B541" s="533"/>
      <c r="C541" s="533"/>
      <c r="D541" s="68"/>
      <c r="E541" s="179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</row>
    <row r="542">
      <c r="A542" s="570"/>
      <c r="B542" s="533"/>
      <c r="C542" s="533"/>
      <c r="D542" s="68"/>
      <c r="E542" s="179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</row>
    <row r="543">
      <c r="A543" s="570"/>
      <c r="B543" s="533"/>
      <c r="C543" s="533"/>
      <c r="D543" s="68"/>
      <c r="E543" s="179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</row>
    <row r="544">
      <c r="A544" s="570"/>
      <c r="B544" s="533"/>
      <c r="C544" s="533"/>
      <c r="D544" s="68"/>
      <c r="E544" s="179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</row>
    <row r="545">
      <c r="A545" s="570"/>
      <c r="B545" s="533"/>
      <c r="C545" s="533"/>
      <c r="D545" s="68"/>
      <c r="E545" s="179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</row>
    <row r="546">
      <c r="A546" s="570"/>
      <c r="B546" s="533"/>
      <c r="C546" s="533"/>
      <c r="D546" s="68"/>
      <c r="E546" s="179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</row>
    <row r="547">
      <c r="A547" s="570"/>
      <c r="B547" s="533"/>
      <c r="C547" s="533"/>
      <c r="D547" s="68"/>
      <c r="E547" s="179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</row>
    <row r="548">
      <c r="A548" s="570"/>
      <c r="B548" s="533"/>
      <c r="C548" s="533"/>
      <c r="D548" s="68"/>
      <c r="E548" s="179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</row>
    <row r="549">
      <c r="A549" s="570"/>
      <c r="B549" s="533"/>
      <c r="C549" s="533"/>
      <c r="D549" s="68"/>
      <c r="E549" s="179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</row>
    <row r="550">
      <c r="A550" s="570"/>
      <c r="B550" s="533"/>
      <c r="C550" s="533"/>
      <c r="D550" s="68"/>
      <c r="E550" s="179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</row>
    <row r="551">
      <c r="A551" s="570"/>
      <c r="B551" s="533"/>
      <c r="C551" s="533"/>
      <c r="D551" s="68"/>
      <c r="E551" s="179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</row>
    <row r="552">
      <c r="A552" s="570"/>
      <c r="B552" s="533"/>
      <c r="C552" s="533"/>
      <c r="D552" s="68"/>
      <c r="E552" s="179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</row>
    <row r="553">
      <c r="A553" s="570"/>
      <c r="B553" s="533"/>
      <c r="C553" s="533"/>
      <c r="D553" s="68"/>
      <c r="E553" s="179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</row>
    <row r="554">
      <c r="A554" s="570"/>
      <c r="B554" s="533"/>
      <c r="C554" s="533"/>
      <c r="D554" s="68"/>
      <c r="E554" s="179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</row>
    <row r="555">
      <c r="A555" s="570"/>
      <c r="B555" s="533"/>
      <c r="C555" s="533"/>
      <c r="D555" s="68"/>
      <c r="E555" s="179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</row>
    <row r="556">
      <c r="A556" s="570"/>
      <c r="B556" s="533"/>
      <c r="C556" s="533"/>
      <c r="D556" s="68"/>
      <c r="E556" s="179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</row>
    <row r="557">
      <c r="A557" s="570"/>
      <c r="B557" s="533"/>
      <c r="C557" s="533"/>
      <c r="D557" s="68"/>
      <c r="E557" s="179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</row>
    <row r="558">
      <c r="A558" s="570"/>
      <c r="B558" s="533"/>
      <c r="C558" s="533"/>
      <c r="D558" s="68"/>
      <c r="E558" s="179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</row>
    <row r="559">
      <c r="A559" s="570"/>
      <c r="B559" s="533"/>
      <c r="C559" s="533"/>
      <c r="D559" s="68"/>
      <c r="E559" s="179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</row>
    <row r="560">
      <c r="A560" s="570"/>
      <c r="B560" s="533"/>
      <c r="C560" s="533"/>
      <c r="D560" s="68"/>
      <c r="E560" s="179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</row>
    <row r="561">
      <c r="A561" s="570"/>
      <c r="B561" s="533"/>
      <c r="C561" s="533"/>
      <c r="D561" s="68"/>
      <c r="E561" s="179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</row>
    <row r="562">
      <c r="A562" s="570"/>
      <c r="B562" s="533"/>
      <c r="C562" s="533"/>
      <c r="D562" s="68"/>
      <c r="E562" s="179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</row>
    <row r="563">
      <c r="A563" s="570"/>
      <c r="B563" s="533"/>
      <c r="C563" s="533"/>
      <c r="D563" s="68"/>
      <c r="E563" s="179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</row>
    <row r="564">
      <c r="A564" s="570"/>
      <c r="B564" s="533"/>
      <c r="C564" s="533"/>
      <c r="D564" s="68"/>
      <c r="E564" s="179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</row>
    <row r="565">
      <c r="A565" s="570"/>
      <c r="B565" s="533"/>
      <c r="C565" s="533"/>
      <c r="D565" s="68"/>
      <c r="E565" s="179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</row>
    <row r="566">
      <c r="A566" s="570"/>
      <c r="B566" s="533"/>
      <c r="C566" s="533"/>
      <c r="D566" s="68"/>
      <c r="E566" s="179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</row>
    <row r="567">
      <c r="A567" s="570"/>
      <c r="B567" s="533"/>
      <c r="C567" s="533"/>
      <c r="D567" s="68"/>
      <c r="E567" s="179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</row>
    <row r="568">
      <c r="A568" s="570"/>
      <c r="B568" s="533"/>
      <c r="C568" s="533"/>
      <c r="D568" s="68"/>
      <c r="E568" s="179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</row>
    <row r="569">
      <c r="A569" s="570"/>
      <c r="B569" s="533"/>
      <c r="C569" s="533"/>
      <c r="D569" s="68"/>
      <c r="E569" s="179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</row>
    <row r="570">
      <c r="A570" s="570"/>
      <c r="B570" s="533"/>
      <c r="C570" s="533"/>
      <c r="D570" s="68"/>
      <c r="E570" s="179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</row>
    <row r="571">
      <c r="A571" s="570"/>
      <c r="B571" s="533"/>
      <c r="C571" s="533"/>
      <c r="D571" s="68"/>
      <c r="E571" s="179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</row>
    <row r="572">
      <c r="A572" s="570"/>
      <c r="B572" s="533"/>
      <c r="C572" s="533"/>
      <c r="D572" s="68"/>
      <c r="E572" s="179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</row>
    <row r="573">
      <c r="A573" s="570"/>
      <c r="B573" s="533"/>
      <c r="C573" s="533"/>
      <c r="D573" s="68"/>
      <c r="E573" s="179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</row>
    <row r="574">
      <c r="A574" s="570"/>
      <c r="B574" s="533"/>
      <c r="C574" s="533"/>
      <c r="D574" s="68"/>
      <c r="E574" s="179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</row>
    <row r="575">
      <c r="A575" s="570"/>
      <c r="B575" s="533"/>
      <c r="C575" s="533"/>
      <c r="D575" s="68"/>
      <c r="E575" s="179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</row>
    <row r="576">
      <c r="A576" s="570"/>
      <c r="B576" s="533"/>
      <c r="C576" s="533"/>
      <c r="D576" s="68"/>
      <c r="E576" s="179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</row>
    <row r="577">
      <c r="A577" s="570"/>
      <c r="B577" s="533"/>
      <c r="C577" s="533"/>
      <c r="D577" s="68"/>
      <c r="E577" s="179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</row>
    <row r="578">
      <c r="A578" s="570"/>
      <c r="B578" s="533"/>
      <c r="C578" s="533"/>
      <c r="D578" s="68"/>
      <c r="E578" s="179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</row>
    <row r="579">
      <c r="A579" s="570"/>
      <c r="B579" s="533"/>
      <c r="C579" s="533"/>
      <c r="D579" s="68"/>
      <c r="E579" s="179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</row>
    <row r="580">
      <c r="A580" s="570"/>
      <c r="B580" s="533"/>
      <c r="C580" s="533"/>
      <c r="D580" s="68"/>
      <c r="E580" s="179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</row>
    <row r="581">
      <c r="A581" s="570"/>
      <c r="B581" s="533"/>
      <c r="C581" s="533"/>
      <c r="D581" s="68"/>
      <c r="E581" s="179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</row>
    <row r="582">
      <c r="A582" s="570"/>
      <c r="B582" s="533"/>
      <c r="C582" s="533"/>
      <c r="D582" s="68"/>
      <c r="E582" s="179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</row>
    <row r="583">
      <c r="A583" s="570"/>
      <c r="B583" s="533"/>
      <c r="C583" s="533"/>
      <c r="D583" s="68"/>
      <c r="E583" s="179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</row>
    <row r="584">
      <c r="A584" s="570"/>
      <c r="B584" s="533"/>
      <c r="C584" s="533"/>
      <c r="D584" s="68"/>
      <c r="E584" s="179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</row>
    <row r="585">
      <c r="A585" s="570"/>
      <c r="B585" s="533"/>
      <c r="C585" s="533"/>
      <c r="D585" s="68"/>
      <c r="E585" s="179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</row>
    <row r="586">
      <c r="A586" s="570"/>
      <c r="B586" s="533"/>
      <c r="C586" s="533"/>
      <c r="D586" s="68"/>
      <c r="E586" s="179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</row>
    <row r="587">
      <c r="A587" s="570"/>
      <c r="B587" s="533"/>
      <c r="C587" s="533"/>
      <c r="D587" s="68"/>
      <c r="E587" s="179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</row>
    <row r="588">
      <c r="A588" s="570"/>
      <c r="B588" s="533"/>
      <c r="C588" s="533"/>
      <c r="D588" s="68"/>
      <c r="E588" s="179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</row>
    <row r="589">
      <c r="A589" s="570"/>
      <c r="B589" s="533"/>
      <c r="C589" s="533"/>
      <c r="D589" s="68"/>
      <c r="E589" s="179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</row>
    <row r="590">
      <c r="A590" s="570"/>
      <c r="B590" s="533"/>
      <c r="C590" s="533"/>
      <c r="D590" s="68"/>
      <c r="E590" s="179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</row>
    <row r="591">
      <c r="A591" s="570"/>
      <c r="B591" s="533"/>
      <c r="C591" s="533"/>
      <c r="D591" s="68"/>
      <c r="E591" s="179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</row>
    <row r="592">
      <c r="A592" s="570"/>
      <c r="B592" s="533"/>
      <c r="C592" s="533"/>
      <c r="D592" s="68"/>
      <c r="E592" s="179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</row>
    <row r="593">
      <c r="A593" s="570"/>
      <c r="B593" s="533"/>
      <c r="C593" s="533"/>
      <c r="D593" s="68"/>
      <c r="E593" s="179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</row>
    <row r="594">
      <c r="A594" s="570"/>
      <c r="B594" s="533"/>
      <c r="C594" s="533"/>
      <c r="D594" s="68"/>
      <c r="E594" s="179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</row>
    <row r="595">
      <c r="A595" s="570"/>
      <c r="B595" s="533"/>
      <c r="C595" s="533"/>
      <c r="D595" s="68"/>
      <c r="E595" s="179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</row>
    <row r="596">
      <c r="A596" s="570"/>
      <c r="B596" s="533"/>
      <c r="C596" s="533"/>
      <c r="D596" s="68"/>
      <c r="E596" s="179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</row>
    <row r="597">
      <c r="A597" s="570"/>
      <c r="B597" s="533"/>
      <c r="C597" s="533"/>
      <c r="D597" s="68"/>
      <c r="E597" s="179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</row>
    <row r="598">
      <c r="A598" s="570"/>
      <c r="B598" s="533"/>
      <c r="C598" s="533"/>
      <c r="D598" s="68"/>
      <c r="E598" s="179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</row>
    <row r="599">
      <c r="A599" s="570"/>
      <c r="B599" s="533"/>
      <c r="C599" s="533"/>
      <c r="D599" s="68"/>
      <c r="E599" s="179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</row>
    <row r="600">
      <c r="A600" s="570"/>
      <c r="B600" s="533"/>
      <c r="C600" s="533"/>
      <c r="D600" s="68"/>
      <c r="E600" s="179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</row>
    <row r="601">
      <c r="A601" s="570"/>
      <c r="B601" s="533"/>
      <c r="C601" s="533"/>
      <c r="D601" s="68"/>
      <c r="E601" s="179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</row>
    <row r="602">
      <c r="A602" s="570"/>
      <c r="B602" s="533"/>
      <c r="C602" s="533"/>
      <c r="D602" s="68"/>
      <c r="E602" s="179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</row>
    <row r="603">
      <c r="A603" s="570"/>
      <c r="B603" s="533"/>
      <c r="C603" s="533"/>
      <c r="D603" s="68"/>
      <c r="E603" s="179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</row>
    <row r="604">
      <c r="A604" s="570"/>
      <c r="B604" s="533"/>
      <c r="C604" s="533"/>
      <c r="D604" s="68"/>
      <c r="E604" s="179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</row>
    <row r="605">
      <c r="A605" s="570"/>
      <c r="B605" s="533"/>
      <c r="C605" s="533"/>
      <c r="D605" s="68"/>
      <c r="E605" s="179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</row>
    <row r="606">
      <c r="A606" s="570"/>
      <c r="B606" s="533"/>
      <c r="C606" s="533"/>
      <c r="D606" s="68"/>
      <c r="E606" s="179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</row>
    <row r="607">
      <c r="A607" s="570"/>
      <c r="B607" s="533"/>
      <c r="C607" s="533"/>
      <c r="D607" s="68"/>
      <c r="E607" s="179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</row>
    <row r="608">
      <c r="A608" s="570"/>
      <c r="B608" s="533"/>
      <c r="C608" s="533"/>
      <c r="D608" s="68"/>
      <c r="E608" s="179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</row>
    <row r="609">
      <c r="A609" s="570"/>
      <c r="B609" s="533"/>
      <c r="C609" s="533"/>
      <c r="D609" s="68"/>
      <c r="E609" s="179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</row>
    <row r="610">
      <c r="A610" s="570"/>
      <c r="B610" s="533"/>
      <c r="C610" s="533"/>
      <c r="D610" s="68"/>
      <c r="E610" s="179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</row>
    <row r="611">
      <c r="A611" s="570"/>
      <c r="B611" s="533"/>
      <c r="C611" s="533"/>
      <c r="D611" s="68"/>
      <c r="E611" s="179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</row>
    <row r="612">
      <c r="A612" s="570"/>
      <c r="B612" s="533"/>
      <c r="C612" s="533"/>
      <c r="D612" s="68"/>
      <c r="E612" s="179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</row>
    <row r="613">
      <c r="A613" s="570"/>
      <c r="B613" s="533"/>
      <c r="C613" s="533"/>
      <c r="D613" s="68"/>
      <c r="E613" s="179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</row>
    <row r="614">
      <c r="A614" s="570"/>
      <c r="B614" s="533"/>
      <c r="C614" s="533"/>
      <c r="D614" s="68"/>
      <c r="E614" s="179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</row>
    <row r="615">
      <c r="A615" s="570"/>
      <c r="B615" s="533"/>
      <c r="C615" s="533"/>
      <c r="D615" s="68"/>
      <c r="E615" s="179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</row>
    <row r="616">
      <c r="A616" s="570"/>
      <c r="B616" s="533"/>
      <c r="C616" s="533"/>
      <c r="D616" s="68"/>
      <c r="E616" s="179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</row>
    <row r="617">
      <c r="A617" s="570"/>
      <c r="B617" s="533"/>
      <c r="C617" s="533"/>
      <c r="D617" s="68"/>
      <c r="E617" s="179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</row>
    <row r="618">
      <c r="A618" s="570"/>
      <c r="B618" s="533"/>
      <c r="C618" s="533"/>
      <c r="D618" s="68"/>
      <c r="E618" s="179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</row>
    <row r="619">
      <c r="A619" s="570"/>
      <c r="B619" s="533"/>
      <c r="C619" s="533"/>
      <c r="D619" s="68"/>
      <c r="E619" s="179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</row>
    <row r="620">
      <c r="A620" s="570"/>
      <c r="B620" s="533"/>
      <c r="C620" s="533"/>
      <c r="D620" s="68"/>
      <c r="E620" s="179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</row>
    <row r="621">
      <c r="A621" s="570"/>
      <c r="B621" s="533"/>
      <c r="C621" s="533"/>
      <c r="D621" s="68"/>
      <c r="E621" s="179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</row>
    <row r="622">
      <c r="A622" s="570"/>
      <c r="B622" s="533"/>
      <c r="C622" s="533"/>
      <c r="D622" s="68"/>
      <c r="E622" s="179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</row>
    <row r="623">
      <c r="A623" s="570"/>
      <c r="B623" s="533"/>
      <c r="C623" s="533"/>
      <c r="D623" s="68"/>
      <c r="E623" s="179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</row>
    <row r="624">
      <c r="A624" s="570"/>
      <c r="B624" s="533"/>
      <c r="C624" s="533"/>
      <c r="D624" s="68"/>
      <c r="E624" s="179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</row>
    <row r="625">
      <c r="A625" s="570"/>
      <c r="B625" s="533"/>
      <c r="C625" s="533"/>
      <c r="D625" s="68"/>
      <c r="E625" s="179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</row>
    <row r="626">
      <c r="A626" s="570"/>
      <c r="B626" s="533"/>
      <c r="C626" s="533"/>
      <c r="D626" s="68"/>
      <c r="E626" s="179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</row>
    <row r="627">
      <c r="A627" s="570"/>
      <c r="B627" s="533"/>
      <c r="C627" s="533"/>
      <c r="D627" s="68"/>
      <c r="E627" s="179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</row>
    <row r="628">
      <c r="A628" s="570"/>
      <c r="B628" s="533"/>
      <c r="C628" s="533"/>
      <c r="D628" s="68"/>
      <c r="E628" s="179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</row>
    <row r="629">
      <c r="A629" s="570"/>
      <c r="B629" s="533"/>
      <c r="C629" s="533"/>
      <c r="D629" s="68"/>
      <c r="E629" s="179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</row>
    <row r="630">
      <c r="A630" s="570"/>
      <c r="B630" s="533"/>
      <c r="C630" s="533"/>
      <c r="D630" s="68"/>
      <c r="E630" s="179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</row>
    <row r="631">
      <c r="A631" s="570"/>
      <c r="B631" s="533"/>
      <c r="C631" s="533"/>
      <c r="D631" s="68"/>
      <c r="E631" s="179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</row>
    <row r="632">
      <c r="A632" s="570"/>
      <c r="B632" s="533"/>
      <c r="C632" s="533"/>
      <c r="D632" s="68"/>
      <c r="E632" s="179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</row>
    <row r="633">
      <c r="A633" s="570"/>
      <c r="B633" s="533"/>
      <c r="C633" s="533"/>
      <c r="D633" s="68"/>
      <c r="E633" s="179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</row>
    <row r="634">
      <c r="A634" s="570"/>
      <c r="B634" s="533"/>
      <c r="C634" s="533"/>
      <c r="D634" s="68"/>
      <c r="E634" s="179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</row>
    <row r="635">
      <c r="A635" s="570"/>
      <c r="B635" s="533"/>
      <c r="C635" s="533"/>
      <c r="D635" s="68"/>
      <c r="E635" s="179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</row>
    <row r="636">
      <c r="A636" s="570"/>
      <c r="B636" s="533"/>
      <c r="C636" s="533"/>
      <c r="D636" s="68"/>
      <c r="E636" s="179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</row>
    <row r="637">
      <c r="A637" s="570"/>
      <c r="B637" s="533"/>
      <c r="C637" s="533"/>
      <c r="D637" s="68"/>
      <c r="E637" s="179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</row>
    <row r="638">
      <c r="A638" s="570"/>
      <c r="B638" s="533"/>
      <c r="C638" s="533"/>
      <c r="D638" s="68"/>
      <c r="E638" s="179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</row>
    <row r="639">
      <c r="A639" s="570"/>
      <c r="B639" s="533"/>
      <c r="C639" s="533"/>
      <c r="D639" s="68"/>
      <c r="E639" s="179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</row>
    <row r="640">
      <c r="A640" s="570"/>
      <c r="B640" s="533"/>
      <c r="C640" s="533"/>
      <c r="D640" s="68"/>
      <c r="E640" s="179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</row>
    <row r="641">
      <c r="A641" s="570"/>
      <c r="B641" s="533"/>
      <c r="C641" s="533"/>
      <c r="D641" s="68"/>
      <c r="E641" s="179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</row>
    <row r="642">
      <c r="A642" s="570"/>
      <c r="B642" s="533"/>
      <c r="C642" s="533"/>
      <c r="D642" s="68"/>
      <c r="E642" s="179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</row>
    <row r="643">
      <c r="A643" s="570"/>
      <c r="B643" s="533"/>
      <c r="C643" s="533"/>
      <c r="D643" s="68"/>
      <c r="E643" s="179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</row>
    <row r="644">
      <c r="A644" s="570"/>
      <c r="B644" s="533"/>
      <c r="C644" s="533"/>
      <c r="D644" s="68"/>
      <c r="E644" s="179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</row>
    <row r="645">
      <c r="A645" s="570"/>
      <c r="B645" s="533"/>
      <c r="C645" s="533"/>
      <c r="D645" s="68"/>
      <c r="E645" s="179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</row>
    <row r="646">
      <c r="A646" s="570"/>
      <c r="B646" s="533"/>
      <c r="C646" s="533"/>
      <c r="D646" s="68"/>
      <c r="E646" s="179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</row>
    <row r="647">
      <c r="A647" s="570"/>
      <c r="B647" s="533"/>
      <c r="C647" s="533"/>
      <c r="D647" s="68"/>
      <c r="E647" s="179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</row>
    <row r="648">
      <c r="A648" s="570"/>
      <c r="B648" s="533"/>
      <c r="C648" s="533"/>
      <c r="D648" s="68"/>
      <c r="E648" s="179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</row>
    <row r="649">
      <c r="A649" s="570"/>
      <c r="B649" s="533"/>
      <c r="C649" s="533"/>
      <c r="D649" s="68"/>
      <c r="E649" s="179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</row>
    <row r="650">
      <c r="A650" s="570"/>
      <c r="B650" s="533"/>
      <c r="C650" s="533"/>
      <c r="D650" s="68"/>
      <c r="E650" s="179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</row>
    <row r="651">
      <c r="A651" s="570"/>
      <c r="B651" s="533"/>
      <c r="C651" s="533"/>
      <c r="D651" s="68"/>
      <c r="E651" s="179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</row>
    <row r="652">
      <c r="A652" s="570"/>
      <c r="B652" s="533"/>
      <c r="C652" s="533"/>
      <c r="D652" s="68"/>
      <c r="E652" s="179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</row>
    <row r="653">
      <c r="A653" s="570"/>
      <c r="B653" s="533"/>
      <c r="C653" s="533"/>
      <c r="D653" s="68"/>
      <c r="E653" s="179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</row>
    <row r="654">
      <c r="A654" s="570"/>
      <c r="B654" s="533"/>
      <c r="C654" s="533"/>
      <c r="D654" s="68"/>
      <c r="E654" s="179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</row>
    <row r="655">
      <c r="A655" s="570"/>
      <c r="B655" s="533"/>
      <c r="C655" s="533"/>
      <c r="D655" s="68"/>
      <c r="E655" s="179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</row>
    <row r="656">
      <c r="A656" s="570"/>
      <c r="B656" s="533"/>
      <c r="C656" s="533"/>
      <c r="D656" s="68"/>
      <c r="E656" s="179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</row>
    <row r="657">
      <c r="A657" s="570"/>
      <c r="B657" s="533"/>
      <c r="C657" s="533"/>
      <c r="D657" s="68"/>
      <c r="E657" s="179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</row>
    <row r="658">
      <c r="A658" s="570"/>
      <c r="B658" s="533"/>
      <c r="C658" s="533"/>
      <c r="D658" s="68"/>
      <c r="E658" s="179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</row>
    <row r="659">
      <c r="A659" s="570"/>
      <c r="B659" s="533"/>
      <c r="C659" s="533"/>
      <c r="D659" s="68"/>
      <c r="E659" s="179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</row>
    <row r="660">
      <c r="A660" s="570"/>
      <c r="B660" s="533"/>
      <c r="C660" s="533"/>
      <c r="D660" s="68"/>
      <c r="E660" s="179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</row>
    <row r="661">
      <c r="A661" s="570"/>
      <c r="B661" s="533"/>
      <c r="C661" s="533"/>
      <c r="D661" s="68"/>
      <c r="E661" s="179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</row>
    <row r="662">
      <c r="A662" s="570"/>
      <c r="B662" s="533"/>
      <c r="C662" s="533"/>
      <c r="D662" s="68"/>
      <c r="E662" s="179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</row>
    <row r="663">
      <c r="A663" s="570"/>
      <c r="B663" s="533"/>
      <c r="C663" s="533"/>
      <c r="D663" s="68"/>
      <c r="E663" s="179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</row>
    <row r="664">
      <c r="A664" s="570"/>
      <c r="B664" s="533"/>
      <c r="C664" s="533"/>
      <c r="D664" s="68"/>
      <c r="E664" s="179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</row>
    <row r="665">
      <c r="A665" s="570"/>
      <c r="B665" s="533"/>
      <c r="C665" s="533"/>
      <c r="D665" s="68"/>
      <c r="E665" s="179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</row>
    <row r="666">
      <c r="A666" s="570"/>
      <c r="B666" s="533"/>
      <c r="C666" s="533"/>
      <c r="D666" s="68"/>
      <c r="E666" s="179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</row>
    <row r="667">
      <c r="A667" s="570"/>
      <c r="B667" s="533"/>
      <c r="C667" s="533"/>
      <c r="D667" s="68"/>
      <c r="E667" s="179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</row>
    <row r="668">
      <c r="A668" s="570"/>
      <c r="B668" s="533"/>
      <c r="C668" s="533"/>
      <c r="D668" s="68"/>
      <c r="E668" s="179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</row>
    <row r="669">
      <c r="A669" s="570"/>
      <c r="B669" s="533"/>
      <c r="C669" s="533"/>
      <c r="D669" s="68"/>
      <c r="E669" s="179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</row>
    <row r="670">
      <c r="A670" s="570"/>
      <c r="B670" s="533"/>
      <c r="C670" s="533"/>
      <c r="D670" s="68"/>
      <c r="E670" s="179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</row>
    <row r="671">
      <c r="A671" s="570"/>
      <c r="B671" s="533"/>
      <c r="C671" s="533"/>
      <c r="D671" s="68"/>
      <c r="E671" s="179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</row>
    <row r="672">
      <c r="A672" s="570"/>
      <c r="B672" s="533"/>
      <c r="C672" s="533"/>
      <c r="D672" s="68"/>
      <c r="E672" s="179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</row>
    <row r="673">
      <c r="A673" s="570"/>
      <c r="B673" s="533"/>
      <c r="C673" s="533"/>
      <c r="D673" s="68"/>
      <c r="E673" s="179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</row>
    <row r="674">
      <c r="A674" s="570"/>
      <c r="B674" s="533"/>
      <c r="C674" s="533"/>
      <c r="D674" s="68"/>
      <c r="E674" s="179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</row>
    <row r="675">
      <c r="A675" s="570"/>
      <c r="B675" s="533"/>
      <c r="C675" s="533"/>
      <c r="D675" s="68"/>
      <c r="E675" s="179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</row>
    <row r="676">
      <c r="A676" s="570"/>
      <c r="B676" s="533"/>
      <c r="C676" s="533"/>
      <c r="D676" s="68"/>
      <c r="E676" s="179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</row>
    <row r="677">
      <c r="A677" s="570"/>
      <c r="B677" s="533"/>
      <c r="C677" s="533"/>
      <c r="D677" s="68"/>
      <c r="E677" s="179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</row>
    <row r="678">
      <c r="A678" s="570"/>
      <c r="B678" s="533"/>
      <c r="C678" s="533"/>
      <c r="D678" s="68"/>
      <c r="E678" s="179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</row>
    <row r="679">
      <c r="A679" s="570"/>
      <c r="B679" s="533"/>
      <c r="C679" s="533"/>
      <c r="D679" s="68"/>
      <c r="E679" s="179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</row>
    <row r="680">
      <c r="A680" s="570"/>
      <c r="B680" s="533"/>
      <c r="C680" s="533"/>
      <c r="D680" s="68"/>
      <c r="E680" s="179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</row>
    <row r="681">
      <c r="A681" s="570"/>
      <c r="B681" s="533"/>
      <c r="C681" s="533"/>
      <c r="D681" s="68"/>
      <c r="E681" s="179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</row>
    <row r="682">
      <c r="A682" s="570"/>
      <c r="B682" s="533"/>
      <c r="C682" s="533"/>
      <c r="D682" s="68"/>
      <c r="E682" s="179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</row>
    <row r="683">
      <c r="A683" s="570"/>
      <c r="B683" s="533"/>
      <c r="C683" s="533"/>
      <c r="D683" s="68"/>
      <c r="E683" s="179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</row>
    <row r="684">
      <c r="A684" s="570"/>
      <c r="B684" s="533"/>
      <c r="C684" s="533"/>
      <c r="D684" s="68"/>
      <c r="E684" s="179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</row>
    <row r="685">
      <c r="A685" s="570"/>
      <c r="B685" s="533"/>
      <c r="C685" s="533"/>
      <c r="D685" s="68"/>
      <c r="E685" s="179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</row>
    <row r="686">
      <c r="A686" s="570"/>
      <c r="B686" s="533"/>
      <c r="C686" s="533"/>
      <c r="D686" s="68"/>
      <c r="E686" s="179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</row>
    <row r="687">
      <c r="A687" s="570"/>
      <c r="B687" s="533"/>
      <c r="C687" s="533"/>
      <c r="D687" s="68"/>
      <c r="E687" s="179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</row>
    <row r="688">
      <c r="A688" s="570"/>
      <c r="B688" s="533"/>
      <c r="C688" s="533"/>
      <c r="D688" s="68"/>
      <c r="E688" s="179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</row>
    <row r="689">
      <c r="A689" s="570"/>
      <c r="B689" s="533"/>
      <c r="C689" s="533"/>
      <c r="D689" s="68"/>
      <c r="E689" s="179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</row>
    <row r="690">
      <c r="A690" s="570"/>
      <c r="B690" s="533"/>
      <c r="C690" s="533"/>
      <c r="D690" s="68"/>
      <c r="E690" s="179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</row>
    <row r="691">
      <c r="A691" s="570"/>
      <c r="B691" s="533"/>
      <c r="C691" s="533"/>
      <c r="D691" s="68"/>
      <c r="E691" s="179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</row>
    <row r="692">
      <c r="A692" s="570"/>
      <c r="B692" s="533"/>
      <c r="C692" s="533"/>
      <c r="D692" s="68"/>
      <c r="E692" s="179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</row>
    <row r="693">
      <c r="A693" s="570"/>
      <c r="B693" s="533"/>
      <c r="C693" s="533"/>
      <c r="D693" s="68"/>
      <c r="E693" s="179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</row>
    <row r="694">
      <c r="A694" s="570"/>
      <c r="B694" s="533"/>
      <c r="C694" s="533"/>
      <c r="D694" s="68"/>
      <c r="E694" s="179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</row>
    <row r="695">
      <c r="A695" s="570"/>
      <c r="B695" s="533"/>
      <c r="C695" s="533"/>
      <c r="D695" s="68"/>
      <c r="E695" s="179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</row>
    <row r="696">
      <c r="A696" s="570"/>
      <c r="B696" s="533"/>
      <c r="C696" s="533"/>
      <c r="D696" s="68"/>
      <c r="E696" s="179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</row>
    <row r="697">
      <c r="A697" s="570"/>
      <c r="B697" s="533"/>
      <c r="C697" s="533"/>
      <c r="D697" s="68"/>
      <c r="E697" s="179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</row>
    <row r="698">
      <c r="A698" s="570"/>
      <c r="B698" s="533"/>
      <c r="C698" s="533"/>
      <c r="D698" s="68"/>
      <c r="E698" s="179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</row>
    <row r="699">
      <c r="A699" s="570"/>
      <c r="B699" s="533"/>
      <c r="C699" s="533"/>
      <c r="D699" s="68"/>
      <c r="E699" s="179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</row>
    <row r="700">
      <c r="A700" s="570"/>
      <c r="B700" s="533"/>
      <c r="C700" s="533"/>
      <c r="D700" s="68"/>
      <c r="E700" s="179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</row>
    <row r="701">
      <c r="A701" s="570"/>
      <c r="B701" s="533"/>
      <c r="C701" s="533"/>
      <c r="D701" s="68"/>
      <c r="E701" s="179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</row>
    <row r="702">
      <c r="A702" s="570"/>
      <c r="B702" s="533"/>
      <c r="C702" s="533"/>
      <c r="D702" s="68"/>
      <c r="E702" s="179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</row>
    <row r="703">
      <c r="A703" s="570"/>
      <c r="B703" s="533"/>
      <c r="C703" s="533"/>
      <c r="D703" s="68"/>
      <c r="E703" s="179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</row>
    <row r="704">
      <c r="A704" s="570"/>
      <c r="B704" s="533"/>
      <c r="C704" s="533"/>
      <c r="D704" s="68"/>
      <c r="E704" s="179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</row>
    <row r="705">
      <c r="A705" s="570"/>
      <c r="B705" s="533"/>
      <c r="C705" s="533"/>
      <c r="D705" s="68"/>
      <c r="E705" s="179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</row>
    <row r="706">
      <c r="A706" s="570"/>
      <c r="B706" s="533"/>
      <c r="C706" s="533"/>
      <c r="D706" s="68"/>
      <c r="E706" s="179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</row>
    <row r="707">
      <c r="A707" s="570"/>
      <c r="B707" s="533"/>
      <c r="C707" s="533"/>
      <c r="D707" s="68"/>
      <c r="E707" s="179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</row>
    <row r="708">
      <c r="A708" s="570"/>
      <c r="B708" s="533"/>
      <c r="C708" s="533"/>
      <c r="D708" s="68"/>
      <c r="E708" s="179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</row>
    <row r="709">
      <c r="A709" s="570"/>
      <c r="B709" s="533"/>
      <c r="C709" s="533"/>
      <c r="D709" s="68"/>
      <c r="E709" s="179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</row>
    <row r="710">
      <c r="A710" s="570"/>
      <c r="B710" s="533"/>
      <c r="C710" s="533"/>
      <c r="D710" s="68"/>
      <c r="E710" s="179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</row>
    <row r="711">
      <c r="A711" s="570"/>
      <c r="B711" s="533"/>
      <c r="C711" s="533"/>
      <c r="D711" s="68"/>
      <c r="E711" s="179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</row>
    <row r="712">
      <c r="A712" s="570"/>
      <c r="B712" s="533"/>
      <c r="C712" s="533"/>
      <c r="D712" s="68"/>
      <c r="E712" s="179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</row>
    <row r="713">
      <c r="A713" s="570"/>
      <c r="B713" s="533"/>
      <c r="C713" s="533"/>
      <c r="D713" s="68"/>
      <c r="E713" s="179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</row>
    <row r="714">
      <c r="A714" s="570"/>
      <c r="B714" s="533"/>
      <c r="C714" s="533"/>
      <c r="D714" s="68"/>
      <c r="E714" s="179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</row>
    <row r="715">
      <c r="A715" s="570"/>
      <c r="B715" s="533"/>
      <c r="C715" s="533"/>
      <c r="D715" s="68"/>
      <c r="E715" s="179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</row>
    <row r="716">
      <c r="A716" s="570"/>
      <c r="B716" s="533"/>
      <c r="C716" s="533"/>
      <c r="D716" s="68"/>
      <c r="E716" s="179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</row>
    <row r="717">
      <c r="A717" s="570"/>
      <c r="B717" s="533"/>
      <c r="C717" s="533"/>
      <c r="D717" s="68"/>
      <c r="E717" s="179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</row>
    <row r="718">
      <c r="A718" s="570"/>
      <c r="B718" s="533"/>
      <c r="C718" s="533"/>
      <c r="D718" s="68"/>
      <c r="E718" s="179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</row>
    <row r="719">
      <c r="A719" s="570"/>
      <c r="B719" s="533"/>
      <c r="C719" s="533"/>
      <c r="D719" s="68"/>
      <c r="E719" s="179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</row>
    <row r="720">
      <c r="A720" s="570"/>
      <c r="B720" s="533"/>
      <c r="C720" s="533"/>
      <c r="D720" s="68"/>
      <c r="E720" s="179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</row>
    <row r="721">
      <c r="A721" s="570"/>
      <c r="B721" s="533"/>
      <c r="C721" s="533"/>
      <c r="D721" s="68"/>
      <c r="E721" s="179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</row>
    <row r="722">
      <c r="A722" s="570"/>
      <c r="B722" s="533"/>
      <c r="C722" s="533"/>
      <c r="D722" s="68"/>
      <c r="E722" s="179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</row>
    <row r="723">
      <c r="A723" s="570"/>
      <c r="B723" s="533"/>
      <c r="C723" s="533"/>
      <c r="D723" s="68"/>
      <c r="E723" s="179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</row>
    <row r="724">
      <c r="A724" s="570"/>
      <c r="B724" s="533"/>
      <c r="C724" s="533"/>
      <c r="D724" s="68"/>
      <c r="E724" s="179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</row>
    <row r="725">
      <c r="A725" s="570"/>
      <c r="B725" s="533"/>
      <c r="C725" s="533"/>
      <c r="D725" s="68"/>
      <c r="E725" s="179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</row>
    <row r="726">
      <c r="A726" s="570"/>
      <c r="B726" s="533"/>
      <c r="C726" s="533"/>
      <c r="D726" s="68"/>
      <c r="E726" s="179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</row>
    <row r="727">
      <c r="A727" s="570"/>
      <c r="B727" s="533"/>
      <c r="C727" s="533"/>
      <c r="D727" s="68"/>
      <c r="E727" s="179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</row>
    <row r="728">
      <c r="A728" s="570"/>
      <c r="B728" s="533"/>
      <c r="C728" s="533"/>
      <c r="D728" s="68"/>
      <c r="E728" s="179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</row>
    <row r="729">
      <c r="A729" s="570"/>
      <c r="B729" s="533"/>
      <c r="C729" s="533"/>
      <c r="D729" s="68"/>
      <c r="E729" s="179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</row>
    <row r="730">
      <c r="A730" s="570"/>
      <c r="B730" s="533"/>
      <c r="C730" s="533"/>
      <c r="D730" s="68"/>
      <c r="E730" s="179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</row>
    <row r="731">
      <c r="A731" s="570"/>
      <c r="B731" s="533"/>
      <c r="C731" s="533"/>
      <c r="D731" s="68"/>
      <c r="E731" s="179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</row>
    <row r="732">
      <c r="A732" s="570"/>
      <c r="B732" s="533"/>
      <c r="C732" s="533"/>
      <c r="D732" s="68"/>
      <c r="E732" s="179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</row>
    <row r="733">
      <c r="A733" s="570"/>
      <c r="B733" s="533"/>
      <c r="C733" s="533"/>
      <c r="D733" s="68"/>
      <c r="E733" s="179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</row>
    <row r="734">
      <c r="A734" s="570"/>
      <c r="B734" s="533"/>
      <c r="C734" s="533"/>
      <c r="D734" s="68"/>
      <c r="E734" s="179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</row>
    <row r="735">
      <c r="A735" s="570"/>
      <c r="B735" s="533"/>
      <c r="C735" s="533"/>
      <c r="D735" s="68"/>
      <c r="E735" s="179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</row>
    <row r="736">
      <c r="A736" s="570"/>
      <c r="B736" s="533"/>
      <c r="C736" s="533"/>
      <c r="D736" s="68"/>
      <c r="E736" s="179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</row>
    <row r="737">
      <c r="A737" s="570"/>
      <c r="B737" s="533"/>
      <c r="C737" s="533"/>
      <c r="D737" s="68"/>
      <c r="E737" s="179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</row>
    <row r="738">
      <c r="A738" s="570"/>
      <c r="B738" s="533"/>
      <c r="C738" s="533"/>
      <c r="D738" s="68"/>
      <c r="E738" s="179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</row>
    <row r="739">
      <c r="A739" s="570"/>
      <c r="B739" s="533"/>
      <c r="C739" s="533"/>
      <c r="D739" s="68"/>
      <c r="E739" s="179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</row>
    <row r="740">
      <c r="A740" s="570"/>
      <c r="B740" s="533"/>
      <c r="C740" s="533"/>
      <c r="D740" s="68"/>
      <c r="E740" s="179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</row>
    <row r="741">
      <c r="A741" s="570"/>
      <c r="B741" s="533"/>
      <c r="C741" s="533"/>
      <c r="D741" s="68"/>
      <c r="E741" s="179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</row>
    <row r="742">
      <c r="A742" s="570"/>
      <c r="B742" s="533"/>
      <c r="C742" s="533"/>
      <c r="D742" s="68"/>
      <c r="E742" s="179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</row>
    <row r="743">
      <c r="A743" s="570"/>
      <c r="B743" s="533"/>
      <c r="C743" s="533"/>
      <c r="D743" s="68"/>
      <c r="E743" s="179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</row>
    <row r="744">
      <c r="A744" s="570"/>
      <c r="B744" s="533"/>
      <c r="C744" s="533"/>
      <c r="D744" s="68"/>
      <c r="E744" s="179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</row>
    <row r="745">
      <c r="A745" s="570"/>
      <c r="B745" s="533"/>
      <c r="C745" s="533"/>
      <c r="D745" s="68"/>
      <c r="E745" s="179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</row>
    <row r="746">
      <c r="A746" s="570"/>
      <c r="B746" s="533"/>
      <c r="C746" s="533"/>
      <c r="D746" s="68"/>
      <c r="E746" s="179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</row>
    <row r="747">
      <c r="A747" s="570"/>
      <c r="B747" s="533"/>
      <c r="C747" s="533"/>
      <c r="D747" s="68"/>
      <c r="E747" s="179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</row>
    <row r="748">
      <c r="A748" s="570"/>
      <c r="B748" s="533"/>
      <c r="C748" s="533"/>
      <c r="D748" s="68"/>
      <c r="E748" s="179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</row>
    <row r="749">
      <c r="A749" s="570"/>
      <c r="B749" s="533"/>
      <c r="C749" s="533"/>
      <c r="D749" s="68"/>
      <c r="E749" s="179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</row>
    <row r="750">
      <c r="A750" s="570"/>
      <c r="B750" s="533"/>
      <c r="C750" s="533"/>
      <c r="D750" s="68"/>
      <c r="E750" s="179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</row>
    <row r="751">
      <c r="A751" s="570"/>
      <c r="B751" s="533"/>
      <c r="C751" s="533"/>
      <c r="D751" s="68"/>
      <c r="E751" s="179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</row>
    <row r="752">
      <c r="A752" s="570"/>
      <c r="B752" s="533"/>
      <c r="C752" s="533"/>
      <c r="D752" s="68"/>
      <c r="E752" s="179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</row>
    <row r="753">
      <c r="A753" s="570"/>
      <c r="B753" s="533"/>
      <c r="C753" s="533"/>
      <c r="D753" s="68"/>
      <c r="E753" s="179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</row>
    <row r="754">
      <c r="A754" s="570"/>
      <c r="B754" s="533"/>
      <c r="C754" s="533"/>
      <c r="D754" s="68"/>
      <c r="E754" s="179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</row>
    <row r="755">
      <c r="A755" s="570"/>
      <c r="B755" s="533"/>
      <c r="C755" s="533"/>
      <c r="D755" s="68"/>
      <c r="E755" s="179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</row>
    <row r="756">
      <c r="A756" s="570"/>
      <c r="B756" s="533"/>
      <c r="C756" s="533"/>
      <c r="D756" s="68"/>
      <c r="E756" s="179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</row>
    <row r="757">
      <c r="A757" s="570"/>
      <c r="B757" s="533"/>
      <c r="C757" s="533"/>
      <c r="D757" s="68"/>
      <c r="E757" s="179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</row>
    <row r="758">
      <c r="A758" s="570"/>
      <c r="B758" s="533"/>
      <c r="C758" s="533"/>
      <c r="D758" s="68"/>
      <c r="E758" s="179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</row>
    <row r="759">
      <c r="A759" s="570"/>
      <c r="B759" s="533"/>
      <c r="C759" s="533"/>
      <c r="D759" s="68"/>
      <c r="E759" s="179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</row>
    <row r="760">
      <c r="A760" s="570"/>
      <c r="B760" s="533"/>
      <c r="C760" s="533"/>
      <c r="D760" s="68"/>
      <c r="E760" s="179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</row>
    <row r="761">
      <c r="A761" s="570"/>
      <c r="B761" s="533"/>
      <c r="C761" s="533"/>
      <c r="D761" s="68"/>
      <c r="E761" s="179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</row>
    <row r="762">
      <c r="A762" s="570"/>
      <c r="B762" s="533"/>
      <c r="C762" s="533"/>
      <c r="D762" s="68"/>
      <c r="E762" s="179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</row>
    <row r="763">
      <c r="A763" s="570"/>
      <c r="B763" s="533"/>
      <c r="C763" s="533"/>
      <c r="D763" s="68"/>
      <c r="E763" s="179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</row>
    <row r="764">
      <c r="A764" s="570"/>
      <c r="B764" s="533"/>
      <c r="C764" s="533"/>
      <c r="D764" s="68"/>
      <c r="E764" s="179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</row>
    <row r="765">
      <c r="A765" s="570"/>
      <c r="B765" s="533"/>
      <c r="C765" s="533"/>
      <c r="D765" s="68"/>
      <c r="E765" s="179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</row>
    <row r="766">
      <c r="A766" s="570"/>
      <c r="B766" s="533"/>
      <c r="C766" s="533"/>
      <c r="D766" s="68"/>
      <c r="E766" s="179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</row>
    <row r="767">
      <c r="A767" s="570"/>
      <c r="B767" s="533"/>
      <c r="C767" s="533"/>
      <c r="D767" s="68"/>
      <c r="E767" s="179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</row>
    <row r="768">
      <c r="A768" s="570"/>
      <c r="B768" s="533"/>
      <c r="C768" s="533"/>
      <c r="D768" s="68"/>
      <c r="E768" s="179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</row>
    <row r="769">
      <c r="A769" s="570"/>
      <c r="B769" s="533"/>
      <c r="C769" s="533"/>
      <c r="D769" s="68"/>
      <c r="E769" s="179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</row>
    <row r="770">
      <c r="A770" s="570"/>
      <c r="B770" s="533"/>
      <c r="C770" s="533"/>
      <c r="D770" s="68"/>
      <c r="E770" s="179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</row>
    <row r="771">
      <c r="A771" s="570"/>
      <c r="B771" s="533"/>
      <c r="C771" s="533"/>
      <c r="D771" s="68"/>
      <c r="E771" s="179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</row>
    <row r="772">
      <c r="A772" s="570"/>
      <c r="B772" s="533"/>
      <c r="C772" s="533"/>
      <c r="D772" s="68"/>
      <c r="E772" s="179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</row>
    <row r="773">
      <c r="A773" s="570"/>
      <c r="B773" s="533"/>
      <c r="C773" s="533"/>
      <c r="D773" s="68"/>
      <c r="E773" s="179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</row>
    <row r="774">
      <c r="A774" s="570"/>
      <c r="B774" s="533"/>
      <c r="C774" s="533"/>
      <c r="D774" s="68"/>
      <c r="E774" s="179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</row>
    <row r="775">
      <c r="A775" s="570"/>
      <c r="B775" s="533"/>
      <c r="C775" s="533"/>
      <c r="D775" s="68"/>
      <c r="E775" s="179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</row>
    <row r="776">
      <c r="A776" s="570"/>
      <c r="B776" s="533"/>
      <c r="C776" s="533"/>
      <c r="D776" s="68"/>
      <c r="E776" s="179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</row>
    <row r="777">
      <c r="A777" s="570"/>
      <c r="B777" s="533"/>
      <c r="C777" s="533"/>
      <c r="D777" s="68"/>
      <c r="E777" s="179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</row>
    <row r="778">
      <c r="A778" s="570"/>
      <c r="B778" s="533"/>
      <c r="C778" s="533"/>
      <c r="D778" s="68"/>
      <c r="E778" s="179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</row>
    <row r="779">
      <c r="A779" s="570"/>
      <c r="B779" s="533"/>
      <c r="C779" s="533"/>
      <c r="D779" s="68"/>
      <c r="E779" s="179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</row>
    <row r="780">
      <c r="A780" s="570"/>
      <c r="B780" s="533"/>
      <c r="C780" s="533"/>
      <c r="D780" s="68"/>
      <c r="E780" s="179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</row>
    <row r="781">
      <c r="A781" s="570"/>
      <c r="B781" s="533"/>
      <c r="C781" s="533"/>
      <c r="D781" s="68"/>
      <c r="E781" s="179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</row>
    <row r="782">
      <c r="A782" s="570"/>
      <c r="B782" s="533"/>
      <c r="C782" s="533"/>
      <c r="D782" s="68"/>
      <c r="E782" s="179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</row>
    <row r="783">
      <c r="A783" s="570"/>
      <c r="B783" s="533"/>
      <c r="C783" s="533"/>
      <c r="D783" s="68"/>
      <c r="E783" s="179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</row>
    <row r="784">
      <c r="A784" s="570"/>
      <c r="B784" s="533"/>
      <c r="C784" s="533"/>
      <c r="D784" s="68"/>
      <c r="E784" s="179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</row>
    <row r="785">
      <c r="A785" s="570"/>
      <c r="B785" s="533"/>
      <c r="C785" s="533"/>
      <c r="D785" s="68"/>
      <c r="E785" s="179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</row>
    <row r="786">
      <c r="A786" s="570"/>
      <c r="B786" s="533"/>
      <c r="C786" s="533"/>
      <c r="D786" s="68"/>
      <c r="E786" s="179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</row>
    <row r="787">
      <c r="A787" s="570"/>
      <c r="B787" s="533"/>
      <c r="C787" s="533"/>
      <c r="D787" s="68"/>
      <c r="E787" s="179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</row>
    <row r="788">
      <c r="A788" s="570"/>
      <c r="B788" s="533"/>
      <c r="C788" s="533"/>
      <c r="D788" s="68"/>
      <c r="E788" s="179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</row>
    <row r="789">
      <c r="A789" s="570"/>
      <c r="B789" s="533"/>
      <c r="C789" s="533"/>
      <c r="D789" s="68"/>
      <c r="E789" s="179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</row>
    <row r="790">
      <c r="A790" s="570"/>
      <c r="B790" s="533"/>
      <c r="C790" s="533"/>
      <c r="D790" s="68"/>
      <c r="E790" s="179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</row>
    <row r="791">
      <c r="A791" s="570"/>
      <c r="B791" s="533"/>
      <c r="C791" s="533"/>
      <c r="D791" s="68"/>
      <c r="E791" s="179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</row>
    <row r="792">
      <c r="A792" s="570"/>
      <c r="B792" s="533"/>
      <c r="C792" s="533"/>
      <c r="D792" s="68"/>
      <c r="E792" s="179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</row>
    <row r="793">
      <c r="A793" s="570"/>
      <c r="B793" s="533"/>
      <c r="C793" s="533"/>
      <c r="D793" s="68"/>
      <c r="E793" s="179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</row>
    <row r="794">
      <c r="A794" s="570"/>
      <c r="B794" s="533"/>
      <c r="C794" s="533"/>
      <c r="D794" s="68"/>
      <c r="E794" s="179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</row>
    <row r="795">
      <c r="A795" s="570"/>
      <c r="B795" s="533"/>
      <c r="C795" s="533"/>
      <c r="D795" s="68"/>
      <c r="E795" s="179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</row>
    <row r="796">
      <c r="A796" s="570"/>
      <c r="B796" s="533"/>
      <c r="C796" s="533"/>
      <c r="D796" s="68"/>
      <c r="E796" s="179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</row>
    <row r="797">
      <c r="A797" s="570"/>
      <c r="B797" s="533"/>
      <c r="C797" s="533"/>
      <c r="D797" s="68"/>
      <c r="E797" s="179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</row>
    <row r="798">
      <c r="A798" s="570"/>
      <c r="B798" s="533"/>
      <c r="C798" s="533"/>
      <c r="D798" s="68"/>
      <c r="E798" s="179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</row>
    <row r="799">
      <c r="A799" s="570"/>
      <c r="B799" s="533"/>
      <c r="C799" s="533"/>
      <c r="D799" s="68"/>
      <c r="E799" s="179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</row>
    <row r="800">
      <c r="A800" s="570"/>
      <c r="B800" s="533"/>
      <c r="C800" s="533"/>
      <c r="D800" s="68"/>
      <c r="E800" s="179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</row>
    <row r="801">
      <c r="A801" s="570"/>
      <c r="B801" s="533"/>
      <c r="C801" s="533"/>
      <c r="D801" s="68"/>
      <c r="E801" s="179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</row>
    <row r="802">
      <c r="A802" s="570"/>
      <c r="B802" s="533"/>
      <c r="C802" s="533"/>
      <c r="D802" s="68"/>
      <c r="E802" s="179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</row>
    <row r="803">
      <c r="A803" s="570"/>
      <c r="B803" s="533"/>
      <c r="C803" s="533"/>
      <c r="D803" s="68"/>
      <c r="E803" s="179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</row>
    <row r="804">
      <c r="A804" s="570"/>
      <c r="B804" s="533"/>
      <c r="C804" s="533"/>
      <c r="D804" s="68"/>
      <c r="E804" s="179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</row>
    <row r="805">
      <c r="A805" s="570"/>
      <c r="B805" s="533"/>
      <c r="C805" s="533"/>
      <c r="D805" s="68"/>
      <c r="E805" s="179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</row>
    <row r="806">
      <c r="A806" s="570"/>
      <c r="B806" s="533"/>
      <c r="C806" s="533"/>
      <c r="D806" s="68"/>
      <c r="E806" s="179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</row>
    <row r="807">
      <c r="A807" s="570"/>
      <c r="B807" s="533"/>
      <c r="C807" s="533"/>
      <c r="D807" s="68"/>
      <c r="E807" s="179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</row>
    <row r="808">
      <c r="A808" s="570"/>
      <c r="B808" s="533"/>
      <c r="C808" s="533"/>
      <c r="D808" s="68"/>
      <c r="E808" s="179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</row>
    <row r="809">
      <c r="A809" s="570"/>
      <c r="B809" s="533"/>
      <c r="C809" s="533"/>
      <c r="D809" s="68"/>
      <c r="E809" s="179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</row>
    <row r="810">
      <c r="A810" s="570"/>
      <c r="B810" s="533"/>
      <c r="C810" s="533"/>
      <c r="D810" s="68"/>
      <c r="E810" s="179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</row>
    <row r="811">
      <c r="A811" s="570"/>
      <c r="B811" s="533"/>
      <c r="C811" s="533"/>
      <c r="D811" s="68"/>
      <c r="E811" s="179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</row>
    <row r="812">
      <c r="A812" s="570"/>
      <c r="B812" s="533"/>
      <c r="C812" s="533"/>
      <c r="D812" s="68"/>
      <c r="E812" s="179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</row>
    <row r="813">
      <c r="A813" s="570"/>
      <c r="B813" s="533"/>
      <c r="C813" s="533"/>
      <c r="D813" s="68"/>
      <c r="E813" s="179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</row>
    <row r="814">
      <c r="A814" s="570"/>
      <c r="B814" s="533"/>
      <c r="C814" s="533"/>
      <c r="D814" s="68"/>
      <c r="E814" s="179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</row>
    <row r="815">
      <c r="A815" s="570"/>
      <c r="B815" s="533"/>
      <c r="C815" s="533"/>
      <c r="D815" s="68"/>
      <c r="E815" s="179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</row>
    <row r="816">
      <c r="A816" s="570"/>
      <c r="B816" s="533"/>
      <c r="C816" s="533"/>
      <c r="D816" s="68"/>
      <c r="E816" s="179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</row>
    <row r="817">
      <c r="A817" s="570"/>
      <c r="B817" s="533"/>
      <c r="C817" s="533"/>
      <c r="D817" s="68"/>
      <c r="E817" s="179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</row>
    <row r="818">
      <c r="A818" s="570"/>
      <c r="B818" s="533"/>
      <c r="C818" s="533"/>
      <c r="D818" s="68"/>
      <c r="E818" s="179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</row>
    <row r="819">
      <c r="A819" s="570"/>
      <c r="B819" s="533"/>
      <c r="C819" s="533"/>
      <c r="D819" s="68"/>
      <c r="E819" s="179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</row>
    <row r="820">
      <c r="A820" s="570"/>
      <c r="B820" s="533"/>
      <c r="C820" s="533"/>
      <c r="D820" s="68"/>
      <c r="E820" s="179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</row>
    <row r="821">
      <c r="A821" s="570"/>
      <c r="B821" s="533"/>
      <c r="C821" s="533"/>
      <c r="D821" s="68"/>
      <c r="E821" s="179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</row>
    <row r="822">
      <c r="A822" s="570"/>
      <c r="B822" s="533"/>
      <c r="C822" s="533"/>
      <c r="D822" s="68"/>
      <c r="E822" s="179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</row>
    <row r="823">
      <c r="A823" s="570"/>
      <c r="B823" s="533"/>
      <c r="C823" s="533"/>
      <c r="D823" s="68"/>
      <c r="E823" s="179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</row>
    <row r="824">
      <c r="A824" s="570"/>
      <c r="B824" s="533"/>
      <c r="C824" s="533"/>
      <c r="D824" s="68"/>
      <c r="E824" s="179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</row>
    <row r="825">
      <c r="A825" s="570"/>
      <c r="B825" s="533"/>
      <c r="C825" s="533"/>
      <c r="D825" s="68"/>
      <c r="E825" s="179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</row>
    <row r="826">
      <c r="A826" s="570"/>
      <c r="B826" s="533"/>
      <c r="C826" s="533"/>
      <c r="D826" s="68"/>
      <c r="E826" s="179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</row>
    <row r="827">
      <c r="A827" s="570"/>
      <c r="B827" s="533"/>
      <c r="C827" s="533"/>
      <c r="D827" s="68"/>
      <c r="E827" s="179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</row>
    <row r="828">
      <c r="A828" s="570"/>
      <c r="B828" s="533"/>
      <c r="C828" s="533"/>
      <c r="D828" s="68"/>
      <c r="E828" s="179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</row>
    <row r="829">
      <c r="A829" s="570"/>
      <c r="B829" s="533"/>
      <c r="C829" s="533"/>
      <c r="D829" s="68"/>
      <c r="E829" s="179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</row>
    <row r="830">
      <c r="A830" s="570"/>
      <c r="B830" s="533"/>
      <c r="C830" s="533"/>
      <c r="D830" s="68"/>
      <c r="E830" s="179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</row>
    <row r="831">
      <c r="A831" s="570"/>
      <c r="B831" s="533"/>
      <c r="C831" s="533"/>
      <c r="D831" s="68"/>
      <c r="E831" s="179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</row>
    <row r="832">
      <c r="A832" s="570"/>
      <c r="B832" s="533"/>
      <c r="C832" s="533"/>
      <c r="D832" s="68"/>
      <c r="E832" s="179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</row>
    <row r="833">
      <c r="A833" s="570"/>
      <c r="B833" s="533"/>
      <c r="C833" s="533"/>
      <c r="D833" s="68"/>
      <c r="E833" s="179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</row>
    <row r="834">
      <c r="A834" s="570"/>
      <c r="B834" s="533"/>
      <c r="C834" s="533"/>
      <c r="D834" s="68"/>
      <c r="E834" s="179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</row>
    <row r="835">
      <c r="A835" s="570"/>
      <c r="B835" s="533"/>
      <c r="C835" s="533"/>
      <c r="D835" s="68"/>
      <c r="E835" s="179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</row>
    <row r="836">
      <c r="A836" s="570"/>
      <c r="B836" s="533"/>
      <c r="C836" s="533"/>
      <c r="D836" s="68"/>
      <c r="E836" s="179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</row>
    <row r="837">
      <c r="A837" s="570"/>
      <c r="B837" s="533"/>
      <c r="C837" s="533"/>
      <c r="D837" s="68"/>
      <c r="E837" s="179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</row>
    <row r="838">
      <c r="A838" s="570"/>
      <c r="B838" s="533"/>
      <c r="C838" s="533"/>
      <c r="D838" s="68"/>
      <c r="E838" s="179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</row>
    <row r="839">
      <c r="A839" s="570"/>
      <c r="B839" s="533"/>
      <c r="C839" s="533"/>
      <c r="D839" s="68"/>
      <c r="E839" s="179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</row>
    <row r="840">
      <c r="A840" s="570"/>
      <c r="B840" s="533"/>
      <c r="C840" s="533"/>
      <c r="D840" s="68"/>
      <c r="E840" s="179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</row>
    <row r="841">
      <c r="A841" s="570"/>
      <c r="B841" s="533"/>
      <c r="C841" s="533"/>
      <c r="D841" s="68"/>
      <c r="E841" s="179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</row>
    <row r="842">
      <c r="A842" s="570"/>
      <c r="B842" s="533"/>
      <c r="C842" s="533"/>
      <c r="D842" s="68"/>
      <c r="E842" s="179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</row>
    <row r="843">
      <c r="A843" s="570"/>
      <c r="B843" s="533"/>
      <c r="C843" s="533"/>
      <c r="D843" s="68"/>
      <c r="E843" s="179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</row>
    <row r="844">
      <c r="A844" s="570"/>
      <c r="B844" s="533"/>
      <c r="C844" s="533"/>
      <c r="D844" s="68"/>
      <c r="E844" s="179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</row>
    <row r="845">
      <c r="A845" s="570"/>
      <c r="B845" s="533"/>
      <c r="C845" s="533"/>
      <c r="D845" s="68"/>
      <c r="E845" s="179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</row>
    <row r="846">
      <c r="A846" s="570"/>
      <c r="B846" s="533"/>
      <c r="C846" s="533"/>
      <c r="D846" s="68"/>
      <c r="E846" s="179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</row>
    <row r="847">
      <c r="A847" s="570"/>
      <c r="B847" s="533"/>
      <c r="C847" s="533"/>
      <c r="D847" s="68"/>
      <c r="E847" s="179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</row>
    <row r="848">
      <c r="A848" s="570"/>
      <c r="B848" s="533"/>
      <c r="C848" s="533"/>
      <c r="D848" s="68"/>
      <c r="E848" s="179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</row>
    <row r="849">
      <c r="A849" s="570"/>
      <c r="B849" s="533"/>
      <c r="C849" s="533"/>
      <c r="D849" s="68"/>
      <c r="E849" s="179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</row>
    <row r="850">
      <c r="A850" s="570"/>
      <c r="B850" s="533"/>
      <c r="C850" s="533"/>
      <c r="D850" s="68"/>
      <c r="E850" s="179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</row>
    <row r="851">
      <c r="A851" s="570"/>
      <c r="B851" s="533"/>
      <c r="C851" s="533"/>
      <c r="D851" s="68"/>
      <c r="E851" s="179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</row>
    <row r="852">
      <c r="A852" s="570"/>
      <c r="B852" s="533"/>
      <c r="C852" s="533"/>
      <c r="D852" s="68"/>
      <c r="E852" s="179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</row>
    <row r="853">
      <c r="A853" s="570"/>
      <c r="B853" s="533"/>
      <c r="C853" s="533"/>
      <c r="D853" s="68"/>
      <c r="E853" s="179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</row>
    <row r="854">
      <c r="A854" s="570"/>
      <c r="B854" s="533"/>
      <c r="C854" s="533"/>
      <c r="D854" s="68"/>
      <c r="E854" s="179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</row>
    <row r="855">
      <c r="A855" s="570"/>
      <c r="B855" s="533"/>
      <c r="C855" s="533"/>
      <c r="D855" s="68"/>
      <c r="E855" s="179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</row>
    <row r="856">
      <c r="A856" s="570"/>
      <c r="B856" s="533"/>
      <c r="C856" s="533"/>
      <c r="D856" s="68"/>
      <c r="E856" s="179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</row>
    <row r="857">
      <c r="A857" s="570"/>
      <c r="B857" s="533"/>
      <c r="C857" s="533"/>
      <c r="D857" s="68"/>
      <c r="E857" s="179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</row>
    <row r="858">
      <c r="A858" s="570"/>
      <c r="B858" s="533"/>
      <c r="C858" s="533"/>
      <c r="D858" s="68"/>
      <c r="E858" s="179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</row>
    <row r="859">
      <c r="A859" s="570"/>
      <c r="B859" s="533"/>
      <c r="C859" s="533"/>
      <c r="D859" s="68"/>
      <c r="E859" s="179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</row>
    <row r="860">
      <c r="A860" s="570"/>
      <c r="B860" s="533"/>
      <c r="C860" s="533"/>
      <c r="D860" s="68"/>
      <c r="E860" s="179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</row>
    <row r="861">
      <c r="A861" s="570"/>
      <c r="B861" s="533"/>
      <c r="C861" s="533"/>
      <c r="D861" s="68"/>
      <c r="E861" s="179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</row>
    <row r="862">
      <c r="A862" s="570"/>
      <c r="B862" s="533"/>
      <c r="C862" s="533"/>
      <c r="D862" s="68"/>
      <c r="E862" s="179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</row>
    <row r="863">
      <c r="A863" s="570"/>
      <c r="B863" s="533"/>
      <c r="C863" s="533"/>
      <c r="D863" s="68"/>
      <c r="E863" s="179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</row>
    <row r="864">
      <c r="A864" s="570"/>
      <c r="B864" s="533"/>
      <c r="C864" s="533"/>
      <c r="D864" s="68"/>
      <c r="E864" s="179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</row>
    <row r="865">
      <c r="A865" s="570"/>
      <c r="B865" s="533"/>
      <c r="C865" s="533"/>
      <c r="D865" s="68"/>
      <c r="E865" s="179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</row>
    <row r="866">
      <c r="A866" s="570"/>
      <c r="B866" s="533"/>
      <c r="C866" s="533"/>
      <c r="D866" s="68"/>
      <c r="E866" s="179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</row>
    <row r="867">
      <c r="A867" s="570"/>
      <c r="B867" s="533"/>
      <c r="C867" s="533"/>
      <c r="D867" s="68"/>
      <c r="E867" s="179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</row>
    <row r="868">
      <c r="A868" s="570"/>
      <c r="B868" s="533"/>
      <c r="C868" s="533"/>
      <c r="D868" s="68"/>
      <c r="E868" s="179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</row>
    <row r="869">
      <c r="A869" s="570"/>
      <c r="B869" s="533"/>
      <c r="C869" s="533"/>
      <c r="D869" s="68"/>
      <c r="E869" s="179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</row>
    <row r="870">
      <c r="A870" s="570"/>
      <c r="B870" s="533"/>
      <c r="C870" s="533"/>
      <c r="D870" s="68"/>
      <c r="E870" s="179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</row>
    <row r="871">
      <c r="A871" s="570"/>
      <c r="B871" s="533"/>
      <c r="C871" s="533"/>
      <c r="D871" s="68"/>
      <c r="E871" s="179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</row>
    <row r="872">
      <c r="A872" s="570"/>
      <c r="B872" s="533"/>
      <c r="C872" s="533"/>
      <c r="D872" s="68"/>
      <c r="E872" s="179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</row>
    <row r="873">
      <c r="A873" s="570"/>
      <c r="B873" s="533"/>
      <c r="C873" s="533"/>
      <c r="D873" s="68"/>
      <c r="E873" s="179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</row>
    <row r="874">
      <c r="A874" s="570"/>
      <c r="B874" s="533"/>
      <c r="C874" s="533"/>
      <c r="D874" s="68"/>
      <c r="E874" s="179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</row>
    <row r="875">
      <c r="A875" s="570"/>
      <c r="B875" s="533"/>
      <c r="C875" s="533"/>
      <c r="D875" s="68"/>
      <c r="E875" s="179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</row>
    <row r="876">
      <c r="A876" s="570"/>
      <c r="B876" s="533"/>
      <c r="C876" s="533"/>
      <c r="D876" s="68"/>
      <c r="E876" s="179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</row>
    <row r="877">
      <c r="A877" s="570"/>
      <c r="B877" s="533"/>
      <c r="C877" s="533"/>
      <c r="D877" s="68"/>
      <c r="E877" s="179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</row>
    <row r="878">
      <c r="A878" s="570"/>
      <c r="B878" s="533"/>
      <c r="C878" s="533"/>
      <c r="D878" s="68"/>
      <c r="E878" s="179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</row>
    <row r="879">
      <c r="A879" s="570"/>
      <c r="B879" s="533"/>
      <c r="C879" s="533"/>
      <c r="D879" s="68"/>
      <c r="E879" s="179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</row>
    <row r="880">
      <c r="A880" s="570"/>
      <c r="B880" s="533"/>
      <c r="C880" s="533"/>
      <c r="D880" s="68"/>
      <c r="E880" s="179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</row>
    <row r="881">
      <c r="A881" s="570"/>
      <c r="B881" s="533"/>
      <c r="C881" s="533"/>
      <c r="D881" s="68"/>
      <c r="E881" s="179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</row>
    <row r="882">
      <c r="A882" s="570"/>
      <c r="B882" s="533"/>
      <c r="C882" s="533"/>
      <c r="D882" s="68"/>
      <c r="E882" s="179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</row>
    <row r="883">
      <c r="A883" s="570"/>
      <c r="B883" s="533"/>
      <c r="C883" s="533"/>
      <c r="D883" s="68"/>
      <c r="E883" s="179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</row>
    <row r="884">
      <c r="A884" s="570"/>
      <c r="B884" s="533"/>
      <c r="C884" s="533"/>
      <c r="D884" s="68"/>
      <c r="E884" s="179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</row>
    <row r="885">
      <c r="A885" s="570"/>
      <c r="B885" s="533"/>
      <c r="C885" s="533"/>
      <c r="D885" s="68"/>
      <c r="E885" s="179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</row>
    <row r="886">
      <c r="A886" s="570"/>
      <c r="B886" s="533"/>
      <c r="C886" s="533"/>
      <c r="D886" s="68"/>
      <c r="E886" s="179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</row>
    <row r="887">
      <c r="A887" s="570"/>
      <c r="B887" s="533"/>
      <c r="C887" s="533"/>
      <c r="D887" s="68"/>
      <c r="E887" s="179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</row>
    <row r="888">
      <c r="A888" s="570"/>
      <c r="B888" s="533"/>
      <c r="C888" s="533"/>
      <c r="D888" s="68"/>
      <c r="E888" s="179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</row>
    <row r="889">
      <c r="A889" s="570"/>
      <c r="B889" s="533"/>
      <c r="C889" s="533"/>
      <c r="D889" s="68"/>
      <c r="E889" s="179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</row>
    <row r="890">
      <c r="A890" s="570"/>
      <c r="B890" s="533"/>
      <c r="C890" s="533"/>
      <c r="D890" s="68"/>
      <c r="E890" s="179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</row>
    <row r="891">
      <c r="A891" s="570"/>
      <c r="B891" s="533"/>
      <c r="C891" s="533"/>
      <c r="D891" s="68"/>
      <c r="E891" s="179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</row>
    <row r="892">
      <c r="A892" s="570"/>
      <c r="B892" s="533"/>
      <c r="C892" s="533"/>
      <c r="D892" s="68"/>
      <c r="E892" s="179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</row>
    <row r="893">
      <c r="A893" s="570"/>
      <c r="B893" s="533"/>
      <c r="C893" s="533"/>
      <c r="D893" s="68"/>
      <c r="E893" s="179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</row>
    <row r="894">
      <c r="A894" s="570"/>
      <c r="B894" s="533"/>
      <c r="C894" s="533"/>
      <c r="D894" s="68"/>
      <c r="E894" s="179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</row>
    <row r="895">
      <c r="A895" s="570"/>
      <c r="B895" s="533"/>
      <c r="C895" s="533"/>
      <c r="D895" s="68"/>
      <c r="E895" s="179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</row>
    <row r="896">
      <c r="A896" s="570"/>
      <c r="B896" s="533"/>
      <c r="C896" s="533"/>
      <c r="D896" s="68"/>
      <c r="E896" s="179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</row>
    <row r="897">
      <c r="A897" s="570"/>
      <c r="B897" s="533"/>
      <c r="C897" s="533"/>
      <c r="D897" s="68"/>
      <c r="E897" s="179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</row>
    <row r="898">
      <c r="A898" s="570"/>
      <c r="B898" s="533"/>
      <c r="C898" s="533"/>
      <c r="D898" s="68"/>
      <c r="E898" s="179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</row>
    <row r="899">
      <c r="A899" s="570"/>
      <c r="B899" s="533"/>
      <c r="C899" s="533"/>
      <c r="D899" s="68"/>
      <c r="E899" s="179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</row>
    <row r="900">
      <c r="A900" s="570"/>
      <c r="B900" s="533"/>
      <c r="C900" s="533"/>
      <c r="D900" s="68"/>
      <c r="E900" s="179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</row>
    <row r="901">
      <c r="A901" s="570"/>
      <c r="B901" s="533"/>
      <c r="C901" s="533"/>
      <c r="D901" s="68"/>
      <c r="E901" s="179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</row>
    <row r="902">
      <c r="A902" s="570"/>
      <c r="B902" s="533"/>
      <c r="C902" s="533"/>
      <c r="D902" s="68"/>
      <c r="E902" s="179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</row>
    <row r="903">
      <c r="A903" s="570"/>
      <c r="B903" s="533"/>
      <c r="C903" s="533"/>
      <c r="D903" s="68"/>
      <c r="E903" s="179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</row>
    <row r="904">
      <c r="A904" s="570"/>
      <c r="B904" s="533"/>
      <c r="C904" s="533"/>
      <c r="D904" s="68"/>
      <c r="E904" s="179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</row>
    <row r="905">
      <c r="A905" s="570"/>
      <c r="B905" s="533"/>
      <c r="C905" s="533"/>
      <c r="D905" s="68"/>
      <c r="E905" s="179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</row>
    <row r="906">
      <c r="A906" s="570"/>
      <c r="B906" s="533"/>
      <c r="C906" s="533"/>
      <c r="D906" s="68"/>
      <c r="E906" s="179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</row>
    <row r="907">
      <c r="A907" s="570"/>
      <c r="B907" s="533"/>
      <c r="C907" s="533"/>
      <c r="D907" s="68"/>
      <c r="E907" s="179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</row>
    <row r="908">
      <c r="A908" s="570"/>
      <c r="B908" s="533"/>
      <c r="C908" s="533"/>
      <c r="D908" s="68"/>
      <c r="E908" s="179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</row>
    <row r="909">
      <c r="A909" s="570"/>
      <c r="B909" s="533"/>
      <c r="C909" s="533"/>
      <c r="D909" s="68"/>
      <c r="E909" s="179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</row>
    <row r="910">
      <c r="A910" s="570"/>
      <c r="B910" s="533"/>
      <c r="C910" s="533"/>
      <c r="D910" s="68"/>
      <c r="E910" s="179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</row>
    <row r="911">
      <c r="A911" s="570"/>
      <c r="B911" s="533"/>
      <c r="C911" s="533"/>
      <c r="D911" s="68"/>
      <c r="E911" s="179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</row>
    <row r="912">
      <c r="A912" s="570"/>
      <c r="B912" s="533"/>
      <c r="C912" s="533"/>
      <c r="D912" s="68"/>
      <c r="E912" s="179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</row>
    <row r="913">
      <c r="A913" s="570"/>
      <c r="B913" s="533"/>
      <c r="C913" s="533"/>
      <c r="D913" s="68"/>
      <c r="E913" s="179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</row>
    <row r="914">
      <c r="A914" s="570"/>
      <c r="B914" s="533"/>
      <c r="C914" s="533"/>
      <c r="D914" s="68"/>
      <c r="E914" s="179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</row>
    <row r="915">
      <c r="A915" s="570"/>
      <c r="B915" s="533"/>
      <c r="C915" s="533"/>
      <c r="D915" s="68"/>
      <c r="E915" s="179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</row>
    <row r="916">
      <c r="A916" s="570"/>
      <c r="B916" s="533"/>
      <c r="C916" s="533"/>
      <c r="D916" s="68"/>
      <c r="E916" s="179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</row>
    <row r="917">
      <c r="A917" s="570"/>
      <c r="B917" s="533"/>
      <c r="C917" s="533"/>
      <c r="D917" s="68"/>
      <c r="E917" s="179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</row>
    <row r="918">
      <c r="A918" s="570"/>
      <c r="B918" s="533"/>
      <c r="C918" s="533"/>
      <c r="D918" s="68"/>
      <c r="E918" s="179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</row>
    <row r="919">
      <c r="A919" s="570"/>
      <c r="B919" s="533"/>
      <c r="C919" s="533"/>
      <c r="D919" s="68"/>
      <c r="E919" s="179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</row>
    <row r="920">
      <c r="A920" s="570"/>
      <c r="B920" s="533"/>
      <c r="C920" s="533"/>
      <c r="D920" s="68"/>
      <c r="E920" s="179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</row>
  </sheetData>
  <conditionalFormatting sqref="B295 B300 B304 B315:B333 B389:B427 B429:B433">
    <cfRule type="expression" dxfId="0" priority="1">
      <formula>COUNTIF($B:$B, $B295) &gt; 1</formula>
    </cfRule>
  </conditionalFormatting>
  <conditionalFormatting sqref="B1:B294 B296:B299 B301:B303 B305:B321 B323:B336 B369:B920">
    <cfRule type="expression" dxfId="0" priority="2">
      <formula>COUNTIF($B:$B, $B1) &gt; 1</formula>
    </cfRule>
  </conditionalFormatting>
  <conditionalFormatting sqref="C4">
    <cfRule type="notContainsBlanks" dxfId="0" priority="3">
      <formula>LEN(TRIM(C4))&gt;0</formula>
    </cfRule>
  </conditionalFormatting>
  <hyperlinks>
    <hyperlink r:id="rId1" ref="D3"/>
    <hyperlink r:id="rId2" ref="D5"/>
    <hyperlink r:id="rId3" ref="D6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5"/>
    <hyperlink r:id="rId51" ref="D56"/>
    <hyperlink r:id="rId52" ref="D57"/>
    <hyperlink r:id="rId53" ref="D58"/>
    <hyperlink r:id="rId54" ref="D59"/>
    <hyperlink r:id="rId55" ref="D60"/>
    <hyperlink r:id="rId56" ref="D61"/>
    <hyperlink r:id="rId57" ref="D62"/>
    <hyperlink r:id="rId58" ref="D63"/>
    <hyperlink r:id="rId59" ref="D64"/>
    <hyperlink r:id="rId60" ref="D65"/>
    <hyperlink r:id="rId61" ref="D66"/>
    <hyperlink r:id="rId62" ref="D67"/>
    <hyperlink r:id="rId63" ref="D69"/>
    <hyperlink r:id="rId64" ref="D70"/>
    <hyperlink r:id="rId65" ref="D71"/>
    <hyperlink r:id="rId66" ref="D72"/>
    <hyperlink r:id="rId67" ref="D73"/>
    <hyperlink r:id="rId68" ref="D74"/>
    <hyperlink r:id="rId69" ref="D75"/>
    <hyperlink r:id="rId70" ref="D76"/>
    <hyperlink r:id="rId71" ref="D77"/>
    <hyperlink r:id="rId72" ref="D78"/>
    <hyperlink r:id="rId73" ref="D79"/>
    <hyperlink r:id="rId74" ref="D80"/>
    <hyperlink r:id="rId75" ref="D81"/>
    <hyperlink r:id="rId76" ref="D82"/>
    <hyperlink r:id="rId77" ref="D84"/>
    <hyperlink r:id="rId78" ref="D85"/>
    <hyperlink r:id="rId79" ref="D86"/>
    <hyperlink r:id="rId80" ref="D87"/>
    <hyperlink r:id="rId81" ref="D88"/>
    <hyperlink r:id="rId82" ref="D90"/>
    <hyperlink r:id="rId83" ref="D91"/>
    <hyperlink r:id="rId84" ref="D92"/>
    <hyperlink r:id="rId85" ref="D93"/>
    <hyperlink r:id="rId86" ref="D94"/>
    <hyperlink r:id="rId87" ref="D95"/>
    <hyperlink r:id="rId88" ref="D96"/>
    <hyperlink r:id="rId89" ref="D99"/>
    <hyperlink r:id="rId90" ref="D100"/>
    <hyperlink r:id="rId91" ref="D101"/>
    <hyperlink r:id="rId92" ref="D102"/>
    <hyperlink r:id="rId93" ref="D103"/>
    <hyperlink r:id="rId94" ref="D104"/>
    <hyperlink r:id="rId95" ref="D106"/>
    <hyperlink r:id="rId96" ref="D107"/>
    <hyperlink r:id="rId97" ref="D108"/>
    <hyperlink r:id="rId98" ref="D109"/>
    <hyperlink r:id="rId99" ref="D110"/>
    <hyperlink r:id="rId100" ref="D112"/>
    <hyperlink r:id="rId101" ref="D113"/>
    <hyperlink r:id="rId102" ref="D114"/>
    <hyperlink r:id="rId103" ref="D115"/>
    <hyperlink r:id="rId104" ref="D116"/>
    <hyperlink r:id="rId105" ref="D117"/>
    <hyperlink r:id="rId106" ref="D118"/>
    <hyperlink r:id="rId107" ref="D119"/>
    <hyperlink r:id="rId108" ref="D120"/>
    <hyperlink r:id="rId109" ref="A121"/>
    <hyperlink r:id="rId110" ref="D121"/>
    <hyperlink r:id="rId111" ref="D122"/>
    <hyperlink r:id="rId112" ref="D123"/>
    <hyperlink r:id="rId113" ref="D124"/>
    <hyperlink r:id="rId114" ref="D125"/>
    <hyperlink r:id="rId115" ref="D126"/>
    <hyperlink r:id="rId116" ref="D127"/>
    <hyperlink r:id="rId117" ref="D128"/>
    <hyperlink r:id="rId118" ref="D129"/>
    <hyperlink r:id="rId119" ref="D130"/>
    <hyperlink r:id="rId120" ref="D131"/>
    <hyperlink r:id="rId121" ref="D132"/>
    <hyperlink r:id="rId122" ref="D134"/>
    <hyperlink r:id="rId123" ref="D136"/>
    <hyperlink r:id="rId124" ref="D137"/>
    <hyperlink r:id="rId125" ref="D138"/>
    <hyperlink r:id="rId126" ref="D140"/>
    <hyperlink r:id="rId127" ref="D141"/>
    <hyperlink r:id="rId128" ref="D142"/>
    <hyperlink r:id="rId129" ref="D143"/>
    <hyperlink r:id="rId130" ref="D144"/>
    <hyperlink r:id="rId131" ref="D145"/>
    <hyperlink r:id="rId132" ref="D146"/>
    <hyperlink r:id="rId133" ref="D147"/>
    <hyperlink r:id="rId134" ref="D149"/>
    <hyperlink r:id="rId135" ref="D150"/>
    <hyperlink r:id="rId136" ref="D151"/>
    <hyperlink r:id="rId137" ref="D152"/>
    <hyperlink r:id="rId138" ref="D153"/>
    <hyperlink r:id="rId139" ref="D154"/>
    <hyperlink r:id="rId140" ref="D155"/>
    <hyperlink r:id="rId141" ref="D156"/>
    <hyperlink r:id="rId142" ref="D157"/>
    <hyperlink r:id="rId143" ref="D158"/>
    <hyperlink r:id="rId144" ref="D159"/>
    <hyperlink r:id="rId145" ref="D160"/>
    <hyperlink r:id="rId146" ref="D161"/>
    <hyperlink r:id="rId147" ref="D162"/>
    <hyperlink r:id="rId148" ref="D163"/>
    <hyperlink r:id="rId149" ref="D164"/>
    <hyperlink r:id="rId150" ref="D165"/>
    <hyperlink r:id="rId151" ref="D166"/>
    <hyperlink r:id="rId152" ref="D167"/>
    <hyperlink r:id="rId153" ref="D168"/>
    <hyperlink r:id="rId154" ref="D169"/>
    <hyperlink r:id="rId155" ref="D170"/>
    <hyperlink r:id="rId156" ref="D171"/>
    <hyperlink r:id="rId157" ref="D172"/>
    <hyperlink r:id="rId158" ref="D173"/>
    <hyperlink r:id="rId159" ref="D174"/>
    <hyperlink r:id="rId160" ref="D175"/>
    <hyperlink r:id="rId161" ref="D176"/>
    <hyperlink r:id="rId162" ref="D177"/>
    <hyperlink r:id="rId163" ref="D178"/>
    <hyperlink r:id="rId164" ref="D179"/>
    <hyperlink r:id="rId165" ref="D180"/>
    <hyperlink r:id="rId166" ref="D181"/>
    <hyperlink r:id="rId167" ref="D182"/>
    <hyperlink r:id="rId168" ref="D183"/>
    <hyperlink r:id="rId169" ref="D184"/>
    <hyperlink r:id="rId170" ref="D185"/>
    <hyperlink r:id="rId171" ref="D186"/>
    <hyperlink r:id="rId172" ref="D187"/>
    <hyperlink r:id="rId173" ref="D188"/>
    <hyperlink r:id="rId174" ref="D189"/>
    <hyperlink r:id="rId175" ref="D190"/>
    <hyperlink r:id="rId176" ref="D191"/>
    <hyperlink r:id="rId177" ref="D192"/>
    <hyperlink r:id="rId178" ref="D193"/>
    <hyperlink r:id="rId179" ref="D194"/>
    <hyperlink r:id="rId180" ref="D195"/>
    <hyperlink r:id="rId181" ref="D196"/>
    <hyperlink r:id="rId182" ref="D197"/>
    <hyperlink r:id="rId183" ref="D199"/>
    <hyperlink r:id="rId184" ref="D200"/>
    <hyperlink r:id="rId185" ref="D201"/>
    <hyperlink r:id="rId186" ref="D202"/>
    <hyperlink r:id="rId187" ref="D203"/>
    <hyperlink r:id="rId188" ref="D204"/>
    <hyperlink r:id="rId189" ref="D206"/>
    <hyperlink r:id="rId190" ref="D207"/>
    <hyperlink r:id="rId191" ref="D208"/>
    <hyperlink r:id="rId192" ref="D209"/>
    <hyperlink r:id="rId193" ref="D210"/>
    <hyperlink r:id="rId194" ref="D212"/>
    <hyperlink r:id="rId195" ref="D213"/>
    <hyperlink r:id="rId196" ref="D214"/>
    <hyperlink r:id="rId197" ref="D216"/>
    <hyperlink r:id="rId198" ref="D217"/>
    <hyperlink r:id="rId199" ref="D218"/>
    <hyperlink r:id="rId200" ref="D219"/>
    <hyperlink r:id="rId201" ref="D220"/>
    <hyperlink r:id="rId202" ref="D221"/>
    <hyperlink r:id="rId203" ref="D222"/>
    <hyperlink r:id="rId204" ref="D223"/>
    <hyperlink r:id="rId205" ref="D224"/>
    <hyperlink r:id="rId206" ref="D225"/>
    <hyperlink r:id="rId207" ref="D226"/>
    <hyperlink r:id="rId208" ref="D227"/>
    <hyperlink r:id="rId209" ref="D229"/>
    <hyperlink r:id="rId210" ref="D230"/>
    <hyperlink r:id="rId211" ref="D231"/>
    <hyperlink r:id="rId212" ref="D232"/>
    <hyperlink r:id="rId213" ref="D233"/>
    <hyperlink r:id="rId214" ref="D234"/>
    <hyperlink r:id="rId215" ref="D235"/>
    <hyperlink r:id="rId216" ref="D236"/>
    <hyperlink r:id="rId217" ref="D237"/>
    <hyperlink r:id="rId218" ref="D238"/>
    <hyperlink r:id="rId219" ref="D239"/>
    <hyperlink r:id="rId220" ref="D240"/>
    <hyperlink r:id="rId221" ref="D241"/>
    <hyperlink r:id="rId222" ref="D242"/>
    <hyperlink r:id="rId223" ref="D243"/>
    <hyperlink r:id="rId224" ref="D244"/>
    <hyperlink r:id="rId225" ref="D245"/>
    <hyperlink r:id="rId226" ref="D254"/>
    <hyperlink r:id="rId227" ref="D255"/>
    <hyperlink r:id="rId228" ref="D256"/>
    <hyperlink r:id="rId229" ref="D257"/>
    <hyperlink r:id="rId230" ref="D258"/>
    <hyperlink r:id="rId231" ref="D259"/>
    <hyperlink r:id="rId232" ref="D260"/>
    <hyperlink r:id="rId233" ref="D261"/>
    <hyperlink r:id="rId234" ref="D262"/>
    <hyperlink r:id="rId235" ref="D265"/>
    <hyperlink r:id="rId236" ref="D266"/>
    <hyperlink r:id="rId237" ref="D268"/>
    <hyperlink r:id="rId238" ref="D270"/>
    <hyperlink r:id="rId239" ref="D271"/>
    <hyperlink r:id="rId240" ref="D272"/>
    <hyperlink r:id="rId241" ref="D273"/>
    <hyperlink r:id="rId242" ref="D274"/>
    <hyperlink r:id="rId243" ref="D275"/>
    <hyperlink r:id="rId244" ref="D276"/>
    <hyperlink r:id="rId245" ref="D277"/>
    <hyperlink r:id="rId246" ref="D278"/>
    <hyperlink r:id="rId247" ref="D279"/>
    <hyperlink r:id="rId248" ref="D280"/>
    <hyperlink r:id="rId249" ref="D281"/>
    <hyperlink r:id="rId250" ref="D282"/>
    <hyperlink r:id="rId251" ref="D283"/>
    <hyperlink r:id="rId252" ref="D284"/>
    <hyperlink r:id="rId253" ref="D285"/>
    <hyperlink r:id="rId254" ref="D286"/>
    <hyperlink r:id="rId255" ref="D287"/>
    <hyperlink r:id="rId256" ref="D288"/>
    <hyperlink r:id="rId257" ref="D289"/>
    <hyperlink r:id="rId258" ref="D290"/>
    <hyperlink r:id="rId259" ref="D291"/>
    <hyperlink r:id="rId260" ref="D292"/>
    <hyperlink r:id="rId261" ref="D293"/>
    <hyperlink r:id="rId262" ref="D294"/>
    <hyperlink r:id="rId263" ref="D295"/>
    <hyperlink r:id="rId264" ref="D296"/>
    <hyperlink r:id="rId265" ref="D297"/>
    <hyperlink r:id="rId266" ref="D298"/>
    <hyperlink r:id="rId267" ref="D299"/>
    <hyperlink r:id="rId268" ref="D300"/>
    <hyperlink r:id="rId269" ref="D302"/>
    <hyperlink r:id="rId270" ref="D303"/>
    <hyperlink r:id="rId271" ref="D304"/>
    <hyperlink r:id="rId272" ref="D305"/>
    <hyperlink r:id="rId273" ref="D306"/>
    <hyperlink r:id="rId274" ref="D307"/>
    <hyperlink r:id="rId275" ref="D308"/>
    <hyperlink r:id="rId276" ref="D309"/>
    <hyperlink r:id="rId277" ref="D310"/>
    <hyperlink r:id="rId278" ref="D311"/>
    <hyperlink r:id="rId279" ref="D313"/>
    <hyperlink r:id="rId280" ref="D314"/>
    <hyperlink r:id="rId281" ref="D315"/>
    <hyperlink r:id="rId282" ref="D316"/>
    <hyperlink r:id="rId283" ref="D317"/>
    <hyperlink r:id="rId284" ref="D318"/>
    <hyperlink r:id="rId285" ref="D319"/>
    <hyperlink r:id="rId286" ref="D320"/>
    <hyperlink r:id="rId287" ref="D321"/>
    <hyperlink r:id="rId288" ref="D323"/>
    <hyperlink r:id="rId289" ref="D324"/>
    <hyperlink r:id="rId290" ref="D325"/>
    <hyperlink r:id="rId291" ref="D326"/>
    <hyperlink r:id="rId292" ref="D327"/>
    <hyperlink r:id="rId293" ref="D328"/>
    <hyperlink r:id="rId294" ref="D329"/>
    <hyperlink r:id="rId295" ref="D331"/>
    <hyperlink r:id="rId296" ref="D332"/>
    <hyperlink r:id="rId297" ref="D333"/>
    <hyperlink r:id="rId298" ref="D334"/>
    <hyperlink r:id="rId299" ref="D335"/>
    <hyperlink r:id="rId300" ref="D336"/>
    <hyperlink r:id="rId301" ref="D400"/>
    <hyperlink r:id="rId302" ref="D401"/>
    <hyperlink r:id="rId303" ref="D402"/>
    <hyperlink r:id="rId304" ref="D403"/>
    <hyperlink r:id="rId305" ref="D404"/>
    <hyperlink r:id="rId306" ref="D405"/>
    <hyperlink r:id="rId307" ref="D406"/>
    <hyperlink r:id="rId308" ref="D407"/>
    <hyperlink r:id="rId309" ref="D409"/>
    <hyperlink r:id="rId310" ref="D411"/>
    <hyperlink r:id="rId311" ref="D413"/>
    <hyperlink r:id="rId312" ref="D414"/>
    <hyperlink r:id="rId313" ref="D415"/>
    <hyperlink r:id="rId314" ref="D416"/>
    <hyperlink r:id="rId315" ref="D417"/>
    <hyperlink r:id="rId316" ref="D420"/>
    <hyperlink r:id="rId317" ref="D421"/>
    <hyperlink r:id="rId318" ref="D422"/>
    <hyperlink r:id="rId319" ref="D424"/>
    <hyperlink r:id="rId320" ref="D430"/>
  </hyperlinks>
  <drawing r:id="rId32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21.25"/>
    <col customWidth="1" min="3" max="3" width="28.25"/>
    <col customWidth="1" min="4" max="4" width="59.13"/>
    <col customWidth="1" min="5" max="5" width="24.25"/>
    <col customWidth="1" min="6" max="6" width="35.38"/>
    <col customWidth="1" min="12" max="12" width="31.5"/>
  </cols>
  <sheetData>
    <row r="1">
      <c r="A1" s="3" t="s">
        <v>0</v>
      </c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9</v>
      </c>
      <c r="H1" s="3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>
      <c r="A2" s="109"/>
      <c r="B2" s="103" t="s">
        <v>6753</v>
      </c>
      <c r="C2" s="109"/>
      <c r="D2" s="109"/>
      <c r="E2" s="109"/>
      <c r="G2" s="109"/>
      <c r="H2" s="109"/>
      <c r="I2" s="109"/>
      <c r="K2" s="109"/>
      <c r="L2" s="109"/>
      <c r="M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</row>
    <row r="3">
      <c r="A3" s="464" t="s">
        <v>946</v>
      </c>
      <c r="B3" s="465" t="s">
        <v>6793</v>
      </c>
      <c r="C3" s="467" t="s">
        <v>1084</v>
      </c>
      <c r="D3" s="136" t="s">
        <v>6794</v>
      </c>
      <c r="E3" s="178">
        <f>+919769472294</f>
        <v>919769472294</v>
      </c>
      <c r="F3" s="87" t="s">
        <v>6799</v>
      </c>
    </row>
    <row r="4">
      <c r="A4" s="468" t="s">
        <v>45</v>
      </c>
      <c r="B4" s="469" t="s">
        <v>6800</v>
      </c>
      <c r="C4" s="469" t="s">
        <v>1084</v>
      </c>
      <c r="D4" s="41" t="s">
        <v>6802</v>
      </c>
      <c r="E4" s="140">
        <f>+919930144759</f>
        <v>919930144759</v>
      </c>
      <c r="F4" s="3" t="s">
        <v>6807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</row>
    <row r="5">
      <c r="A5" s="464" t="s">
        <v>13</v>
      </c>
      <c r="B5" s="465" t="s">
        <v>6812</v>
      </c>
      <c r="C5" s="467" t="s">
        <v>1084</v>
      </c>
      <c r="D5" s="136" t="s">
        <v>6813</v>
      </c>
      <c r="E5" s="87" t="s">
        <v>6816</v>
      </c>
      <c r="F5" s="87" t="s">
        <v>6817</v>
      </c>
      <c r="G5" s="87" t="s">
        <v>6818</v>
      </c>
    </row>
    <row r="6">
      <c r="A6" s="464" t="s">
        <v>3083</v>
      </c>
      <c r="B6" s="465" t="s">
        <v>2633</v>
      </c>
      <c r="C6" s="467" t="s">
        <v>1084</v>
      </c>
      <c r="D6" s="136" t="s">
        <v>6820</v>
      </c>
      <c r="E6" s="87" t="s">
        <v>6824</v>
      </c>
      <c r="F6" s="87" t="s">
        <v>6825</v>
      </c>
    </row>
    <row r="7">
      <c r="A7" s="467" t="s">
        <v>200</v>
      </c>
      <c r="B7" s="472" t="s">
        <v>6826</v>
      </c>
      <c r="C7" s="467" t="s">
        <v>1084</v>
      </c>
      <c r="D7" s="136" t="s">
        <v>6827</v>
      </c>
      <c r="E7" s="178">
        <f>+919920053120</f>
        <v>919920053120</v>
      </c>
      <c r="F7" s="87" t="s">
        <v>6829</v>
      </c>
      <c r="G7" s="87" t="s">
        <v>6831</v>
      </c>
    </row>
    <row r="8">
      <c r="A8" s="464" t="s">
        <v>2746</v>
      </c>
      <c r="B8" s="465" t="s">
        <v>6832</v>
      </c>
      <c r="C8" s="467" t="s">
        <v>1084</v>
      </c>
      <c r="D8" s="136" t="s">
        <v>6834</v>
      </c>
      <c r="E8" s="178">
        <f>+919900151285</f>
        <v>919900151285</v>
      </c>
      <c r="F8" s="87" t="s">
        <v>6837</v>
      </c>
      <c r="G8" s="87" t="s">
        <v>6839</v>
      </c>
      <c r="L8" s="168"/>
    </row>
    <row r="9">
      <c r="A9" s="464" t="s">
        <v>560</v>
      </c>
      <c r="B9" s="465" t="s">
        <v>6841</v>
      </c>
      <c r="C9" s="467" t="s">
        <v>1084</v>
      </c>
      <c r="D9" s="136" t="s">
        <v>6842</v>
      </c>
      <c r="F9" s="87" t="s">
        <v>5482</v>
      </c>
    </row>
    <row r="10">
      <c r="A10" s="474" t="s">
        <v>1111</v>
      </c>
      <c r="B10" s="107" t="s">
        <v>6845</v>
      </c>
      <c r="C10" s="475" t="s">
        <v>6846</v>
      </c>
      <c r="D10" s="90" t="s">
        <v>6847</v>
      </c>
      <c r="E10" s="163">
        <f>+919703183225</f>
        <v>919703183225</v>
      </c>
      <c r="F10" s="17" t="s">
        <v>6854</v>
      </c>
      <c r="G10" s="26"/>
      <c r="H10" s="26"/>
      <c r="I10" s="26"/>
      <c r="J10" s="26"/>
      <c r="K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>
      <c r="A11" s="464" t="s">
        <v>1243</v>
      </c>
      <c r="B11" s="465" t="s">
        <v>6856</v>
      </c>
      <c r="C11" s="467" t="s">
        <v>1084</v>
      </c>
    </row>
    <row r="12">
      <c r="A12" s="464" t="s">
        <v>3439</v>
      </c>
      <c r="B12" s="465" t="s">
        <v>6857</v>
      </c>
      <c r="C12" s="467" t="s">
        <v>1084</v>
      </c>
      <c r="D12" s="136" t="s">
        <v>6858</v>
      </c>
      <c r="E12" s="178">
        <f>+919810411046</f>
        <v>919810411046</v>
      </c>
      <c r="F12" s="87" t="s">
        <v>6862</v>
      </c>
      <c r="G12" s="87" t="s">
        <v>6864</v>
      </c>
      <c r="L12" s="168"/>
    </row>
    <row r="13">
      <c r="A13" s="464" t="s">
        <v>2407</v>
      </c>
      <c r="B13" s="465" t="s">
        <v>6865</v>
      </c>
      <c r="C13" s="467" t="s">
        <v>6866</v>
      </c>
      <c r="D13" s="136" t="s">
        <v>6867</v>
      </c>
      <c r="E13" s="87" t="s">
        <v>6870</v>
      </c>
      <c r="F13" s="87" t="s">
        <v>6871</v>
      </c>
    </row>
    <row r="14">
      <c r="A14" s="464" t="s">
        <v>2618</v>
      </c>
      <c r="B14" s="465" t="s">
        <v>6872</v>
      </c>
      <c r="C14" s="467" t="s">
        <v>1084</v>
      </c>
      <c r="D14" s="136" t="s">
        <v>6873</v>
      </c>
      <c r="F14" s="87" t="s">
        <v>6877</v>
      </c>
    </row>
    <row r="15">
      <c r="A15" s="464" t="s">
        <v>992</v>
      </c>
      <c r="B15" s="465" t="s">
        <v>6878</v>
      </c>
      <c r="C15" s="467" t="s">
        <v>1084</v>
      </c>
      <c r="D15" s="136" t="s">
        <v>6879</v>
      </c>
      <c r="F15" s="87" t="s">
        <v>6883</v>
      </c>
      <c r="G15" s="87" t="s">
        <v>6884</v>
      </c>
    </row>
    <row r="16">
      <c r="A16" s="464" t="s">
        <v>226</v>
      </c>
      <c r="B16" s="465" t="s">
        <v>6885</v>
      </c>
      <c r="C16" s="467" t="s">
        <v>1084</v>
      </c>
      <c r="D16" s="136" t="s">
        <v>6886</v>
      </c>
      <c r="F16" s="87" t="s">
        <v>6889</v>
      </c>
      <c r="G16" s="87" t="s">
        <v>6891</v>
      </c>
      <c r="L16" s="168"/>
    </row>
    <row r="17">
      <c r="A17" s="464" t="s">
        <v>6894</v>
      </c>
      <c r="B17" s="465" t="s">
        <v>6895</v>
      </c>
      <c r="C17" s="467" t="s">
        <v>1084</v>
      </c>
      <c r="D17" s="136" t="s">
        <v>6897</v>
      </c>
      <c r="F17" s="87" t="s">
        <v>6898</v>
      </c>
    </row>
    <row r="18">
      <c r="A18" s="464" t="s">
        <v>18</v>
      </c>
      <c r="B18" s="465" t="s">
        <v>6899</v>
      </c>
      <c r="C18" s="467" t="s">
        <v>1084</v>
      </c>
      <c r="D18" s="136" t="s">
        <v>6900</v>
      </c>
      <c r="F18" s="87" t="s">
        <v>6901</v>
      </c>
      <c r="G18" s="87" t="s">
        <v>6902</v>
      </c>
    </row>
    <row r="19">
      <c r="A19" s="464" t="s">
        <v>3467</v>
      </c>
      <c r="B19" s="465" t="s">
        <v>6903</v>
      </c>
      <c r="C19" s="467" t="s">
        <v>1084</v>
      </c>
    </row>
    <row r="20">
      <c r="A20" s="91" t="s">
        <v>6905</v>
      </c>
      <c r="B20" s="107" t="s">
        <v>6907</v>
      </c>
      <c r="C20" s="91" t="s">
        <v>6909</v>
      </c>
      <c r="D20" s="206" t="s">
        <v>6910</v>
      </c>
      <c r="F20" s="17" t="s">
        <v>6912</v>
      </c>
      <c r="L20" s="91"/>
    </row>
    <row r="21">
      <c r="A21" s="478" t="s">
        <v>648</v>
      </c>
      <c r="B21" s="103" t="s">
        <v>6913</v>
      </c>
      <c r="C21" s="87" t="s">
        <v>627</v>
      </c>
      <c r="D21" s="136" t="s">
        <v>6914</v>
      </c>
      <c r="E21" s="87" t="s">
        <v>6916</v>
      </c>
      <c r="F21" s="87" t="s">
        <v>6917</v>
      </c>
    </row>
    <row r="22">
      <c r="A22" s="478" t="s">
        <v>999</v>
      </c>
      <c r="B22" s="103" t="s">
        <v>6918</v>
      </c>
      <c r="C22" s="87" t="s">
        <v>6919</v>
      </c>
      <c r="D22" s="136" t="s">
        <v>6920</v>
      </c>
      <c r="F22" s="87" t="s">
        <v>6922</v>
      </c>
    </row>
    <row r="23">
      <c r="A23" s="132" t="s">
        <v>6923</v>
      </c>
      <c r="B23" s="133" t="s">
        <v>6924</v>
      </c>
      <c r="C23" s="134" t="s">
        <v>6909</v>
      </c>
      <c r="D23" s="136" t="s">
        <v>6926</v>
      </c>
      <c r="E23" s="178">
        <f>+918691899987</f>
        <v>918691899987</v>
      </c>
      <c r="F23" s="168" t="s">
        <v>6929</v>
      </c>
      <c r="G23" s="168" t="s">
        <v>6930</v>
      </c>
    </row>
    <row r="24">
      <c r="A24" s="132" t="s">
        <v>6931</v>
      </c>
      <c r="B24" s="133" t="s">
        <v>6932</v>
      </c>
      <c r="C24" s="134" t="s">
        <v>6933</v>
      </c>
      <c r="D24" s="136" t="s">
        <v>6934</v>
      </c>
      <c r="F24" s="168" t="s">
        <v>6938</v>
      </c>
      <c r="G24" s="168" t="s">
        <v>6939</v>
      </c>
    </row>
    <row r="25">
      <c r="A25" s="132" t="s">
        <v>5026</v>
      </c>
      <c r="B25" s="480" t="s">
        <v>6940</v>
      </c>
      <c r="C25" s="134" t="s">
        <v>6941</v>
      </c>
      <c r="D25" s="136" t="s">
        <v>6942</v>
      </c>
      <c r="F25" s="87" t="s">
        <v>6947</v>
      </c>
    </row>
    <row r="26">
      <c r="A26" s="132" t="s">
        <v>5240</v>
      </c>
      <c r="B26" s="133" t="s">
        <v>6948</v>
      </c>
      <c r="C26" s="134" t="s">
        <v>6933</v>
      </c>
      <c r="D26" s="136" t="s">
        <v>6949</v>
      </c>
      <c r="F26" s="87" t="s">
        <v>6953</v>
      </c>
    </row>
    <row r="27">
      <c r="A27" s="138" t="s">
        <v>4292</v>
      </c>
      <c r="B27" s="482" t="s">
        <v>6955</v>
      </c>
      <c r="C27" s="139" t="s">
        <v>6957</v>
      </c>
      <c r="D27" s="41" t="s">
        <v>6958</v>
      </c>
      <c r="E27" s="42"/>
      <c r="F27" s="3" t="s">
        <v>6960</v>
      </c>
      <c r="G27" s="3" t="s">
        <v>6962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</row>
    <row r="28">
      <c r="A28" s="132" t="s">
        <v>4965</v>
      </c>
      <c r="B28" s="133" t="s">
        <v>6964</v>
      </c>
      <c r="C28" s="134" t="s">
        <v>6967</v>
      </c>
      <c r="D28" s="136" t="s">
        <v>6968</v>
      </c>
      <c r="F28" s="168" t="s">
        <v>6972</v>
      </c>
    </row>
    <row r="29">
      <c r="A29" s="132" t="s">
        <v>322</v>
      </c>
      <c r="B29" s="133" t="s">
        <v>6973</v>
      </c>
      <c r="C29" s="134" t="s">
        <v>6975</v>
      </c>
      <c r="D29" s="136" t="s">
        <v>6976</v>
      </c>
      <c r="F29" s="87" t="s">
        <v>6979</v>
      </c>
    </row>
    <row r="30">
      <c r="A30" s="132" t="s">
        <v>1601</v>
      </c>
      <c r="B30" s="133" t="s">
        <v>6981</v>
      </c>
      <c r="C30" s="134" t="s">
        <v>6982</v>
      </c>
      <c r="D30" s="136" t="s">
        <v>6983</v>
      </c>
      <c r="F30" s="87" t="s">
        <v>6985</v>
      </c>
    </row>
    <row r="31">
      <c r="A31" s="132" t="s">
        <v>524</v>
      </c>
      <c r="B31" s="133" t="s">
        <v>6988</v>
      </c>
      <c r="C31" s="134" t="s">
        <v>6933</v>
      </c>
      <c r="D31" s="136" t="s">
        <v>6989</v>
      </c>
      <c r="E31" s="87" t="s">
        <v>6991</v>
      </c>
      <c r="F31" s="87" t="s">
        <v>6993</v>
      </c>
    </row>
    <row r="32">
      <c r="A32" s="132" t="s">
        <v>203</v>
      </c>
      <c r="B32" s="133" t="s">
        <v>6994</v>
      </c>
      <c r="C32" s="134" t="s">
        <v>6996</v>
      </c>
      <c r="D32" s="136" t="s">
        <v>6997</v>
      </c>
      <c r="F32" s="168" t="s">
        <v>7002</v>
      </c>
      <c r="G32" s="168" t="s">
        <v>7003</v>
      </c>
    </row>
    <row r="33">
      <c r="A33" s="132" t="s">
        <v>7004</v>
      </c>
      <c r="B33" s="133" t="s">
        <v>7005</v>
      </c>
      <c r="C33" s="134" t="s">
        <v>6933</v>
      </c>
      <c r="D33" s="136" t="s">
        <v>7006</v>
      </c>
      <c r="F33" s="168" t="s">
        <v>7010</v>
      </c>
      <c r="G33" s="168" t="s">
        <v>7011</v>
      </c>
    </row>
    <row r="34">
      <c r="A34" s="132" t="s">
        <v>7012</v>
      </c>
      <c r="B34" s="133" t="s">
        <v>7013</v>
      </c>
      <c r="C34" s="134" t="s">
        <v>7014</v>
      </c>
      <c r="D34" s="136" t="s">
        <v>7015</v>
      </c>
      <c r="F34" s="87" t="s">
        <v>7020</v>
      </c>
    </row>
    <row r="35">
      <c r="A35" s="132" t="s">
        <v>7022</v>
      </c>
      <c r="B35" s="133" t="s">
        <v>7023</v>
      </c>
      <c r="C35" s="134" t="s">
        <v>1084</v>
      </c>
      <c r="D35" s="136" t="s">
        <v>7024</v>
      </c>
      <c r="F35" s="168" t="s">
        <v>7027</v>
      </c>
      <c r="G35" s="168" t="s">
        <v>7028</v>
      </c>
    </row>
    <row r="36">
      <c r="A36" s="132" t="s">
        <v>7029</v>
      </c>
      <c r="B36" s="133" t="s">
        <v>7031</v>
      </c>
      <c r="C36" s="134" t="s">
        <v>7014</v>
      </c>
      <c r="D36" s="136" t="s">
        <v>7033</v>
      </c>
      <c r="F36" s="168" t="s">
        <v>7035</v>
      </c>
    </row>
    <row r="37">
      <c r="A37" s="132" t="s">
        <v>4896</v>
      </c>
      <c r="B37" s="133" t="s">
        <v>7036</v>
      </c>
      <c r="C37" s="134" t="s">
        <v>7038</v>
      </c>
      <c r="D37" s="136" t="s">
        <v>7039</v>
      </c>
      <c r="F37" s="168" t="s">
        <v>7042</v>
      </c>
    </row>
    <row r="38">
      <c r="A38" s="132" t="s">
        <v>4103</v>
      </c>
      <c r="B38" s="133" t="s">
        <v>7045</v>
      </c>
      <c r="C38" s="134" t="s">
        <v>7047</v>
      </c>
      <c r="D38" s="136" t="s">
        <v>4109</v>
      </c>
      <c r="F38" s="87" t="s">
        <v>7049</v>
      </c>
      <c r="G38" s="87" t="s">
        <v>7050</v>
      </c>
    </row>
    <row r="39">
      <c r="A39" s="132" t="s">
        <v>444</v>
      </c>
      <c r="B39" s="133" t="s">
        <v>7051</v>
      </c>
      <c r="C39" s="134" t="s">
        <v>6933</v>
      </c>
      <c r="D39" s="136" t="s">
        <v>7053</v>
      </c>
      <c r="F39" s="87" t="s">
        <v>7055</v>
      </c>
    </row>
    <row r="40">
      <c r="A40" s="132" t="s">
        <v>1333</v>
      </c>
      <c r="B40" s="133" t="s">
        <v>1334</v>
      </c>
      <c r="C40" s="134" t="s">
        <v>7058</v>
      </c>
      <c r="D40" s="136" t="s">
        <v>7059</v>
      </c>
      <c r="F40" s="87" t="s">
        <v>7062</v>
      </c>
      <c r="G40" s="87" t="s">
        <v>7063</v>
      </c>
    </row>
    <row r="41">
      <c r="A41" s="132" t="s">
        <v>1097</v>
      </c>
      <c r="B41" s="133" t="s">
        <v>7064</v>
      </c>
      <c r="C41" s="134" t="s">
        <v>7065</v>
      </c>
      <c r="D41" s="136" t="s">
        <v>7066</v>
      </c>
      <c r="F41" s="87" t="s">
        <v>7070</v>
      </c>
    </row>
    <row r="42">
      <c r="A42" s="132" t="s">
        <v>1072</v>
      </c>
      <c r="B42" s="133" t="s">
        <v>7071</v>
      </c>
      <c r="C42" s="134" t="s">
        <v>7072</v>
      </c>
      <c r="D42" s="136" t="s">
        <v>7073</v>
      </c>
      <c r="F42" s="87" t="s">
        <v>7075</v>
      </c>
    </row>
    <row r="43">
      <c r="A43" s="132" t="s">
        <v>1640</v>
      </c>
      <c r="B43" s="133" t="s">
        <v>7076</v>
      </c>
      <c r="C43" s="134" t="s">
        <v>7077</v>
      </c>
      <c r="D43" s="136" t="s">
        <v>7079</v>
      </c>
      <c r="F43" s="168" t="s">
        <v>7084</v>
      </c>
    </row>
    <row r="44">
      <c r="A44" s="132" t="s">
        <v>1148</v>
      </c>
      <c r="B44" s="133" t="s">
        <v>7085</v>
      </c>
      <c r="C44" s="134" t="s">
        <v>6933</v>
      </c>
      <c r="D44" s="136" t="s">
        <v>7086</v>
      </c>
      <c r="E44" s="87" t="s">
        <v>7089</v>
      </c>
      <c r="F44" s="87" t="s">
        <v>7090</v>
      </c>
    </row>
    <row r="45">
      <c r="A45" s="132" t="s">
        <v>1166</v>
      </c>
      <c r="B45" s="133" t="s">
        <v>7091</v>
      </c>
      <c r="C45" s="134" t="s">
        <v>7092</v>
      </c>
      <c r="D45" s="136" t="s">
        <v>7093</v>
      </c>
      <c r="E45" s="87" t="s">
        <v>7095</v>
      </c>
      <c r="F45" s="87" t="s">
        <v>7097</v>
      </c>
      <c r="G45" s="87" t="s">
        <v>7099</v>
      </c>
    </row>
    <row r="46">
      <c r="A46" s="132" t="s">
        <v>761</v>
      </c>
      <c r="B46" s="133" t="s">
        <v>7100</v>
      </c>
      <c r="C46" s="134" t="s">
        <v>7101</v>
      </c>
      <c r="D46" s="136" t="s">
        <v>7102</v>
      </c>
      <c r="F46" s="168" t="s">
        <v>7105</v>
      </c>
    </row>
    <row r="47">
      <c r="A47" s="132" t="s">
        <v>7106</v>
      </c>
      <c r="B47" s="133" t="s">
        <v>7107</v>
      </c>
      <c r="C47" s="134" t="s">
        <v>7108</v>
      </c>
      <c r="D47" s="136" t="s">
        <v>7109</v>
      </c>
      <c r="F47" s="168" t="s">
        <v>7112</v>
      </c>
    </row>
    <row r="48">
      <c r="A48" s="132" t="s">
        <v>669</v>
      </c>
      <c r="B48" s="133" t="s">
        <v>7113</v>
      </c>
      <c r="C48" s="134" t="s">
        <v>1084</v>
      </c>
      <c r="D48" s="136" t="s">
        <v>7114</v>
      </c>
      <c r="F48" s="168" t="s">
        <v>7117</v>
      </c>
    </row>
    <row r="49">
      <c r="A49" s="132" t="s">
        <v>2821</v>
      </c>
      <c r="B49" s="133" t="s">
        <v>7118</v>
      </c>
      <c r="C49" s="134" t="s">
        <v>7119</v>
      </c>
      <c r="D49" s="136" t="s">
        <v>7120</v>
      </c>
      <c r="F49" s="168" t="s">
        <v>7125</v>
      </c>
    </row>
    <row r="50">
      <c r="A50" s="132" t="s">
        <v>511</v>
      </c>
      <c r="B50" s="133" t="s">
        <v>7128</v>
      </c>
      <c r="C50" s="134" t="s">
        <v>7014</v>
      </c>
      <c r="D50" s="136" t="s">
        <v>7130</v>
      </c>
      <c r="F50" s="87" t="s">
        <v>7132</v>
      </c>
    </row>
    <row r="51">
      <c r="A51" s="132" t="s">
        <v>1343</v>
      </c>
      <c r="B51" s="487" t="s">
        <v>7134</v>
      </c>
      <c r="C51" s="475" t="s">
        <v>7137</v>
      </c>
      <c r="D51" s="206" t="s">
        <v>7138</v>
      </c>
      <c r="E51" s="91" t="s">
        <v>7140</v>
      </c>
      <c r="F51" s="91" t="s">
        <v>7141</v>
      </c>
    </row>
    <row r="52">
      <c r="A52" s="132" t="s">
        <v>7142</v>
      </c>
      <c r="B52" s="133" t="s">
        <v>7143</v>
      </c>
      <c r="C52" s="134" t="s">
        <v>7119</v>
      </c>
      <c r="D52" s="136" t="s">
        <v>7144</v>
      </c>
      <c r="F52" s="168" t="s">
        <v>7148</v>
      </c>
    </row>
    <row r="53">
      <c r="A53" s="132" t="s">
        <v>1511</v>
      </c>
      <c r="B53" s="133" t="s">
        <v>7151</v>
      </c>
      <c r="C53" s="134" t="s">
        <v>627</v>
      </c>
      <c r="D53" s="136" t="s">
        <v>7153</v>
      </c>
      <c r="E53" s="87" t="s">
        <v>7156</v>
      </c>
      <c r="F53" s="87" t="s">
        <v>7157</v>
      </c>
      <c r="G53" s="87" t="s">
        <v>7158</v>
      </c>
    </row>
    <row r="54">
      <c r="A54" s="132" t="s">
        <v>1231</v>
      </c>
      <c r="B54" s="133" t="s">
        <v>7159</v>
      </c>
      <c r="C54" s="134" t="s">
        <v>6933</v>
      </c>
      <c r="D54" s="136" t="s">
        <v>7160</v>
      </c>
      <c r="F54" s="168" t="s">
        <v>7162</v>
      </c>
    </row>
    <row r="55">
      <c r="A55" s="132" t="s">
        <v>5218</v>
      </c>
      <c r="B55" s="133" t="s">
        <v>7163</v>
      </c>
      <c r="C55" s="134" t="s">
        <v>6933</v>
      </c>
      <c r="D55" s="136" t="s">
        <v>7164</v>
      </c>
      <c r="F55" s="168" t="s">
        <v>7167</v>
      </c>
      <c r="G55" s="168" t="s">
        <v>7168</v>
      </c>
    </row>
    <row r="56">
      <c r="A56" s="132" t="s">
        <v>5001</v>
      </c>
      <c r="B56" s="133" t="s">
        <v>7171</v>
      </c>
      <c r="C56" s="134" t="s">
        <v>611</v>
      </c>
      <c r="D56" s="136" t="s">
        <v>7173</v>
      </c>
      <c r="F56" s="87" t="s">
        <v>7174</v>
      </c>
      <c r="G56" s="87" t="s">
        <v>7175</v>
      </c>
    </row>
    <row r="57">
      <c r="A57" s="132" t="s">
        <v>1567</v>
      </c>
      <c r="B57" s="133" t="s">
        <v>7178</v>
      </c>
      <c r="C57" s="134" t="s">
        <v>6933</v>
      </c>
      <c r="D57" s="136" t="s">
        <v>7179</v>
      </c>
      <c r="F57" s="87" t="s">
        <v>7182</v>
      </c>
    </row>
    <row r="58">
      <c r="A58" s="132" t="s">
        <v>293</v>
      </c>
      <c r="B58" s="133" t="s">
        <v>7184</v>
      </c>
      <c r="C58" s="134" t="s">
        <v>6933</v>
      </c>
      <c r="D58" s="136" t="s">
        <v>7185</v>
      </c>
      <c r="F58" s="168" t="s">
        <v>7187</v>
      </c>
      <c r="G58" s="168" t="s">
        <v>7188</v>
      </c>
    </row>
    <row r="59">
      <c r="A59" s="132" t="s">
        <v>2641</v>
      </c>
      <c r="B59" s="133" t="s">
        <v>7190</v>
      </c>
      <c r="C59" s="134" t="s">
        <v>7191</v>
      </c>
      <c r="D59" s="136" t="s">
        <v>7192</v>
      </c>
      <c r="F59" s="168" t="s">
        <v>2645</v>
      </c>
    </row>
    <row r="60">
      <c r="A60" s="132" t="s">
        <v>53</v>
      </c>
      <c r="B60" s="133" t="s">
        <v>7194</v>
      </c>
      <c r="C60" s="134" t="s">
        <v>7195</v>
      </c>
      <c r="D60" s="136" t="s">
        <v>7196</v>
      </c>
      <c r="F60" s="87" t="s">
        <v>7197</v>
      </c>
    </row>
    <row r="61">
      <c r="A61" s="132" t="s">
        <v>1438</v>
      </c>
      <c r="B61" s="133" t="s">
        <v>1433</v>
      </c>
      <c r="C61" s="134" t="s">
        <v>7199</v>
      </c>
      <c r="D61" s="136" t="s">
        <v>7201</v>
      </c>
      <c r="F61" s="168" t="s">
        <v>1435</v>
      </c>
      <c r="G61" s="168" t="s">
        <v>7204</v>
      </c>
    </row>
    <row r="62">
      <c r="A62" s="132" t="s">
        <v>4267</v>
      </c>
      <c r="B62" s="133" t="s">
        <v>351</v>
      </c>
      <c r="C62" s="134" t="s">
        <v>7207</v>
      </c>
      <c r="D62" s="136" t="s">
        <v>7208</v>
      </c>
      <c r="E62" s="87" t="s">
        <v>7212</v>
      </c>
      <c r="F62" s="87" t="s">
        <v>7213</v>
      </c>
      <c r="G62" s="87" t="s">
        <v>7214</v>
      </c>
    </row>
    <row r="63">
      <c r="A63" s="132" t="s">
        <v>126</v>
      </c>
      <c r="B63" s="133" t="s">
        <v>4538</v>
      </c>
      <c r="C63" s="134" t="s">
        <v>7216</v>
      </c>
      <c r="D63" s="136" t="s">
        <v>7217</v>
      </c>
      <c r="F63" s="87" t="s">
        <v>7220</v>
      </c>
    </row>
    <row r="64">
      <c r="A64" s="132" t="s">
        <v>3278</v>
      </c>
      <c r="B64" s="133" t="s">
        <v>7221</v>
      </c>
      <c r="C64" s="134" t="s">
        <v>6933</v>
      </c>
      <c r="D64" s="136" t="s">
        <v>7222</v>
      </c>
      <c r="F64" s="168" t="s">
        <v>7228</v>
      </c>
    </row>
    <row r="65">
      <c r="A65" s="132" t="s">
        <v>6192</v>
      </c>
      <c r="B65" s="133" t="s">
        <v>7229</v>
      </c>
      <c r="C65" s="134" t="s">
        <v>1145</v>
      </c>
      <c r="D65" s="136" t="s">
        <v>7230</v>
      </c>
      <c r="F65" s="87" t="s">
        <v>7234</v>
      </c>
    </row>
    <row r="66">
      <c r="A66" s="132" t="s">
        <v>1041</v>
      </c>
      <c r="B66" s="133" t="s">
        <v>7235</v>
      </c>
      <c r="C66" s="134" t="s">
        <v>6933</v>
      </c>
      <c r="D66" s="136" t="s">
        <v>7237</v>
      </c>
      <c r="F66" s="87" t="s">
        <v>7241</v>
      </c>
      <c r="G66" s="87" t="s">
        <v>7242</v>
      </c>
    </row>
    <row r="67">
      <c r="A67" s="132" t="s">
        <v>1265</v>
      </c>
      <c r="B67" s="133" t="s">
        <v>590</v>
      </c>
      <c r="C67" s="134" t="s">
        <v>7245</v>
      </c>
      <c r="D67" s="136" t="s">
        <v>7246</v>
      </c>
      <c r="F67" s="168" t="s">
        <v>7248</v>
      </c>
    </row>
    <row r="68">
      <c r="A68" s="132" t="s">
        <v>895</v>
      </c>
      <c r="B68" s="133" t="s">
        <v>7251</v>
      </c>
      <c r="C68" s="134" t="s">
        <v>4188</v>
      </c>
      <c r="D68" s="136" t="s">
        <v>7253</v>
      </c>
      <c r="F68" s="168" t="s">
        <v>7258</v>
      </c>
    </row>
    <row r="69">
      <c r="A69" s="132" t="s">
        <v>2900</v>
      </c>
      <c r="B69" s="133" t="s">
        <v>7259</v>
      </c>
      <c r="C69" s="134" t="s">
        <v>1084</v>
      </c>
      <c r="D69" s="136" t="s">
        <v>7260</v>
      </c>
      <c r="F69" s="168" t="s">
        <v>7266</v>
      </c>
    </row>
    <row r="70">
      <c r="A70" s="132" t="s">
        <v>659</v>
      </c>
      <c r="B70" s="133" t="s">
        <v>7267</v>
      </c>
      <c r="C70" s="134" t="s">
        <v>7245</v>
      </c>
      <c r="D70" s="136" t="s">
        <v>7268</v>
      </c>
      <c r="F70" s="168" t="s">
        <v>7274</v>
      </c>
    </row>
    <row r="71">
      <c r="A71" s="132" t="s">
        <v>6790</v>
      </c>
      <c r="B71" s="133" t="s">
        <v>7277</v>
      </c>
      <c r="C71" s="134" t="s">
        <v>7278</v>
      </c>
      <c r="D71" s="136" t="s">
        <v>7279</v>
      </c>
      <c r="F71" s="87" t="s">
        <v>7282</v>
      </c>
    </row>
    <row r="72">
      <c r="A72" s="132" t="s">
        <v>1132</v>
      </c>
      <c r="B72" s="133" t="s">
        <v>7284</v>
      </c>
      <c r="C72" s="134" t="s">
        <v>7286</v>
      </c>
      <c r="D72" s="136" t="s">
        <v>7287</v>
      </c>
      <c r="F72" s="168" t="s">
        <v>7292</v>
      </c>
    </row>
    <row r="73">
      <c r="A73" s="132" t="s">
        <v>3717</v>
      </c>
      <c r="B73" s="133" t="s">
        <v>7293</v>
      </c>
      <c r="C73" s="134" t="s">
        <v>7294</v>
      </c>
      <c r="D73" s="136" t="s">
        <v>7296</v>
      </c>
      <c r="F73" s="168" t="s">
        <v>7298</v>
      </c>
      <c r="G73" s="168" t="s">
        <v>7299</v>
      </c>
    </row>
    <row r="74">
      <c r="A74" s="132" t="s">
        <v>1090</v>
      </c>
      <c r="B74" s="133" t="s">
        <v>7301</v>
      </c>
      <c r="C74" s="134" t="s">
        <v>611</v>
      </c>
      <c r="D74" s="136" t="s">
        <v>7304</v>
      </c>
      <c r="F74" s="168" t="s">
        <v>7309</v>
      </c>
    </row>
    <row r="75">
      <c r="A75" s="132" t="s">
        <v>4221</v>
      </c>
      <c r="B75" s="133" t="s">
        <v>7310</v>
      </c>
      <c r="C75" s="134" t="s">
        <v>1145</v>
      </c>
      <c r="D75" s="136" t="s">
        <v>7312</v>
      </c>
      <c r="F75" s="168" t="s">
        <v>7316</v>
      </c>
    </row>
    <row r="76">
      <c r="A76" s="132" t="s">
        <v>91</v>
      </c>
      <c r="B76" s="133" t="s">
        <v>7317</v>
      </c>
      <c r="C76" s="134" t="s">
        <v>1084</v>
      </c>
      <c r="D76" s="136" t="s">
        <v>7320</v>
      </c>
      <c r="F76" s="168" t="s">
        <v>7322</v>
      </c>
      <c r="G76" s="168" t="s">
        <v>7323</v>
      </c>
    </row>
    <row r="77">
      <c r="A77" s="132" t="s">
        <v>1363</v>
      </c>
      <c r="B77" s="133" t="s">
        <v>7324</v>
      </c>
      <c r="C77" s="134" t="s">
        <v>7325</v>
      </c>
      <c r="D77" s="136" t="s">
        <v>7326</v>
      </c>
      <c r="E77" s="87" t="s">
        <v>7329</v>
      </c>
      <c r="F77" s="87" t="s">
        <v>7330</v>
      </c>
    </row>
    <row r="78">
      <c r="A78" s="132" t="s">
        <v>1533</v>
      </c>
      <c r="B78" s="133" t="s">
        <v>7332</v>
      </c>
      <c r="C78" s="134" t="s">
        <v>7334</v>
      </c>
      <c r="D78" s="136" t="s">
        <v>7335</v>
      </c>
      <c r="F78" s="168" t="s">
        <v>7336</v>
      </c>
      <c r="G78" s="168" t="s">
        <v>7338</v>
      </c>
    </row>
    <row r="79">
      <c r="A79" s="132" t="s">
        <v>4263</v>
      </c>
      <c r="B79" s="133" t="s">
        <v>7341</v>
      </c>
      <c r="C79" s="134" t="s">
        <v>1145</v>
      </c>
      <c r="D79" s="136" t="s">
        <v>7342</v>
      </c>
      <c r="E79" s="178">
        <f>+918411004770</f>
        <v>918411004770</v>
      </c>
      <c r="F79" s="168" t="s">
        <v>4266</v>
      </c>
    </row>
    <row r="80">
      <c r="A80" s="132" t="s">
        <v>548</v>
      </c>
      <c r="B80" s="133" t="s">
        <v>7346</v>
      </c>
      <c r="C80" s="84" t="s">
        <v>7347</v>
      </c>
      <c r="D80" s="136" t="s">
        <v>7348</v>
      </c>
      <c r="E80" s="87" t="s">
        <v>7351</v>
      </c>
      <c r="F80" s="87" t="s">
        <v>7352</v>
      </c>
    </row>
    <row r="81">
      <c r="A81" s="132" t="s">
        <v>1007</v>
      </c>
      <c r="B81" s="133" t="s">
        <v>7353</v>
      </c>
      <c r="C81" s="134" t="s">
        <v>1084</v>
      </c>
      <c r="D81" s="136" t="s">
        <v>7354</v>
      </c>
      <c r="F81" s="168" t="s">
        <v>7356</v>
      </c>
      <c r="G81" s="168" t="s">
        <v>7357</v>
      </c>
    </row>
    <row r="82">
      <c r="A82" s="132" t="s">
        <v>1900</v>
      </c>
      <c r="B82" s="133" t="s">
        <v>7358</v>
      </c>
      <c r="C82" s="134" t="s">
        <v>6933</v>
      </c>
      <c r="D82" s="262" t="s">
        <v>7360</v>
      </c>
      <c r="F82" s="168" t="s">
        <v>7363</v>
      </c>
      <c r="G82" s="168" t="s">
        <v>7364</v>
      </c>
    </row>
    <row r="83">
      <c r="A83" s="132" t="s">
        <v>110</v>
      </c>
      <c r="B83" s="133" t="s">
        <v>7365</v>
      </c>
      <c r="C83" s="134" t="s">
        <v>627</v>
      </c>
      <c r="D83" s="136" t="s">
        <v>7366</v>
      </c>
      <c r="E83" s="87" t="s">
        <v>7369</v>
      </c>
      <c r="F83" s="87" t="s">
        <v>7370</v>
      </c>
    </row>
    <row r="84">
      <c r="A84" s="134"/>
      <c r="B84" s="133"/>
      <c r="C84" s="134"/>
    </row>
    <row r="85">
      <c r="A85" s="189" t="s">
        <v>7371</v>
      </c>
      <c r="B85" s="103" t="s">
        <v>7373</v>
      </c>
      <c r="C85" s="87" t="s">
        <v>1084</v>
      </c>
      <c r="D85" s="136" t="s">
        <v>7375</v>
      </c>
      <c r="E85" s="87" t="s">
        <v>7376</v>
      </c>
      <c r="F85" s="87" t="s">
        <v>7378</v>
      </c>
      <c r="G85" s="87" t="s">
        <v>7379</v>
      </c>
    </row>
    <row r="86">
      <c r="A86" s="132"/>
      <c r="B86" s="133"/>
      <c r="C86" s="134"/>
    </row>
    <row r="87">
      <c r="A87" s="132" t="s">
        <v>1288</v>
      </c>
      <c r="B87" s="133" t="s">
        <v>7381</v>
      </c>
      <c r="C87" s="134" t="s">
        <v>7382</v>
      </c>
      <c r="D87" s="136" t="s">
        <v>7383</v>
      </c>
      <c r="F87" s="168" t="s">
        <v>7386</v>
      </c>
    </row>
    <row r="88">
      <c r="A88" s="216" t="s">
        <v>7388</v>
      </c>
      <c r="B88" s="487" t="s">
        <v>7390</v>
      </c>
      <c r="C88" s="225" t="s">
        <v>7391</v>
      </c>
      <c r="D88" s="206" t="s">
        <v>7392</v>
      </c>
      <c r="E88" s="505" t="s">
        <v>7397</v>
      </c>
      <c r="F88" s="506" t="s">
        <v>7399</v>
      </c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</row>
    <row r="89">
      <c r="A89" s="507" t="s">
        <v>2438</v>
      </c>
      <c r="B89" s="487" t="s">
        <v>7402</v>
      </c>
      <c r="C89" s="475" t="s">
        <v>627</v>
      </c>
      <c r="D89" s="90" t="s">
        <v>7404</v>
      </c>
      <c r="E89" s="508">
        <f>+919819419650</f>
        <v>919819419650</v>
      </c>
      <c r="F89" s="509" t="s">
        <v>7407</v>
      </c>
    </row>
    <row r="90">
      <c r="A90" s="132" t="s">
        <v>3239</v>
      </c>
      <c r="B90" s="133" t="s">
        <v>7408</v>
      </c>
      <c r="C90" s="134" t="s">
        <v>7409</v>
      </c>
      <c r="D90" s="136" t="s">
        <v>7410</v>
      </c>
      <c r="F90" s="168" t="s">
        <v>7413</v>
      </c>
    </row>
    <row r="91">
      <c r="A91" s="510" t="s">
        <v>1742</v>
      </c>
      <c r="B91" s="487" t="s">
        <v>7414</v>
      </c>
      <c r="C91" s="511" t="s">
        <v>7415</v>
      </c>
      <c r="D91" s="90" t="s">
        <v>7416</v>
      </c>
      <c r="E91" s="508">
        <f>+919654014236</f>
        <v>919654014236</v>
      </c>
      <c r="F91" s="512" t="s">
        <v>7419</v>
      </c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</row>
    <row r="92">
      <c r="A92" s="132" t="s">
        <v>2658</v>
      </c>
      <c r="B92" s="133" t="s">
        <v>2659</v>
      </c>
      <c r="C92" s="134"/>
    </row>
    <row r="93">
      <c r="A93" s="132" t="s">
        <v>2466</v>
      </c>
      <c r="B93" s="133" t="s">
        <v>7422</v>
      </c>
      <c r="C93" s="134" t="s">
        <v>7014</v>
      </c>
      <c r="D93" s="136" t="s">
        <v>7423</v>
      </c>
      <c r="E93" s="178">
        <f>+919620433310</f>
        <v>919620433310</v>
      </c>
      <c r="F93" s="168" t="s">
        <v>7425</v>
      </c>
      <c r="G93" s="168" t="s">
        <v>7426</v>
      </c>
    </row>
    <row r="94">
      <c r="A94" s="132" t="s">
        <v>7428</v>
      </c>
      <c r="B94" s="133" t="s">
        <v>7429</v>
      </c>
      <c r="C94" s="134" t="s">
        <v>7216</v>
      </c>
      <c r="D94" s="136" t="s">
        <v>7430</v>
      </c>
      <c r="E94" s="87">
        <v>7.506858285E9</v>
      </c>
      <c r="F94" s="87" t="s">
        <v>7431</v>
      </c>
      <c r="G94" s="87" t="s">
        <v>7432</v>
      </c>
    </row>
    <row r="95">
      <c r="A95" s="510" t="s">
        <v>7433</v>
      </c>
      <c r="B95" s="487" t="s">
        <v>7435</v>
      </c>
      <c r="C95" s="475" t="s">
        <v>6933</v>
      </c>
      <c r="D95" s="512" t="s">
        <v>7437</v>
      </c>
      <c r="E95" s="508">
        <f>+919819824960</f>
        <v>919819824960</v>
      </c>
      <c r="F95" s="91" t="s">
        <v>7441</v>
      </c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</row>
    <row r="96">
      <c r="A96" s="132" t="s">
        <v>2860</v>
      </c>
      <c r="B96" s="133" t="s">
        <v>7443</v>
      </c>
      <c r="C96" s="134" t="s">
        <v>7444</v>
      </c>
      <c r="D96" s="136" t="s">
        <v>7445</v>
      </c>
      <c r="F96" s="168" t="s">
        <v>7446</v>
      </c>
    </row>
    <row r="97">
      <c r="A97" s="132" t="s">
        <v>7447</v>
      </c>
      <c r="B97" s="133" t="s">
        <v>7448</v>
      </c>
      <c r="C97" s="134" t="s">
        <v>7450</v>
      </c>
      <c r="D97" s="136" t="s">
        <v>7452</v>
      </c>
      <c r="E97" s="178">
        <f>+919945542510</f>
        <v>919945542510</v>
      </c>
      <c r="F97" s="168" t="s">
        <v>7453</v>
      </c>
    </row>
    <row r="98">
      <c r="A98" s="510" t="s">
        <v>1709</v>
      </c>
      <c r="B98" s="487" t="s">
        <v>7455</v>
      </c>
      <c r="C98" s="475" t="s">
        <v>7456</v>
      </c>
      <c r="D98" s="91" t="s">
        <v>7457</v>
      </c>
      <c r="E98" s="91" t="s">
        <v>7458</v>
      </c>
      <c r="F98" s="206" t="s">
        <v>7459</v>
      </c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</row>
    <row r="99">
      <c r="A99" s="132" t="s">
        <v>3811</v>
      </c>
      <c r="B99" s="133" t="s">
        <v>7462</v>
      </c>
      <c r="C99" s="134" t="s">
        <v>147</v>
      </c>
      <c r="D99" s="136" t="s">
        <v>7464</v>
      </c>
      <c r="F99" s="168" t="s">
        <v>7465</v>
      </c>
    </row>
    <row r="100">
      <c r="A100" s="138" t="s">
        <v>569</v>
      </c>
      <c r="B100" s="139" t="s">
        <v>571</v>
      </c>
      <c r="C100" s="139" t="s">
        <v>573</v>
      </c>
      <c r="D100" s="41" t="s">
        <v>574</v>
      </c>
      <c r="E100" s="42"/>
      <c r="F100" s="3" t="s">
        <v>578</v>
      </c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</row>
    <row r="101">
      <c r="A101" s="132" t="s">
        <v>2846</v>
      </c>
      <c r="B101" s="133" t="s">
        <v>2847</v>
      </c>
      <c r="C101" s="134" t="s">
        <v>1084</v>
      </c>
      <c r="D101" s="136" t="s">
        <v>2848</v>
      </c>
      <c r="F101" s="87" t="s">
        <v>2849</v>
      </c>
    </row>
    <row r="102">
      <c r="A102" s="132" t="s">
        <v>2851</v>
      </c>
      <c r="B102" s="133" t="s">
        <v>2853</v>
      </c>
      <c r="C102" s="134" t="s">
        <v>627</v>
      </c>
      <c r="D102" s="136" t="s">
        <v>2855</v>
      </c>
      <c r="E102" s="168"/>
      <c r="F102" s="168" t="s">
        <v>2857</v>
      </c>
    </row>
    <row r="103">
      <c r="A103" s="138" t="s">
        <v>589</v>
      </c>
      <c r="B103" s="139" t="s">
        <v>591</v>
      </c>
      <c r="C103" s="139" t="s">
        <v>594</v>
      </c>
      <c r="D103" s="41" t="s">
        <v>596</v>
      </c>
      <c r="E103" s="140">
        <f>+919530284335</f>
        <v>919530284335</v>
      </c>
      <c r="F103" s="141" t="s">
        <v>602</v>
      </c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</row>
    <row r="104">
      <c r="A104" s="132" t="s">
        <v>2714</v>
      </c>
      <c r="B104" s="133" t="s">
        <v>2863</v>
      </c>
      <c r="C104" s="134" t="s">
        <v>7475</v>
      </c>
      <c r="D104" s="136" t="s">
        <v>2864</v>
      </c>
      <c r="F104" s="168" t="s">
        <v>2868</v>
      </c>
    </row>
    <row r="105">
      <c r="A105" s="132" t="s">
        <v>1505</v>
      </c>
      <c r="B105" s="133" t="s">
        <v>2869</v>
      </c>
      <c r="C105" s="134" t="s">
        <v>7478</v>
      </c>
      <c r="D105" s="136" t="s">
        <v>2870</v>
      </c>
      <c r="F105" s="87" t="s">
        <v>2871</v>
      </c>
    </row>
    <row r="106">
      <c r="A106" s="132" t="s">
        <v>2872</v>
      </c>
      <c r="B106" s="133" t="s">
        <v>2873</v>
      </c>
      <c r="C106" s="134" t="s">
        <v>611</v>
      </c>
      <c r="D106" s="136" t="s">
        <v>2876</v>
      </c>
      <c r="F106" s="168" t="s">
        <v>2878</v>
      </c>
    </row>
    <row r="107">
      <c r="A107" s="132" t="s">
        <v>2879</v>
      </c>
      <c r="B107" s="133" t="s">
        <v>2880</v>
      </c>
      <c r="C107" s="134" t="s">
        <v>1084</v>
      </c>
      <c r="D107" s="136" t="s">
        <v>2881</v>
      </c>
      <c r="F107" s="168" t="s">
        <v>2883</v>
      </c>
    </row>
    <row r="108">
      <c r="A108" s="132" t="s">
        <v>2884</v>
      </c>
      <c r="B108" s="133" t="s">
        <v>2885</v>
      </c>
      <c r="C108" s="134" t="s">
        <v>7482</v>
      </c>
      <c r="D108" s="136" t="s">
        <v>2886</v>
      </c>
      <c r="F108" s="87" t="s">
        <v>2890</v>
      </c>
    </row>
    <row r="109">
      <c r="A109" s="132" t="s">
        <v>2581</v>
      </c>
      <c r="B109" s="133" t="s">
        <v>2891</v>
      </c>
      <c r="C109" s="134" t="s">
        <v>7485</v>
      </c>
      <c r="D109" s="136" t="s">
        <v>2892</v>
      </c>
      <c r="F109" s="87" t="s">
        <v>2895</v>
      </c>
    </row>
    <row r="110">
      <c r="A110" s="132" t="s">
        <v>2896</v>
      </c>
      <c r="B110" s="133" t="s">
        <v>2897</v>
      </c>
      <c r="C110" s="134" t="s">
        <v>1084</v>
      </c>
      <c r="D110" s="136" t="s">
        <v>2898</v>
      </c>
      <c r="F110" s="87" t="s">
        <v>2899</v>
      </c>
      <c r="G110" s="87" t="s">
        <v>2901</v>
      </c>
    </row>
    <row r="111">
      <c r="A111" s="132" t="s">
        <v>2902</v>
      </c>
      <c r="B111" s="133" t="s">
        <v>2904</v>
      </c>
      <c r="C111" s="134" t="s">
        <v>7489</v>
      </c>
      <c r="D111" s="136" t="s">
        <v>2905</v>
      </c>
      <c r="F111" s="87" t="s">
        <v>2906</v>
      </c>
    </row>
    <row r="112">
      <c r="A112" s="138" t="s">
        <v>625</v>
      </c>
      <c r="B112" s="139" t="s">
        <v>626</v>
      </c>
      <c r="C112" s="139" t="s">
        <v>627</v>
      </c>
      <c r="D112" s="41" t="s">
        <v>628</v>
      </c>
      <c r="E112" s="140">
        <f>+19088480262</f>
        <v>19088480262</v>
      </c>
      <c r="F112" s="141" t="s">
        <v>635</v>
      </c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</row>
    <row r="113">
      <c r="A113" s="132" t="s">
        <v>2093</v>
      </c>
      <c r="B113" s="133" t="s">
        <v>2911</v>
      </c>
      <c r="C113" s="134" t="s">
        <v>7492</v>
      </c>
      <c r="D113" s="136" t="s">
        <v>2912</v>
      </c>
      <c r="F113" s="168" t="s">
        <v>2914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138" t="s">
        <v>608</v>
      </c>
      <c r="B114" s="139" t="s">
        <v>610</v>
      </c>
      <c r="C114" s="139" t="s">
        <v>611</v>
      </c>
      <c r="D114" s="41" t="s">
        <v>612</v>
      </c>
      <c r="E114" s="42"/>
      <c r="F114" s="141" t="s">
        <v>617</v>
      </c>
      <c r="G114" s="42"/>
      <c r="H114" s="42"/>
      <c r="I114" s="42"/>
      <c r="J114" s="42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132" t="s">
        <v>2923</v>
      </c>
      <c r="B115" s="133" t="s">
        <v>2924</v>
      </c>
      <c r="C115" s="134" t="s">
        <v>7216</v>
      </c>
      <c r="D115" s="136" t="s">
        <v>2925</v>
      </c>
      <c r="F115" s="168" t="s">
        <v>2927</v>
      </c>
    </row>
    <row r="116">
      <c r="A116" s="132" t="s">
        <v>2929</v>
      </c>
      <c r="B116" s="133" t="s">
        <v>2931</v>
      </c>
      <c r="C116" s="134" t="s">
        <v>7497</v>
      </c>
      <c r="D116" s="136" t="s">
        <v>2932</v>
      </c>
      <c r="F116" s="168" t="s">
        <v>2934</v>
      </c>
    </row>
    <row r="117">
      <c r="A117" s="132" t="s">
        <v>2935</v>
      </c>
      <c r="B117" s="133" t="s">
        <v>2936</v>
      </c>
      <c r="C117" s="134" t="s">
        <v>7500</v>
      </c>
      <c r="D117" s="136" t="s">
        <v>2937</v>
      </c>
      <c r="F117" s="168" t="s">
        <v>2943</v>
      </c>
    </row>
    <row r="118">
      <c r="A118" s="132" t="s">
        <v>2944</v>
      </c>
      <c r="B118" s="133" t="s">
        <v>2945</v>
      </c>
      <c r="C118" s="134" t="s">
        <v>7492</v>
      </c>
      <c r="D118" s="136" t="s">
        <v>2946</v>
      </c>
      <c r="F118" s="168" t="s">
        <v>2950</v>
      </c>
    </row>
    <row r="119">
      <c r="A119" s="132" t="s">
        <v>2951</v>
      </c>
      <c r="B119" s="133" t="s">
        <v>2952</v>
      </c>
      <c r="C119" s="134" t="s">
        <v>1084</v>
      </c>
      <c r="D119" s="136" t="s">
        <v>2954</v>
      </c>
      <c r="F119" s="87" t="s">
        <v>2956</v>
      </c>
    </row>
    <row r="120">
      <c r="A120" s="132" t="s">
        <v>2957</v>
      </c>
      <c r="B120" s="133" t="s">
        <v>2958</v>
      </c>
      <c r="C120" s="134" t="s">
        <v>7485</v>
      </c>
      <c r="D120" s="136" t="s">
        <v>2959</v>
      </c>
      <c r="E120" s="87" t="s">
        <v>2963</v>
      </c>
      <c r="F120" s="87" t="s">
        <v>2964</v>
      </c>
      <c r="G120" s="87" t="s">
        <v>2965</v>
      </c>
    </row>
    <row r="121">
      <c r="A121" s="132" t="s">
        <v>2966</v>
      </c>
      <c r="B121" s="133" t="s">
        <v>2968</v>
      </c>
      <c r="C121" s="134" t="s">
        <v>6866</v>
      </c>
      <c r="D121" s="136" t="s">
        <v>2969</v>
      </c>
      <c r="E121" s="178">
        <f>+919845665413</f>
        <v>919845665413</v>
      </c>
      <c r="F121" s="168" t="s">
        <v>2972</v>
      </c>
    </row>
    <row r="122">
      <c r="A122" s="132" t="s">
        <v>2569</v>
      </c>
      <c r="B122" s="408" t="s">
        <v>2973</v>
      </c>
      <c r="C122" s="134" t="s">
        <v>7508</v>
      </c>
      <c r="D122" s="136" t="s">
        <v>2974</v>
      </c>
      <c r="F122" s="87" t="s">
        <v>2976</v>
      </c>
    </row>
    <row r="123">
      <c r="A123" s="132" t="s">
        <v>2977</v>
      </c>
      <c r="B123" s="133" t="s">
        <v>2978</v>
      </c>
      <c r="C123" s="134" t="s">
        <v>7511</v>
      </c>
      <c r="D123" s="262" t="s">
        <v>2979</v>
      </c>
      <c r="F123" s="168" t="s">
        <v>2985</v>
      </c>
    </row>
    <row r="124">
      <c r="A124" s="132" t="s">
        <v>2986</v>
      </c>
      <c r="B124" s="133" t="s">
        <v>2987</v>
      </c>
      <c r="C124" s="134" t="s">
        <v>7513</v>
      </c>
      <c r="D124" s="136" t="s">
        <v>2988</v>
      </c>
      <c r="F124" s="168" t="s">
        <v>2992</v>
      </c>
    </row>
    <row r="125">
      <c r="A125" s="132" t="s">
        <v>2993</v>
      </c>
      <c r="B125" s="133" t="s">
        <v>2994</v>
      </c>
      <c r="C125" s="134" t="s">
        <v>627</v>
      </c>
      <c r="D125" s="136" t="s">
        <v>2995</v>
      </c>
      <c r="F125" s="87" t="s">
        <v>2997</v>
      </c>
    </row>
    <row r="126">
      <c r="A126" s="132" t="s">
        <v>2998</v>
      </c>
      <c r="B126" s="133" t="s">
        <v>2999</v>
      </c>
      <c r="C126" s="134" t="s">
        <v>7517</v>
      </c>
      <c r="D126" s="136" t="s">
        <v>3000</v>
      </c>
      <c r="F126" s="168" t="s">
        <v>3005</v>
      </c>
    </row>
    <row r="127">
      <c r="A127" s="132" t="s">
        <v>2074</v>
      </c>
      <c r="B127" s="133" t="s">
        <v>3007</v>
      </c>
      <c r="C127" s="134" t="s">
        <v>1084</v>
      </c>
      <c r="D127" s="136" t="s">
        <v>3008</v>
      </c>
      <c r="F127" s="168" t="s">
        <v>3009</v>
      </c>
      <c r="G127" s="168" t="s">
        <v>3010</v>
      </c>
    </row>
    <row r="128">
      <c r="A128" s="132" t="s">
        <v>2053</v>
      </c>
      <c r="B128" s="133" t="s">
        <v>3011</v>
      </c>
      <c r="C128" s="134" t="s">
        <v>7519</v>
      </c>
      <c r="D128" s="136" t="s">
        <v>3014</v>
      </c>
      <c r="F128" s="87" t="s">
        <v>3016</v>
      </c>
    </row>
    <row r="129">
      <c r="A129" s="132" t="s">
        <v>2253</v>
      </c>
      <c r="B129" s="133" t="s">
        <v>3018</v>
      </c>
      <c r="C129" s="134" t="s">
        <v>7137</v>
      </c>
      <c r="D129" s="136" t="s">
        <v>3019</v>
      </c>
      <c r="F129" s="84" t="s">
        <v>3020</v>
      </c>
    </row>
    <row r="130">
      <c r="A130" s="132" t="s">
        <v>3023</v>
      </c>
      <c r="B130" s="133" t="s">
        <v>3026</v>
      </c>
      <c r="C130" s="134" t="s">
        <v>627</v>
      </c>
      <c r="D130" s="136" t="s">
        <v>3027</v>
      </c>
      <c r="F130" s="168" t="s">
        <v>3029</v>
      </c>
    </row>
    <row r="131">
      <c r="A131" s="132" t="s">
        <v>2109</v>
      </c>
      <c r="B131" s="515"/>
      <c r="C131" s="134"/>
    </row>
    <row r="132">
      <c r="A132" s="132" t="s">
        <v>3415</v>
      </c>
      <c r="B132" s="515"/>
      <c r="C132" s="134"/>
    </row>
    <row r="133">
      <c r="A133" s="132" t="s">
        <v>2140</v>
      </c>
      <c r="B133" s="515"/>
      <c r="C133" s="134"/>
    </row>
    <row r="134">
      <c r="A134" s="132" t="s">
        <v>7527</v>
      </c>
      <c r="B134" s="515"/>
      <c r="C134" s="134"/>
    </row>
    <row r="135">
      <c r="A135" s="132" t="s">
        <v>7528</v>
      </c>
      <c r="B135" s="515"/>
      <c r="C135" s="134"/>
    </row>
    <row r="136">
      <c r="A136" s="132" t="s">
        <v>3473</v>
      </c>
      <c r="B136" s="515"/>
      <c r="C136" s="134"/>
    </row>
    <row r="137">
      <c r="A137" s="132" t="s">
        <v>2733</v>
      </c>
      <c r="B137" s="515"/>
      <c r="C137" s="134"/>
    </row>
    <row r="138">
      <c r="A138" s="132" t="s">
        <v>3493</v>
      </c>
      <c r="B138" s="515"/>
      <c r="C138" s="134"/>
    </row>
    <row r="139">
      <c r="A139" s="132" t="s">
        <v>3173</v>
      </c>
      <c r="B139" s="515"/>
      <c r="C139" s="134"/>
    </row>
    <row r="140">
      <c r="A140" s="132" t="s">
        <v>7165</v>
      </c>
      <c r="B140" s="515"/>
      <c r="C140" s="134"/>
    </row>
    <row r="141">
      <c r="A141" s="132" t="s">
        <v>2178</v>
      </c>
      <c r="B141" s="515"/>
      <c r="C141" s="134"/>
      <c r="I141" s="6"/>
      <c r="J141" s="6"/>
    </row>
    <row r="142">
      <c r="A142" s="132" t="s">
        <v>3521</v>
      </c>
      <c r="B142" s="515"/>
      <c r="C142" s="134"/>
      <c r="I142" s="107"/>
      <c r="J142" s="102"/>
    </row>
    <row r="143">
      <c r="A143" s="132" t="s">
        <v>7532</v>
      </c>
      <c r="B143" s="515"/>
      <c r="C143" s="134"/>
    </row>
    <row r="144">
      <c r="A144" s="132" t="s">
        <v>7533</v>
      </c>
      <c r="B144" s="515"/>
      <c r="C144" s="134"/>
    </row>
    <row r="145">
      <c r="A145" s="132" t="s">
        <v>329</v>
      </c>
      <c r="B145" s="515"/>
      <c r="C145" s="134"/>
    </row>
    <row r="146">
      <c r="A146" s="132" t="s">
        <v>3570</v>
      </c>
      <c r="B146" s="515"/>
      <c r="C146" s="134"/>
    </row>
    <row r="147">
      <c r="A147" s="132" t="s">
        <v>7535</v>
      </c>
      <c r="B147" s="515"/>
      <c r="C147" s="134"/>
    </row>
    <row r="148">
      <c r="A148" s="132" t="s">
        <v>7536</v>
      </c>
      <c r="B148" s="515"/>
      <c r="C148" s="134"/>
    </row>
    <row r="149">
      <c r="A149" s="132" t="s">
        <v>7537</v>
      </c>
      <c r="B149" s="515"/>
      <c r="C149" s="134"/>
    </row>
    <row r="150">
      <c r="A150" s="132" t="s">
        <v>1942</v>
      </c>
      <c r="B150" s="515"/>
      <c r="C150" s="134"/>
    </row>
    <row r="151">
      <c r="A151" s="132" t="s">
        <v>7539</v>
      </c>
      <c r="B151" s="515"/>
      <c r="C151" s="134"/>
    </row>
    <row r="152">
      <c r="A152" s="132" t="s">
        <v>345</v>
      </c>
      <c r="B152" s="515"/>
      <c r="C152" s="134"/>
    </row>
    <row r="153">
      <c r="A153" s="132" t="s">
        <v>2509</v>
      </c>
      <c r="B153" s="515"/>
      <c r="C153" s="134"/>
    </row>
    <row r="154">
      <c r="A154" s="132" t="s">
        <v>477</v>
      </c>
      <c r="B154" s="515"/>
      <c r="C154" s="134"/>
    </row>
    <row r="155">
      <c r="A155" s="132" t="s">
        <v>7540</v>
      </c>
      <c r="B155" s="515"/>
      <c r="C155" s="134"/>
    </row>
    <row r="156">
      <c r="A156" s="132" t="s">
        <v>613</v>
      </c>
      <c r="B156" s="515"/>
      <c r="C156" s="134"/>
    </row>
    <row r="157">
      <c r="A157" s="132" t="s">
        <v>7542</v>
      </c>
      <c r="B157" s="515"/>
      <c r="C157" s="134"/>
    </row>
    <row r="158">
      <c r="A158" s="132" t="s">
        <v>3768</v>
      </c>
      <c r="B158" s="515"/>
      <c r="C158" s="134"/>
    </row>
    <row r="159">
      <c r="A159" s="132" t="s">
        <v>3778</v>
      </c>
      <c r="B159" s="515"/>
      <c r="C159" s="134"/>
    </row>
    <row r="160">
      <c r="A160" s="132" t="s">
        <v>3195</v>
      </c>
      <c r="B160" s="515"/>
      <c r="C160" s="134"/>
    </row>
    <row r="161">
      <c r="A161" s="132" t="s">
        <v>2523</v>
      </c>
      <c r="B161" s="515"/>
      <c r="C161" s="134"/>
    </row>
    <row r="162">
      <c r="A162" s="132" t="s">
        <v>7545</v>
      </c>
      <c r="B162" s="515"/>
      <c r="C162" s="134"/>
    </row>
    <row r="163">
      <c r="A163" s="132" t="s">
        <v>7546</v>
      </c>
      <c r="B163" s="515"/>
      <c r="C163" s="134"/>
    </row>
    <row r="164">
      <c r="A164" s="132" t="s">
        <v>2553</v>
      </c>
      <c r="B164" s="515"/>
      <c r="C164" s="134"/>
    </row>
    <row r="165">
      <c r="A165" s="132" t="s">
        <v>7547</v>
      </c>
      <c r="B165" s="515"/>
      <c r="C165" s="134"/>
    </row>
    <row r="166">
      <c r="A166" s="132" t="s">
        <v>7548</v>
      </c>
      <c r="B166" s="515"/>
      <c r="C166" s="134"/>
    </row>
    <row r="167">
      <c r="A167" s="132" t="s">
        <v>3224</v>
      </c>
      <c r="B167" s="515"/>
      <c r="C167" s="134"/>
    </row>
    <row r="168">
      <c r="A168" s="132" t="s">
        <v>2270</v>
      </c>
      <c r="B168" s="515"/>
      <c r="C168" s="134"/>
    </row>
    <row r="169">
      <c r="A169" s="132" t="s">
        <v>4310</v>
      </c>
      <c r="B169" s="515"/>
      <c r="C169" s="134"/>
    </row>
    <row r="170">
      <c r="A170" s="132" t="s">
        <v>3962</v>
      </c>
      <c r="B170" s="515"/>
      <c r="C170" s="134"/>
    </row>
    <row r="171">
      <c r="A171" s="132" t="s">
        <v>2960</v>
      </c>
      <c r="B171" s="515"/>
      <c r="C171" s="134"/>
    </row>
    <row r="172">
      <c r="A172" s="132" t="s">
        <v>183</v>
      </c>
      <c r="B172" s="515"/>
      <c r="C172" s="134"/>
    </row>
    <row r="173">
      <c r="A173" s="132"/>
      <c r="B173" s="515"/>
      <c r="C173" s="134"/>
    </row>
    <row r="174">
      <c r="A174" s="6" t="s">
        <v>0</v>
      </c>
      <c r="B174" s="6" t="s">
        <v>2</v>
      </c>
      <c r="C174" s="6" t="s">
        <v>4</v>
      </c>
      <c r="D174" s="6" t="s">
        <v>5</v>
      </c>
      <c r="E174" s="6" t="s">
        <v>6</v>
      </c>
      <c r="F174" s="6" t="s">
        <v>7</v>
      </c>
      <c r="G174" s="6" t="s">
        <v>9</v>
      </c>
      <c r="H174" s="6"/>
    </row>
    <row r="175">
      <c r="A175" s="107"/>
      <c r="B175" s="516" t="s">
        <v>7554</v>
      </c>
      <c r="C175" s="107"/>
      <c r="D175" s="107"/>
      <c r="E175" s="107"/>
      <c r="F175" s="102"/>
      <c r="G175" s="107"/>
      <c r="H175" s="107"/>
    </row>
    <row r="176">
      <c r="A176" s="517" t="s">
        <v>7555</v>
      </c>
    </row>
    <row r="177">
      <c r="A177" s="518"/>
    </row>
    <row r="178">
      <c r="A178" s="517" t="s">
        <v>1718</v>
      </c>
      <c r="B178" s="519" t="s">
        <v>7556</v>
      </c>
      <c r="C178" s="87" t="s">
        <v>7557</v>
      </c>
      <c r="D178" s="136" t="s">
        <v>7558</v>
      </c>
      <c r="F178" s="87" t="s">
        <v>7559</v>
      </c>
      <c r="G178" s="87" t="s">
        <v>7560</v>
      </c>
    </row>
    <row r="179">
      <c r="A179" s="518"/>
      <c r="B179" s="109"/>
    </row>
    <row r="180">
      <c r="A180" s="517" t="s">
        <v>7561</v>
      </c>
      <c r="B180" s="519" t="s">
        <v>7562</v>
      </c>
      <c r="C180" s="87" t="s">
        <v>1084</v>
      </c>
      <c r="D180" s="136" t="s">
        <v>7563</v>
      </c>
      <c r="F180" s="87" t="s">
        <v>7564</v>
      </c>
    </row>
    <row r="181">
      <c r="A181" s="518"/>
      <c r="B181" s="520"/>
    </row>
    <row r="182">
      <c r="A182" s="517" t="s">
        <v>7565</v>
      </c>
      <c r="B182" s="519" t="s">
        <v>7566</v>
      </c>
      <c r="C182" s="87" t="s">
        <v>7567</v>
      </c>
      <c r="D182" s="136" t="s">
        <v>7568</v>
      </c>
      <c r="F182" s="87" t="s">
        <v>7571</v>
      </c>
      <c r="G182" s="87" t="s">
        <v>7572</v>
      </c>
      <c r="H182" s="87" t="s">
        <v>7573</v>
      </c>
    </row>
    <row r="183">
      <c r="A183" s="518"/>
    </row>
    <row r="184">
      <c r="A184" s="517" t="s">
        <v>2383</v>
      </c>
      <c r="B184" s="522" t="s">
        <v>7574</v>
      </c>
      <c r="C184" s="261" t="s">
        <v>7575</v>
      </c>
      <c r="D184" s="136" t="s">
        <v>7576</v>
      </c>
      <c r="E184" s="178">
        <f>+442075811479</f>
        <v>442075811479</v>
      </c>
      <c r="F184" s="87" t="s">
        <v>7577</v>
      </c>
    </row>
    <row r="185">
      <c r="A185" s="518"/>
      <c r="B185" s="523"/>
    </row>
    <row r="186">
      <c r="A186" s="517" t="s">
        <v>7581</v>
      </c>
      <c r="B186" s="522" t="s">
        <v>7582</v>
      </c>
      <c r="C186" s="261" t="s">
        <v>7583</v>
      </c>
      <c r="D186" s="262" t="s">
        <v>7584</v>
      </c>
      <c r="F186" s="87" t="s">
        <v>7585</v>
      </c>
    </row>
    <row r="187">
      <c r="A187" s="518"/>
      <c r="B187" s="523"/>
    </row>
    <row r="188">
      <c r="A188" s="517" t="s">
        <v>7587</v>
      </c>
      <c r="B188" s="522" t="s">
        <v>7588</v>
      </c>
      <c r="C188" s="261" t="s">
        <v>7589</v>
      </c>
      <c r="D188" s="136" t="s">
        <v>7590</v>
      </c>
      <c r="F188" s="87" t="s">
        <v>7592</v>
      </c>
    </row>
    <row r="189">
      <c r="A189" s="518"/>
      <c r="B189" s="525" t="s">
        <v>7594</v>
      </c>
    </row>
    <row r="190">
      <c r="A190" s="517" t="s">
        <v>1803</v>
      </c>
      <c r="B190" s="526" t="s">
        <v>7595</v>
      </c>
      <c r="C190" s="261" t="s">
        <v>7596</v>
      </c>
      <c r="D190" s="136" t="s">
        <v>7597</v>
      </c>
      <c r="F190" s="87" t="s">
        <v>7598</v>
      </c>
    </row>
    <row r="191">
      <c r="A191" s="517" t="s">
        <v>7599</v>
      </c>
      <c r="B191" s="522" t="s">
        <v>7600</v>
      </c>
      <c r="C191" s="261" t="s">
        <v>7601</v>
      </c>
      <c r="D191" s="136" t="s">
        <v>7602</v>
      </c>
      <c r="F191" s="87" t="s">
        <v>7604</v>
      </c>
    </row>
    <row r="192">
      <c r="A192" s="518"/>
      <c r="B192" s="523"/>
    </row>
    <row r="193">
      <c r="A193" s="517" t="s">
        <v>7606</v>
      </c>
      <c r="B193" s="526" t="s">
        <v>7607</v>
      </c>
      <c r="C193" s="87" t="s">
        <v>1084</v>
      </c>
      <c r="D193" s="136" t="s">
        <v>7608</v>
      </c>
      <c r="F193" s="87" t="s">
        <v>7610</v>
      </c>
      <c r="G193" s="87" t="s">
        <v>7611</v>
      </c>
      <c r="H193" s="87" t="s">
        <v>7612</v>
      </c>
    </row>
    <row r="194">
      <c r="A194" s="517" t="s">
        <v>7613</v>
      </c>
      <c r="B194" s="526" t="s">
        <v>7614</v>
      </c>
      <c r="C194" s="87" t="s">
        <v>1084</v>
      </c>
      <c r="D194" s="136" t="s">
        <v>7615</v>
      </c>
      <c r="F194" s="87" t="s">
        <v>7618</v>
      </c>
      <c r="G194" s="87" t="s">
        <v>7619</v>
      </c>
    </row>
    <row r="195">
      <c r="A195" s="518"/>
    </row>
    <row r="196">
      <c r="A196" s="517" t="s">
        <v>7620</v>
      </c>
      <c r="B196" s="526" t="s">
        <v>7621</v>
      </c>
      <c r="C196" s="261" t="s">
        <v>7622</v>
      </c>
      <c r="D196" s="136" t="s">
        <v>7623</v>
      </c>
      <c r="F196" s="168" t="s">
        <v>7625</v>
      </c>
      <c r="G196" s="168" t="s">
        <v>7626</v>
      </c>
    </row>
    <row r="197">
      <c r="A197" s="518"/>
    </row>
    <row r="198">
      <c r="A198" s="87" t="s">
        <v>3216</v>
      </c>
      <c r="B198" s="87" t="s">
        <v>7629</v>
      </c>
      <c r="C198" s="87" t="s">
        <v>7456</v>
      </c>
      <c r="D198" s="136" t="s">
        <v>7630</v>
      </c>
      <c r="E198" s="87" t="s">
        <v>7632</v>
      </c>
      <c r="F198" s="87" t="s">
        <v>7633</v>
      </c>
    </row>
    <row r="199">
      <c r="A199" s="87" t="s">
        <v>7634</v>
      </c>
      <c r="B199" s="87" t="s">
        <v>7635</v>
      </c>
      <c r="C199" s="87" t="s">
        <v>7636</v>
      </c>
      <c r="F199" s="87" t="s">
        <v>7637</v>
      </c>
    </row>
    <row r="200">
      <c r="A200" s="398" t="s">
        <v>7638</v>
      </c>
      <c r="B200" s="527" t="s">
        <v>7639</v>
      </c>
      <c r="C200" s="475" t="s">
        <v>7640</v>
      </c>
      <c r="D200" s="90" t="s">
        <v>7641</v>
      </c>
      <c r="E200" s="508">
        <f>+919820083234</f>
        <v>919820083234</v>
      </c>
      <c r="F200" s="531" t="s">
        <v>7643</v>
      </c>
      <c r="G200" s="91"/>
      <c r="H200" s="91"/>
    </row>
    <row r="201">
      <c r="A201" s="102" t="s">
        <v>7646</v>
      </c>
      <c r="B201" s="102" t="s">
        <v>7647</v>
      </c>
      <c r="C201" s="102" t="s">
        <v>627</v>
      </c>
      <c r="D201" s="206" t="s">
        <v>7648</v>
      </c>
      <c r="E201" s="532">
        <f>+917022345178</f>
        <v>917022345178</v>
      </c>
      <c r="F201" s="17" t="s">
        <v>7652</v>
      </c>
    </row>
    <row r="202">
      <c r="A202" s="132" t="s">
        <v>7653</v>
      </c>
      <c r="B202" s="132" t="s">
        <v>7654</v>
      </c>
      <c r="C202" s="134" t="s">
        <v>7655</v>
      </c>
      <c r="D202" s="134"/>
      <c r="F202" s="87" t="s">
        <v>7656</v>
      </c>
      <c r="G202" s="87" t="s">
        <v>7657</v>
      </c>
    </row>
    <row r="203">
      <c r="A203" s="517" t="s">
        <v>7659</v>
      </c>
      <c r="B203" s="136" t="s">
        <v>7660</v>
      </c>
      <c r="C203" s="261" t="s">
        <v>7664</v>
      </c>
      <c r="F203" s="87" t="s">
        <v>7665</v>
      </c>
      <c r="G203" s="87" t="s">
        <v>7666</v>
      </c>
    </row>
    <row r="204">
      <c r="A204" s="132" t="s">
        <v>7667</v>
      </c>
      <c r="B204" s="132" t="s">
        <v>7668</v>
      </c>
      <c r="C204" s="134" t="s">
        <v>7669</v>
      </c>
      <c r="D204" s="134"/>
    </row>
    <row r="205">
      <c r="A205" s="517" t="s">
        <v>7670</v>
      </c>
      <c r="B205" s="526" t="s">
        <v>7672</v>
      </c>
      <c r="C205" s="87" t="s">
        <v>7508</v>
      </c>
      <c r="D205" s="136" t="s">
        <v>7673</v>
      </c>
      <c r="F205" s="87" t="s">
        <v>7674</v>
      </c>
    </row>
    <row r="206">
      <c r="A206" s="517" t="s">
        <v>7677</v>
      </c>
      <c r="B206" s="526" t="s">
        <v>7679</v>
      </c>
      <c r="C206" s="87" t="s">
        <v>7508</v>
      </c>
      <c r="D206" s="136" t="s">
        <v>7680</v>
      </c>
      <c r="F206" s="87" t="s">
        <v>7681</v>
      </c>
      <c r="G206" s="87" t="s">
        <v>7682</v>
      </c>
      <c r="H206" s="87" t="s">
        <v>7683</v>
      </c>
    </row>
    <row r="207">
      <c r="A207" s="132" t="s">
        <v>7684</v>
      </c>
      <c r="B207" s="132" t="s">
        <v>7685</v>
      </c>
      <c r="C207" s="134" t="s">
        <v>7508</v>
      </c>
      <c r="D207" s="134"/>
    </row>
    <row r="208">
      <c r="A208" s="517" t="s">
        <v>5128</v>
      </c>
      <c r="B208" s="136" t="s">
        <v>7686</v>
      </c>
      <c r="C208" s="261" t="s">
        <v>7689</v>
      </c>
      <c r="D208" s="136" t="s">
        <v>7690</v>
      </c>
      <c r="F208" s="87" t="s">
        <v>7692</v>
      </c>
    </row>
    <row r="209">
      <c r="A209" s="517" t="s">
        <v>7693</v>
      </c>
      <c r="B209" s="526" t="s">
        <v>7694</v>
      </c>
      <c r="C209" s="261" t="s">
        <v>7696</v>
      </c>
      <c r="D209" s="136" t="s">
        <v>7697</v>
      </c>
      <c r="F209" s="87" t="s">
        <v>7698</v>
      </c>
      <c r="G209" s="87" t="s">
        <v>7699</v>
      </c>
    </row>
    <row r="210">
      <c r="A210" s="517" t="s">
        <v>6376</v>
      </c>
      <c r="B210" s="526" t="s">
        <v>7703</v>
      </c>
      <c r="C210" s="87" t="s">
        <v>7508</v>
      </c>
      <c r="D210" s="136" t="s">
        <v>7704</v>
      </c>
      <c r="F210" s="87" t="s">
        <v>7706</v>
      </c>
      <c r="G210" s="87" t="s">
        <v>7707</v>
      </c>
    </row>
    <row r="211">
      <c r="A211" s="517" t="s">
        <v>7708</v>
      </c>
      <c r="B211" s="87" t="s">
        <v>7709</v>
      </c>
      <c r="C211" s="87" t="s">
        <v>1084</v>
      </c>
      <c r="D211" s="136" t="s">
        <v>7710</v>
      </c>
      <c r="F211" s="168" t="s">
        <v>7713</v>
      </c>
    </row>
    <row r="212">
      <c r="A212" s="517" t="s">
        <v>7714</v>
      </c>
      <c r="B212" s="526" t="s">
        <v>7715</v>
      </c>
      <c r="C212" s="261" t="s">
        <v>7716</v>
      </c>
      <c r="D212" s="136" t="s">
        <v>7717</v>
      </c>
      <c r="F212" s="87" t="s">
        <v>7719</v>
      </c>
    </row>
    <row r="213">
      <c r="A213" s="132" t="s">
        <v>7720</v>
      </c>
      <c r="B213" s="132" t="s">
        <v>7721</v>
      </c>
      <c r="C213" s="134" t="s">
        <v>7723</v>
      </c>
      <c r="D213" s="134"/>
    </row>
    <row r="214">
      <c r="A214" s="517" t="s">
        <v>7726</v>
      </c>
      <c r="B214" s="526" t="s">
        <v>7727</v>
      </c>
      <c r="C214" s="261" t="s">
        <v>7728</v>
      </c>
      <c r="D214" s="136" t="s">
        <v>7729</v>
      </c>
      <c r="F214" s="87" t="s">
        <v>7731</v>
      </c>
    </row>
    <row r="215">
      <c r="A215" s="517" t="s">
        <v>7732</v>
      </c>
      <c r="B215" s="534" t="s">
        <v>7733</v>
      </c>
      <c r="C215" s="87" t="s">
        <v>7508</v>
      </c>
      <c r="D215" s="136" t="s">
        <v>4928</v>
      </c>
      <c r="F215" s="87" t="s">
        <v>4930</v>
      </c>
      <c r="G215" s="87" t="s">
        <v>7736</v>
      </c>
    </row>
    <row r="216">
      <c r="A216" s="517" t="s">
        <v>5205</v>
      </c>
      <c r="B216" s="526" t="s">
        <v>7737</v>
      </c>
      <c r="C216" s="261" t="s">
        <v>7739</v>
      </c>
      <c r="D216" s="136" t="s">
        <v>7740</v>
      </c>
      <c r="F216" s="87" t="s">
        <v>7741</v>
      </c>
      <c r="G216" s="87" t="s">
        <v>7742</v>
      </c>
      <c r="H216" s="87" t="s">
        <v>7744</v>
      </c>
    </row>
    <row r="217">
      <c r="A217" s="517" t="s">
        <v>7746</v>
      </c>
      <c r="B217" s="526" t="s">
        <v>7748</v>
      </c>
      <c r="C217" s="87" t="s">
        <v>7508</v>
      </c>
      <c r="D217" s="136" t="s">
        <v>7749</v>
      </c>
      <c r="F217" s="87" t="s">
        <v>7750</v>
      </c>
      <c r="G217" s="87" t="s">
        <v>7751</v>
      </c>
    </row>
    <row r="218">
      <c r="A218" s="517" t="s">
        <v>5135</v>
      </c>
      <c r="B218" s="136" t="s">
        <v>7752</v>
      </c>
      <c r="C218" s="535" t="s">
        <v>7756</v>
      </c>
      <c r="F218" s="87" t="s">
        <v>7758</v>
      </c>
      <c r="G218" s="87" t="s">
        <v>7759</v>
      </c>
    </row>
    <row r="219">
      <c r="A219" s="517" t="s">
        <v>7760</v>
      </c>
      <c r="B219" s="526" t="s">
        <v>7761</v>
      </c>
      <c r="C219" s="261" t="s">
        <v>7762</v>
      </c>
      <c r="D219" s="136" t="s">
        <v>7763</v>
      </c>
      <c r="F219" s="87" t="s">
        <v>7765</v>
      </c>
      <c r="G219" s="87" t="s">
        <v>7766</v>
      </c>
    </row>
    <row r="220">
      <c r="A220" s="517" t="s">
        <v>7767</v>
      </c>
      <c r="B220" s="536" t="s">
        <v>7768</v>
      </c>
      <c r="C220" s="87" t="s">
        <v>7508</v>
      </c>
      <c r="F220" s="87" t="s">
        <v>7771</v>
      </c>
      <c r="G220" s="87" t="s">
        <v>7773</v>
      </c>
    </row>
    <row r="221">
      <c r="A221" s="132" t="s">
        <v>7774</v>
      </c>
      <c r="B221" s="132" t="s">
        <v>7775</v>
      </c>
      <c r="C221" s="134" t="s">
        <v>7723</v>
      </c>
      <c r="D221" s="134"/>
    </row>
    <row r="222">
      <c r="A222" s="517" t="s">
        <v>7776</v>
      </c>
      <c r="B222" s="537" t="s">
        <v>7777</v>
      </c>
      <c r="C222" s="87" t="s">
        <v>7508</v>
      </c>
      <c r="F222" s="87" t="s">
        <v>7778</v>
      </c>
      <c r="G222" s="87" t="s">
        <v>7779</v>
      </c>
      <c r="H222" s="87" t="s">
        <v>7780</v>
      </c>
    </row>
    <row r="223">
      <c r="A223" s="517" t="s">
        <v>7782</v>
      </c>
      <c r="B223" s="87" t="s">
        <v>7783</v>
      </c>
      <c r="C223" s="87" t="s">
        <v>7785</v>
      </c>
      <c r="D223" s="136" t="s">
        <v>7786</v>
      </c>
      <c r="F223" s="87" t="s">
        <v>7788</v>
      </c>
    </row>
    <row r="224">
      <c r="A224" s="517" t="s">
        <v>7789</v>
      </c>
      <c r="B224" s="87" t="s">
        <v>7790</v>
      </c>
      <c r="C224" s="87" t="s">
        <v>7791</v>
      </c>
      <c r="D224" s="136" t="s">
        <v>7792</v>
      </c>
      <c r="F224" s="87" t="s">
        <v>7795</v>
      </c>
    </row>
    <row r="225">
      <c r="A225" s="517" t="s">
        <v>7796</v>
      </c>
      <c r="B225" s="522" t="s">
        <v>7797</v>
      </c>
      <c r="C225" s="261" t="s">
        <v>7798</v>
      </c>
      <c r="D225" s="136" t="s">
        <v>7799</v>
      </c>
      <c r="E225" s="87">
        <v>9.845046407E9</v>
      </c>
      <c r="F225" s="168" t="s">
        <v>7801</v>
      </c>
    </row>
    <row r="226">
      <c r="A226" s="132" t="s">
        <v>7802</v>
      </c>
      <c r="B226" s="132" t="s">
        <v>7803</v>
      </c>
      <c r="C226" s="134" t="s">
        <v>7804</v>
      </c>
      <c r="D226" s="134"/>
    </row>
    <row r="227">
      <c r="A227" s="132" t="s">
        <v>7806</v>
      </c>
      <c r="B227" s="132" t="s">
        <v>7807</v>
      </c>
      <c r="C227" s="134" t="s">
        <v>7508</v>
      </c>
      <c r="D227" s="248" t="s">
        <v>7808</v>
      </c>
      <c r="E227" s="178">
        <f>+919820418100</f>
        <v>919820418100</v>
      </c>
      <c r="F227" s="87" t="s">
        <v>7812</v>
      </c>
      <c r="G227" s="87" t="s">
        <v>7814</v>
      </c>
    </row>
    <row r="228">
      <c r="A228" s="517" t="s">
        <v>7816</v>
      </c>
      <c r="B228" s="525" t="s">
        <v>7818</v>
      </c>
      <c r="C228" s="87" t="s">
        <v>7508</v>
      </c>
      <c r="D228" s="136" t="s">
        <v>7819</v>
      </c>
      <c r="F228" s="87" t="s">
        <v>7821</v>
      </c>
    </row>
    <row r="229">
      <c r="A229" s="132" t="s">
        <v>7822</v>
      </c>
      <c r="B229" s="132" t="s">
        <v>7823</v>
      </c>
      <c r="C229" s="134" t="s">
        <v>7824</v>
      </c>
      <c r="D229" s="134"/>
      <c r="F229" s="87" t="s">
        <v>7825</v>
      </c>
      <c r="G229" s="87" t="s">
        <v>7826</v>
      </c>
    </row>
    <row r="230">
      <c r="A230" s="517" t="s">
        <v>7828</v>
      </c>
      <c r="B230" s="526" t="s">
        <v>7830</v>
      </c>
      <c r="C230" s="87" t="s">
        <v>7508</v>
      </c>
      <c r="D230" s="136" t="s">
        <v>7832</v>
      </c>
      <c r="F230" s="87" t="s">
        <v>7834</v>
      </c>
      <c r="G230" s="87" t="s">
        <v>7835</v>
      </c>
    </row>
    <row r="231">
      <c r="A231" s="132" t="s">
        <v>7836</v>
      </c>
      <c r="B231" s="132" t="s">
        <v>7837</v>
      </c>
      <c r="C231" s="134" t="s">
        <v>7669</v>
      </c>
      <c r="D231" s="134"/>
    </row>
    <row r="232">
      <c r="A232" s="517" t="s">
        <v>5141</v>
      </c>
      <c r="B232" s="526" t="s">
        <v>7840</v>
      </c>
      <c r="C232" s="261" t="s">
        <v>7842</v>
      </c>
      <c r="D232" s="136" t="s">
        <v>7843</v>
      </c>
      <c r="F232" s="87" t="s">
        <v>7844</v>
      </c>
      <c r="G232" s="87" t="s">
        <v>7846</v>
      </c>
    </row>
    <row r="233">
      <c r="A233" s="132" t="s">
        <v>7847</v>
      </c>
      <c r="B233" s="132" t="s">
        <v>7848</v>
      </c>
      <c r="C233" s="134" t="s">
        <v>7849</v>
      </c>
      <c r="D233" s="134"/>
      <c r="F233" s="87" t="s">
        <v>7850</v>
      </c>
    </row>
    <row r="234">
      <c r="A234" s="132"/>
      <c r="B234" s="136" t="s">
        <v>7851</v>
      </c>
      <c r="C234" s="134"/>
      <c r="D234" s="134"/>
    </row>
    <row r="235">
      <c r="A235" s="517" t="s">
        <v>5194</v>
      </c>
      <c r="B235" s="526" t="s">
        <v>7854</v>
      </c>
      <c r="C235" s="87" t="s">
        <v>7855</v>
      </c>
      <c r="D235" s="136" t="s">
        <v>7856</v>
      </c>
      <c r="F235" s="87" t="s">
        <v>7857</v>
      </c>
      <c r="G235" s="87" t="s">
        <v>7858</v>
      </c>
    </row>
    <row r="236">
      <c r="A236" s="132" t="s">
        <v>7859</v>
      </c>
      <c r="B236" s="132" t="s">
        <v>7860</v>
      </c>
      <c r="C236" s="134" t="s">
        <v>7723</v>
      </c>
      <c r="D236" s="134"/>
    </row>
    <row r="237">
      <c r="A237" s="132" t="s">
        <v>3164</v>
      </c>
      <c r="B237" s="132" t="s">
        <v>7861</v>
      </c>
      <c r="C237" s="134" t="s">
        <v>7508</v>
      </c>
      <c r="D237" s="248" t="s">
        <v>7862</v>
      </c>
      <c r="E237" s="178">
        <f>+919902444429</f>
        <v>919902444429</v>
      </c>
      <c r="F237" s="87" t="s">
        <v>7865</v>
      </c>
      <c r="G237" s="87" t="s">
        <v>7866</v>
      </c>
    </row>
    <row r="238">
      <c r="A238" s="517" t="s">
        <v>7867</v>
      </c>
      <c r="B238" s="526" t="s">
        <v>7868</v>
      </c>
      <c r="C238" s="261" t="s">
        <v>7869</v>
      </c>
      <c r="D238" s="136" t="s">
        <v>7870</v>
      </c>
      <c r="F238" s="87" t="s">
        <v>7874</v>
      </c>
      <c r="G238" s="87" t="s">
        <v>7875</v>
      </c>
    </row>
    <row r="239">
      <c r="A239" s="220" t="s">
        <v>7876</v>
      </c>
      <c r="B239" s="220" t="s">
        <v>7878</v>
      </c>
      <c r="C239" s="133" t="s">
        <v>7508</v>
      </c>
      <c r="D239" s="539" t="s">
        <v>7879</v>
      </c>
      <c r="E239" s="414">
        <f>+919820144777</f>
        <v>919820144777</v>
      </c>
      <c r="F239" s="103" t="s">
        <v>7884</v>
      </c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</row>
    <row r="240">
      <c r="A240" s="517" t="s">
        <v>7887</v>
      </c>
      <c r="B240" s="526" t="s">
        <v>7888</v>
      </c>
      <c r="C240" s="87" t="s">
        <v>7689</v>
      </c>
      <c r="D240" s="136" t="s">
        <v>7889</v>
      </c>
      <c r="F240" s="87" t="s">
        <v>7891</v>
      </c>
    </row>
    <row r="241">
      <c r="A241" s="132" t="s">
        <v>3221</v>
      </c>
      <c r="B241" s="132" t="s">
        <v>7895</v>
      </c>
      <c r="C241" s="134" t="s">
        <v>7508</v>
      </c>
      <c r="D241" s="248" t="s">
        <v>7896</v>
      </c>
      <c r="E241" s="178">
        <f>+919880008339</f>
        <v>919880008339</v>
      </c>
      <c r="F241" s="87" t="s">
        <v>7898</v>
      </c>
    </row>
    <row r="242">
      <c r="A242" s="132" t="s">
        <v>7899</v>
      </c>
      <c r="B242" s="132" t="s">
        <v>7900</v>
      </c>
      <c r="C242" s="134" t="s">
        <v>7804</v>
      </c>
      <c r="D242" s="134"/>
      <c r="F242" s="87" t="s">
        <v>7901</v>
      </c>
    </row>
    <row r="243">
      <c r="A243" s="132" t="s">
        <v>7902</v>
      </c>
      <c r="B243" s="132" t="s">
        <v>7903</v>
      </c>
      <c r="C243" s="134" t="s">
        <v>7905</v>
      </c>
      <c r="D243" s="134"/>
    </row>
    <row r="244">
      <c r="A244" s="517" t="s">
        <v>7907</v>
      </c>
      <c r="B244" s="526" t="s">
        <v>7908</v>
      </c>
      <c r="C244" s="87" t="s">
        <v>7508</v>
      </c>
      <c r="D244" s="136" t="s">
        <v>7909</v>
      </c>
      <c r="F244" s="87" t="s">
        <v>7911</v>
      </c>
      <c r="G244" s="87" t="s">
        <v>7912</v>
      </c>
    </row>
    <row r="245">
      <c r="A245" s="517" t="s">
        <v>7913</v>
      </c>
      <c r="B245" s="536" t="s">
        <v>7914</v>
      </c>
      <c r="F245" s="87" t="s">
        <v>7919</v>
      </c>
      <c r="G245" s="87" t="s">
        <v>7920</v>
      </c>
      <c r="H245" s="87" t="s">
        <v>7921</v>
      </c>
    </row>
    <row r="246">
      <c r="A246" s="517" t="s">
        <v>7922</v>
      </c>
      <c r="B246" s="136" t="s">
        <v>7923</v>
      </c>
      <c r="C246" s="261" t="s">
        <v>7456</v>
      </c>
      <c r="F246" s="87" t="s">
        <v>7925</v>
      </c>
      <c r="G246" s="87" t="s">
        <v>7926</v>
      </c>
    </row>
    <row r="247">
      <c r="A247" s="518"/>
    </row>
    <row r="248">
      <c r="A248" s="518"/>
    </row>
    <row r="249">
      <c r="A249" s="518"/>
    </row>
    <row r="250">
      <c r="A250" s="517" t="s">
        <v>7930</v>
      </c>
    </row>
    <row r="251">
      <c r="A251" s="517" t="s">
        <v>5568</v>
      </c>
      <c r="B251" s="526" t="s">
        <v>7614</v>
      </c>
      <c r="C251" s="87" t="s">
        <v>7508</v>
      </c>
      <c r="D251" s="136" t="s">
        <v>7615</v>
      </c>
      <c r="E251" s="178">
        <f>+919818200715</f>
        <v>919818200715</v>
      </c>
      <c r="F251" s="168" t="s">
        <v>7619</v>
      </c>
      <c r="G251" s="168" t="s">
        <v>7932</v>
      </c>
    </row>
    <row r="252">
      <c r="A252" s="517" t="s">
        <v>7933</v>
      </c>
      <c r="B252" s="526" t="s">
        <v>7934</v>
      </c>
      <c r="C252" s="261" t="s">
        <v>7935</v>
      </c>
      <c r="D252" s="136" t="s">
        <v>7936</v>
      </c>
      <c r="F252" s="87" t="s">
        <v>7938</v>
      </c>
    </row>
    <row r="253">
      <c r="A253" s="517" t="s">
        <v>7939</v>
      </c>
      <c r="B253" s="526" t="s">
        <v>7940</v>
      </c>
      <c r="C253" s="261" t="s">
        <v>7941</v>
      </c>
      <c r="D253" s="136" t="s">
        <v>7942</v>
      </c>
      <c r="F253" s="87" t="s">
        <v>7946</v>
      </c>
    </row>
    <row r="254">
      <c r="A254" s="517" t="s">
        <v>2811</v>
      </c>
      <c r="B254" s="136" t="s">
        <v>7947</v>
      </c>
      <c r="C254" s="245" t="s">
        <v>7949</v>
      </c>
      <c r="D254" s="136" t="s">
        <v>7950</v>
      </c>
      <c r="F254" s="168" t="s">
        <v>7953</v>
      </c>
    </row>
    <row r="255">
      <c r="A255" s="517" t="s">
        <v>7954</v>
      </c>
      <c r="B255" s="540" t="s">
        <v>7955</v>
      </c>
      <c r="C255" s="245" t="s">
        <v>7959</v>
      </c>
      <c r="F255" s="168" t="s">
        <v>7960</v>
      </c>
    </row>
    <row r="256">
      <c r="A256" s="517" t="s">
        <v>7962</v>
      </c>
      <c r="B256" s="136" t="s">
        <v>7963</v>
      </c>
      <c r="C256" s="245" t="s">
        <v>7965</v>
      </c>
      <c r="F256" s="168" t="s">
        <v>7966</v>
      </c>
    </row>
    <row r="257">
      <c r="A257" s="517" t="s">
        <v>7967</v>
      </c>
      <c r="B257" s="540" t="s">
        <v>7968</v>
      </c>
      <c r="C257" s="245" t="s">
        <v>7970</v>
      </c>
      <c r="F257" s="168" t="s">
        <v>7971</v>
      </c>
    </row>
    <row r="258">
      <c r="A258" s="517" t="s">
        <v>7972</v>
      </c>
      <c r="B258" s="540" t="s">
        <v>7973</v>
      </c>
      <c r="C258" s="245" t="s">
        <v>7977</v>
      </c>
      <c r="F258" s="168" t="s">
        <v>7978</v>
      </c>
    </row>
    <row r="259">
      <c r="A259" s="517" t="s">
        <v>7979</v>
      </c>
      <c r="B259" s="136" t="s">
        <v>7980</v>
      </c>
      <c r="C259" s="245" t="s">
        <v>7982</v>
      </c>
      <c r="F259" s="168" t="s">
        <v>7983</v>
      </c>
      <c r="G259" s="168" t="s">
        <v>7984</v>
      </c>
      <c r="H259" s="168" t="s">
        <v>7985</v>
      </c>
    </row>
    <row r="260">
      <c r="A260" s="517" t="s">
        <v>7986</v>
      </c>
      <c r="B260" s="136" t="s">
        <v>7987</v>
      </c>
      <c r="C260" s="245" t="s">
        <v>7991</v>
      </c>
      <c r="F260" s="87" t="s">
        <v>7992</v>
      </c>
      <c r="G260" s="87" t="s">
        <v>7993</v>
      </c>
    </row>
    <row r="261">
      <c r="A261" s="517" t="s">
        <v>7994</v>
      </c>
      <c r="B261" s="136" t="s">
        <v>7996</v>
      </c>
      <c r="C261" s="245" t="s">
        <v>7999</v>
      </c>
      <c r="F261" s="87" t="s">
        <v>8000</v>
      </c>
    </row>
    <row r="262">
      <c r="A262" s="517" t="s">
        <v>8002</v>
      </c>
      <c r="B262" s="136" t="s">
        <v>8003</v>
      </c>
      <c r="C262" s="245" t="s">
        <v>8006</v>
      </c>
      <c r="F262" s="87" t="s">
        <v>8008</v>
      </c>
    </row>
    <row r="263">
      <c r="A263" s="517" t="s">
        <v>8009</v>
      </c>
      <c r="B263" s="540" t="s">
        <v>8010</v>
      </c>
      <c r="E263" s="178">
        <f>+919701990019</f>
        <v>919701990019</v>
      </c>
      <c r="F263" s="168" t="s">
        <v>8012</v>
      </c>
      <c r="G263" s="168" t="s">
        <v>8013</v>
      </c>
    </row>
    <row r="264">
      <c r="A264" s="517" t="s">
        <v>8014</v>
      </c>
      <c r="D264" s="540" t="s">
        <v>8015</v>
      </c>
      <c r="E264" s="178">
        <f>+919831054514</f>
        <v>919831054514</v>
      </c>
      <c r="F264" s="168" t="s">
        <v>8019</v>
      </c>
    </row>
    <row r="265">
      <c r="A265" s="517" t="s">
        <v>8020</v>
      </c>
      <c r="B265" s="136" t="s">
        <v>8021</v>
      </c>
      <c r="C265" s="245" t="s">
        <v>8024</v>
      </c>
      <c r="D265" s="541"/>
      <c r="F265" s="168" t="s">
        <v>8025</v>
      </c>
    </row>
    <row r="266">
      <c r="A266" s="517" t="s">
        <v>8026</v>
      </c>
      <c r="B266" s="136" t="s">
        <v>8027</v>
      </c>
      <c r="C266" s="245" t="s">
        <v>8031</v>
      </c>
      <c r="F266" s="87" t="s">
        <v>8032</v>
      </c>
    </row>
    <row r="267">
      <c r="A267" s="517" t="s">
        <v>8033</v>
      </c>
      <c r="B267" s="136" t="s">
        <v>8034</v>
      </c>
      <c r="F267" s="168" t="s">
        <v>8036</v>
      </c>
      <c r="G267" s="168" t="s">
        <v>8037</v>
      </c>
    </row>
    <row r="268">
      <c r="A268" s="517" t="s">
        <v>6704</v>
      </c>
      <c r="B268" s="136" t="s">
        <v>8039</v>
      </c>
      <c r="F268" s="87" t="s">
        <v>8041</v>
      </c>
    </row>
    <row r="269">
      <c r="A269" s="517" t="s">
        <v>8042</v>
      </c>
      <c r="D269" s="540" t="s">
        <v>8043</v>
      </c>
      <c r="F269" s="87" t="s">
        <v>8045</v>
      </c>
    </row>
    <row r="270">
      <c r="A270" s="517" t="s">
        <v>8046</v>
      </c>
      <c r="B270" s="136" t="s">
        <v>8047</v>
      </c>
      <c r="C270" s="245" t="s">
        <v>8051</v>
      </c>
      <c r="D270" s="541"/>
      <c r="E270" s="178">
        <f>+919322606117</f>
        <v>919322606117</v>
      </c>
      <c r="F270" s="168" t="s">
        <v>8053</v>
      </c>
      <c r="G270" s="168" t="s">
        <v>8054</v>
      </c>
    </row>
    <row r="271">
      <c r="A271" s="517" t="s">
        <v>8055</v>
      </c>
      <c r="B271" s="540" t="s">
        <v>8056</v>
      </c>
      <c r="E271" s="178">
        <f>+919342564780</f>
        <v>919342564780</v>
      </c>
      <c r="F271" s="168" t="s">
        <v>8059</v>
      </c>
      <c r="G271" s="168" t="s">
        <v>8060</v>
      </c>
    </row>
    <row r="272">
      <c r="A272" s="517" t="s">
        <v>8062</v>
      </c>
      <c r="B272" s="136" t="s">
        <v>8064</v>
      </c>
      <c r="C272" s="245" t="s">
        <v>8066</v>
      </c>
      <c r="F272" s="87" t="s">
        <v>8067</v>
      </c>
    </row>
    <row r="274">
      <c r="A274" s="517" t="s">
        <v>8068</v>
      </c>
    </row>
    <row r="275">
      <c r="A275" s="517" t="s">
        <v>8069</v>
      </c>
      <c r="B275" s="526" t="s">
        <v>8070</v>
      </c>
      <c r="C275" s="261" t="s">
        <v>8071</v>
      </c>
      <c r="F275" s="168" t="s">
        <v>8072</v>
      </c>
    </row>
    <row r="276">
      <c r="A276" s="517" t="s">
        <v>8074</v>
      </c>
      <c r="B276" s="526" t="s">
        <v>8076</v>
      </c>
      <c r="C276" s="261" t="s">
        <v>8078</v>
      </c>
      <c r="F276" s="168" t="s">
        <v>8079</v>
      </c>
    </row>
    <row r="277">
      <c r="A277" s="517" t="s">
        <v>8080</v>
      </c>
      <c r="B277" s="526" t="s">
        <v>8081</v>
      </c>
      <c r="C277" s="261" t="s">
        <v>8082</v>
      </c>
      <c r="F277" s="542" t="s">
        <v>8083</v>
      </c>
      <c r="G277" s="168" t="s">
        <v>8089</v>
      </c>
    </row>
    <row r="278">
      <c r="A278" s="517" t="s">
        <v>8090</v>
      </c>
      <c r="B278" s="526" t="s">
        <v>8091</v>
      </c>
      <c r="C278" s="261" t="s">
        <v>8092</v>
      </c>
      <c r="G278" s="168" t="s">
        <v>8093</v>
      </c>
    </row>
    <row r="279">
      <c r="A279" s="517" t="s">
        <v>8094</v>
      </c>
      <c r="B279" s="526" t="s">
        <v>8095</v>
      </c>
      <c r="C279" s="261" t="s">
        <v>8096</v>
      </c>
      <c r="F279" s="168" t="s">
        <v>8097</v>
      </c>
    </row>
    <row r="280">
      <c r="A280" s="517" t="s">
        <v>8098</v>
      </c>
      <c r="B280" s="526" t="s">
        <v>8099</v>
      </c>
      <c r="D280" s="136" t="s">
        <v>8102</v>
      </c>
      <c r="F280" s="168" t="s">
        <v>8104</v>
      </c>
      <c r="G280" s="168" t="s">
        <v>8105</v>
      </c>
    </row>
    <row r="281">
      <c r="A281" s="517" t="s">
        <v>8107</v>
      </c>
      <c r="B281" s="526" t="s">
        <v>8108</v>
      </c>
      <c r="D281" s="136" t="s">
        <v>8109</v>
      </c>
      <c r="F281" s="168" t="s">
        <v>8111</v>
      </c>
      <c r="G281" s="168" t="s">
        <v>8111</v>
      </c>
    </row>
    <row r="282">
      <c r="A282" s="517" t="s">
        <v>8113</v>
      </c>
      <c r="B282" s="526" t="s">
        <v>8114</v>
      </c>
      <c r="D282" s="136" t="s">
        <v>8115</v>
      </c>
      <c r="F282" s="87" t="s">
        <v>8117</v>
      </c>
      <c r="G282" s="87" t="s">
        <v>8118</v>
      </c>
    </row>
    <row r="283">
      <c r="A283" s="517" t="s">
        <v>8119</v>
      </c>
      <c r="B283" s="522" t="s">
        <v>8120</v>
      </c>
      <c r="D283" s="136" t="s">
        <v>8121</v>
      </c>
      <c r="F283" s="87" t="s">
        <v>8124</v>
      </c>
      <c r="G283" s="87" t="s">
        <v>8125</v>
      </c>
    </row>
    <row r="284">
      <c r="A284" s="517" t="s">
        <v>8126</v>
      </c>
      <c r="B284" s="522" t="s">
        <v>8127</v>
      </c>
      <c r="D284" s="136" t="s">
        <v>8128</v>
      </c>
      <c r="F284" s="168" t="s">
        <v>8130</v>
      </c>
    </row>
    <row r="285">
      <c r="A285" s="517" t="s">
        <v>8131</v>
      </c>
      <c r="B285" s="526" t="s">
        <v>8132</v>
      </c>
      <c r="D285" s="136" t="s">
        <v>8133</v>
      </c>
      <c r="F285" s="168" t="s">
        <v>8136</v>
      </c>
    </row>
    <row r="286">
      <c r="A286" s="517" t="s">
        <v>8137</v>
      </c>
      <c r="B286" s="526" t="s">
        <v>8138</v>
      </c>
      <c r="D286" s="136" t="s">
        <v>8139</v>
      </c>
      <c r="F286" s="87" t="s">
        <v>8140</v>
      </c>
      <c r="L286" s="168"/>
    </row>
    <row r="287">
      <c r="A287" s="517" t="s">
        <v>8142</v>
      </c>
      <c r="B287" s="526" t="s">
        <v>8143</v>
      </c>
      <c r="D287" s="136" t="s">
        <v>8144</v>
      </c>
      <c r="F287" s="168" t="s">
        <v>8145</v>
      </c>
      <c r="G287" s="168" t="s">
        <v>8147</v>
      </c>
    </row>
    <row r="288">
      <c r="A288" s="517" t="s">
        <v>8149</v>
      </c>
      <c r="B288" s="526" t="s">
        <v>8150</v>
      </c>
      <c r="D288" s="136" t="s">
        <v>8151</v>
      </c>
      <c r="F288" s="168" t="s">
        <v>8152</v>
      </c>
    </row>
    <row r="289">
      <c r="A289" s="517" t="s">
        <v>8154</v>
      </c>
      <c r="B289" s="526" t="s">
        <v>8155</v>
      </c>
      <c r="D289" s="136" t="s">
        <v>8156</v>
      </c>
      <c r="F289" s="87" t="s">
        <v>8158</v>
      </c>
    </row>
    <row r="290">
      <c r="A290" s="517" t="s">
        <v>8160</v>
      </c>
      <c r="B290" s="522" t="s">
        <v>8162</v>
      </c>
      <c r="C290" s="261" t="s">
        <v>8163</v>
      </c>
      <c r="F290" s="87" t="s">
        <v>8164</v>
      </c>
      <c r="G290" s="87" t="s">
        <v>8165</v>
      </c>
    </row>
    <row r="291">
      <c r="A291" s="517" t="s">
        <v>8166</v>
      </c>
      <c r="B291" s="526" t="s">
        <v>8168</v>
      </c>
      <c r="C291" s="261" t="s">
        <v>8169</v>
      </c>
      <c r="F291" s="87" t="s">
        <v>8170</v>
      </c>
      <c r="G291" s="87" t="s">
        <v>8171</v>
      </c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</row>
    <row r="292">
      <c r="A292" s="517" t="s">
        <v>8174</v>
      </c>
      <c r="B292" s="526" t="s">
        <v>8175</v>
      </c>
      <c r="C292" s="261" t="s">
        <v>8176</v>
      </c>
      <c r="F292" s="87" t="s">
        <v>8177</v>
      </c>
      <c r="G292" s="87" t="s">
        <v>8178</v>
      </c>
    </row>
    <row r="293">
      <c r="A293" s="517" t="s">
        <v>8179</v>
      </c>
      <c r="B293" s="526" t="s">
        <v>8180</v>
      </c>
      <c r="C293" s="261" t="s">
        <v>8183</v>
      </c>
      <c r="F293" s="87" t="s">
        <v>8185</v>
      </c>
    </row>
    <row r="294">
      <c r="A294" s="517" t="s">
        <v>8186</v>
      </c>
      <c r="B294" s="526" t="s">
        <v>8187</v>
      </c>
      <c r="C294" s="261" t="s">
        <v>8188</v>
      </c>
      <c r="F294" s="168" t="s">
        <v>8189</v>
      </c>
    </row>
    <row r="295">
      <c r="A295" s="518"/>
    </row>
    <row r="296">
      <c r="A296" s="517" t="s">
        <v>8191</v>
      </c>
    </row>
    <row r="297">
      <c r="A297" s="517" t="s">
        <v>8192</v>
      </c>
      <c r="B297" s="526" t="s">
        <v>6899</v>
      </c>
      <c r="C297" s="261" t="s">
        <v>8193</v>
      </c>
      <c r="F297" s="168" t="s">
        <v>8194</v>
      </c>
      <c r="G297" s="168" t="s">
        <v>8195</v>
      </c>
    </row>
    <row r="298">
      <c r="A298" s="517" t="s">
        <v>8196</v>
      </c>
      <c r="B298" s="526" t="s">
        <v>8197</v>
      </c>
      <c r="C298" s="261" t="s">
        <v>8198</v>
      </c>
      <c r="D298" s="136" t="s">
        <v>8199</v>
      </c>
      <c r="F298" s="87" t="s">
        <v>8202</v>
      </c>
      <c r="G298" s="87" t="s">
        <v>8203</v>
      </c>
    </row>
    <row r="299">
      <c r="A299" s="517" t="s">
        <v>8205</v>
      </c>
      <c r="B299" s="526" t="s">
        <v>8206</v>
      </c>
      <c r="D299" s="136" t="s">
        <v>8207</v>
      </c>
      <c r="F299" s="87" t="s">
        <v>8211</v>
      </c>
    </row>
    <row r="300">
      <c r="A300" s="517" t="s">
        <v>8212</v>
      </c>
      <c r="B300" s="526" t="s">
        <v>8213</v>
      </c>
      <c r="D300" s="136" t="s">
        <v>8214</v>
      </c>
      <c r="F300" s="168" t="s">
        <v>8216</v>
      </c>
    </row>
    <row r="301">
      <c r="A301" s="517" t="s">
        <v>8217</v>
      </c>
      <c r="B301" s="526" t="s">
        <v>8219</v>
      </c>
      <c r="D301" s="136" t="s">
        <v>8221</v>
      </c>
      <c r="F301" s="87" t="s">
        <v>8224</v>
      </c>
    </row>
    <row r="302">
      <c r="A302" s="517" t="s">
        <v>8225</v>
      </c>
    </row>
    <row r="303">
      <c r="A303" s="517" t="s">
        <v>8226</v>
      </c>
    </row>
    <row r="304">
      <c r="A304" s="517" t="s">
        <v>8227</v>
      </c>
    </row>
    <row r="305">
      <c r="A305" s="517" t="s">
        <v>8228</v>
      </c>
    </row>
    <row r="306">
      <c r="A306" s="517" t="s">
        <v>8229</v>
      </c>
    </row>
    <row r="307">
      <c r="A307" s="517" t="s">
        <v>8231</v>
      </c>
    </row>
    <row r="308">
      <c r="A308" s="517" t="s">
        <v>8233</v>
      </c>
    </row>
    <row r="309">
      <c r="A309" s="517" t="s">
        <v>8234</v>
      </c>
    </row>
    <row r="310">
      <c r="A310" s="543" t="s">
        <v>8235</v>
      </c>
    </row>
    <row r="311">
      <c r="A311" s="517" t="s">
        <v>8240</v>
      </c>
    </row>
    <row r="312">
      <c r="A312" s="543" t="s">
        <v>8241</v>
      </c>
    </row>
    <row r="313">
      <c r="A313" s="517" t="s">
        <v>8242</v>
      </c>
    </row>
    <row r="314">
      <c r="A314" s="517" t="s">
        <v>8243</v>
      </c>
    </row>
    <row r="315">
      <c r="A315" s="517" t="s">
        <v>8246</v>
      </c>
    </row>
    <row r="316">
      <c r="A316" s="517" t="s">
        <v>8248</v>
      </c>
    </row>
    <row r="317">
      <c r="A317" s="517" t="s">
        <v>8249</v>
      </c>
    </row>
    <row r="318">
      <c r="A318" s="517" t="s">
        <v>8250</v>
      </c>
    </row>
    <row r="319">
      <c r="A319" s="517" t="s">
        <v>8251</v>
      </c>
    </row>
    <row r="320">
      <c r="A320" s="517" t="s">
        <v>8252</v>
      </c>
    </row>
    <row r="321">
      <c r="A321" s="544" t="s">
        <v>8253</v>
      </c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</row>
    <row r="322">
      <c r="A322" s="545" t="s">
        <v>8258</v>
      </c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</row>
    <row r="323">
      <c r="A323" s="545" t="s">
        <v>8262</v>
      </c>
      <c r="B323" s="102" t="s">
        <v>8264</v>
      </c>
      <c r="C323" s="102" t="s">
        <v>8265</v>
      </c>
      <c r="D323" s="206" t="s">
        <v>8266</v>
      </c>
      <c r="E323" s="102"/>
      <c r="F323" s="102" t="s">
        <v>8269</v>
      </c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</row>
    <row r="324">
      <c r="A324" s="545" t="s">
        <v>8271</v>
      </c>
      <c r="B324" s="546" t="s">
        <v>8272</v>
      </c>
      <c r="C324" s="547" t="s">
        <v>8273</v>
      </c>
      <c r="D324" s="206" t="s">
        <v>8274</v>
      </c>
      <c r="E324" s="102"/>
      <c r="F324" s="191" t="s">
        <v>8277</v>
      </c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</row>
    <row r="325">
      <c r="A325" s="545" t="s">
        <v>8279</v>
      </c>
      <c r="B325" s="549" t="s">
        <v>8281</v>
      </c>
      <c r="C325" s="225"/>
      <c r="D325" s="206" t="s">
        <v>8283</v>
      </c>
      <c r="E325" s="102"/>
      <c r="F325" s="225" t="s">
        <v>8286</v>
      </c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</row>
    <row r="326">
      <c r="A326" s="545" t="s">
        <v>8290</v>
      </c>
      <c r="B326" s="551" t="s">
        <v>8291</v>
      </c>
      <c r="C326" s="547" t="s">
        <v>8292</v>
      </c>
      <c r="D326" s="206" t="s">
        <v>8293</v>
      </c>
      <c r="E326" s="102"/>
      <c r="F326" s="191" t="s">
        <v>8295</v>
      </c>
      <c r="G326" s="191" t="s">
        <v>8296</v>
      </c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</row>
    <row r="327">
      <c r="A327" s="545" t="s">
        <v>8300</v>
      </c>
      <c r="B327" s="551" t="s">
        <v>8301</v>
      </c>
      <c r="C327" s="549" t="s">
        <v>8302</v>
      </c>
      <c r="D327" s="206" t="s">
        <v>8303</v>
      </c>
      <c r="E327" s="102"/>
      <c r="F327" s="225" t="s">
        <v>8305</v>
      </c>
      <c r="G327" s="225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</row>
    <row r="328">
      <c r="A328" s="545" t="s">
        <v>8309</v>
      </c>
      <c r="B328" s="551" t="s">
        <v>2612</v>
      </c>
      <c r="C328" s="549" t="s">
        <v>8310</v>
      </c>
      <c r="D328" s="206" t="s">
        <v>8311</v>
      </c>
      <c r="E328" s="532">
        <f>+919925044440</f>
        <v>919925044440</v>
      </c>
      <c r="F328" s="191" t="s">
        <v>8316</v>
      </c>
      <c r="G328" s="191" t="s">
        <v>2613</v>
      </c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</row>
    <row r="329">
      <c r="A329" s="545" t="s">
        <v>8318</v>
      </c>
      <c r="B329" s="551" t="s">
        <v>8319</v>
      </c>
      <c r="C329" s="549" t="s">
        <v>8320</v>
      </c>
      <c r="D329" s="206" t="s">
        <v>8321</v>
      </c>
      <c r="E329" s="102"/>
      <c r="F329" s="225" t="s">
        <v>8324</v>
      </c>
      <c r="G329" s="225" t="s">
        <v>8325</v>
      </c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</row>
    <row r="330">
      <c r="A330" s="545" t="s">
        <v>8329</v>
      </c>
      <c r="B330" s="551" t="s">
        <v>8331</v>
      </c>
      <c r="C330" s="549" t="s">
        <v>8332</v>
      </c>
      <c r="D330" s="206" t="s">
        <v>8333</v>
      </c>
      <c r="E330" s="102"/>
      <c r="F330" s="102" t="s">
        <v>8335</v>
      </c>
      <c r="G330" s="102" t="s">
        <v>8336</v>
      </c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</row>
    <row r="331">
      <c r="A331" s="545" t="s">
        <v>8340</v>
      </c>
      <c r="B331" s="551" t="s">
        <v>8341</v>
      </c>
      <c r="C331" s="549" t="s">
        <v>8342</v>
      </c>
      <c r="D331" s="206" t="s">
        <v>8343</v>
      </c>
      <c r="E331" s="102"/>
      <c r="F331" s="102" t="s">
        <v>8345</v>
      </c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</row>
    <row r="332">
      <c r="A332" s="545" t="s">
        <v>8348</v>
      </c>
      <c r="B332" s="225"/>
      <c r="C332" s="225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</row>
    <row r="333">
      <c r="A333" s="545" t="s">
        <v>8352</v>
      </c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</row>
    <row r="334">
      <c r="A334" s="545" t="s">
        <v>8354</v>
      </c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</row>
    <row r="335">
      <c r="A335" s="545" t="s">
        <v>8357</v>
      </c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</row>
    <row r="336">
      <c r="A336" s="545" t="s">
        <v>8362</v>
      </c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</row>
    <row r="337">
      <c r="A337" s="545" t="s">
        <v>8364</v>
      </c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</row>
    <row r="338">
      <c r="A338" s="545" t="s">
        <v>8368</v>
      </c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</row>
    <row r="339">
      <c r="A339" s="545" t="s">
        <v>8372</v>
      </c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</row>
    <row r="340">
      <c r="A340" s="545" t="s">
        <v>8374</v>
      </c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</row>
    <row r="341">
      <c r="A341" s="545" t="s">
        <v>8378</v>
      </c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</row>
    <row r="342">
      <c r="A342" s="545" t="s">
        <v>8381</v>
      </c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</row>
    <row r="343">
      <c r="A343" s="552" t="s">
        <v>8384</v>
      </c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</row>
    <row r="344">
      <c r="A344" s="545" t="s">
        <v>8388</v>
      </c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</row>
    <row r="345">
      <c r="A345" s="545" t="s">
        <v>8392</v>
      </c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</row>
    <row r="346">
      <c r="A346" s="545" t="s">
        <v>8394</v>
      </c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</row>
    <row r="347">
      <c r="A347" s="545" t="s">
        <v>8399</v>
      </c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</row>
    <row r="348">
      <c r="A348" s="545" t="s">
        <v>8404</v>
      </c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</row>
    <row r="349">
      <c r="A349" s="545" t="s">
        <v>8406</v>
      </c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</row>
    <row r="350">
      <c r="A350" s="545" t="s">
        <v>8409</v>
      </c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</row>
    <row r="351">
      <c r="A351" s="225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</row>
    <row r="352">
      <c r="A352" s="544" t="s">
        <v>8415</v>
      </c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</row>
    <row r="353">
      <c r="A353" s="545" t="s">
        <v>8418</v>
      </c>
      <c r="B353" s="546" t="s">
        <v>8419</v>
      </c>
      <c r="C353" s="547" t="s">
        <v>8420</v>
      </c>
      <c r="D353" s="206" t="s">
        <v>8421</v>
      </c>
      <c r="E353" s="102"/>
      <c r="F353" s="102" t="s">
        <v>8424</v>
      </c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</row>
    <row r="354">
      <c r="A354" s="545" t="s">
        <v>8426</v>
      </c>
      <c r="B354" s="551" t="s">
        <v>8427</v>
      </c>
      <c r="C354" s="549" t="s">
        <v>8430</v>
      </c>
      <c r="D354" s="206" t="s">
        <v>8432</v>
      </c>
      <c r="E354" s="102"/>
      <c r="F354" s="102" t="s">
        <v>8434</v>
      </c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</row>
    <row r="355">
      <c r="A355" s="545" t="s">
        <v>8436</v>
      </c>
      <c r="B355" s="551" t="s">
        <v>8437</v>
      </c>
      <c r="C355" s="549" t="s">
        <v>8438</v>
      </c>
      <c r="D355" s="206" t="s">
        <v>8439</v>
      </c>
      <c r="E355" s="102"/>
      <c r="F355" s="102" t="s">
        <v>8443</v>
      </c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</row>
    <row r="356">
      <c r="A356" s="545" t="s">
        <v>8445</v>
      </c>
      <c r="B356" s="225"/>
      <c r="C356" s="225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</row>
    <row r="357">
      <c r="A357" s="545" t="s">
        <v>8449</v>
      </c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</row>
    <row r="358">
      <c r="A358" s="545" t="s">
        <v>8452</v>
      </c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</row>
    <row r="359">
      <c r="A359" s="545" t="s">
        <v>8456</v>
      </c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</row>
    <row r="360">
      <c r="A360" s="545" t="s">
        <v>8459</v>
      </c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</row>
    <row r="361">
      <c r="A361" s="545" t="s">
        <v>8461</v>
      </c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</row>
    <row r="362">
      <c r="A362" s="545" t="s">
        <v>8464</v>
      </c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</row>
    <row r="363">
      <c r="A363" s="225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</row>
    <row r="364">
      <c r="A364" s="557" t="s">
        <v>8469</v>
      </c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</row>
    <row r="365">
      <c r="A365" s="545" t="s">
        <v>8472</v>
      </c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</row>
    <row r="366">
      <c r="A366" s="545" t="s">
        <v>8474</v>
      </c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</row>
    <row r="367">
      <c r="A367" s="545" t="s">
        <v>8478</v>
      </c>
      <c r="B367" s="102" t="s">
        <v>8479</v>
      </c>
      <c r="C367" s="102" t="s">
        <v>8480</v>
      </c>
      <c r="D367" s="206" t="s">
        <v>8481</v>
      </c>
      <c r="E367" s="102"/>
      <c r="F367" s="191" t="s">
        <v>8484</v>
      </c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</row>
    <row r="368">
      <c r="A368" s="545" t="s">
        <v>8486</v>
      </c>
      <c r="B368" s="526" t="s">
        <v>8487</v>
      </c>
      <c r="C368" s="261" t="s">
        <v>8488</v>
      </c>
      <c r="D368" s="558" t="s">
        <v>8490</v>
      </c>
      <c r="E368" s="102"/>
      <c r="F368" s="216" t="s">
        <v>8495</v>
      </c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</row>
    <row r="369">
      <c r="A369" s="545" t="s">
        <v>8497</v>
      </c>
      <c r="B369" s="526" t="s">
        <v>7607</v>
      </c>
      <c r="C369" s="261" t="s">
        <v>8499</v>
      </c>
      <c r="D369" s="558" t="s">
        <v>7608</v>
      </c>
      <c r="E369" s="102"/>
      <c r="F369" s="216" t="s">
        <v>7612</v>
      </c>
      <c r="G369" s="216" t="s">
        <v>7611</v>
      </c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</row>
    <row r="370">
      <c r="A370" s="545" t="s">
        <v>8501</v>
      </c>
      <c r="B370" s="526" t="s">
        <v>8502</v>
      </c>
      <c r="C370" s="261" t="s">
        <v>8503</v>
      </c>
      <c r="D370" s="558" t="s">
        <v>8505</v>
      </c>
      <c r="E370" s="102"/>
      <c r="F370" s="168" t="s">
        <v>8506</v>
      </c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</row>
    <row r="371">
      <c r="A371" s="545" t="s">
        <v>8510</v>
      </c>
      <c r="B371" s="526" t="s">
        <v>8511</v>
      </c>
      <c r="C371" s="261" t="s">
        <v>8512</v>
      </c>
      <c r="D371" s="558" t="s">
        <v>8513</v>
      </c>
      <c r="E371" s="102"/>
      <c r="F371" s="216" t="s">
        <v>8516</v>
      </c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</row>
    <row r="372">
      <c r="A372" s="545" t="s">
        <v>8518</v>
      </c>
      <c r="B372" s="102" t="s">
        <v>8519</v>
      </c>
      <c r="C372" s="102" t="s">
        <v>1084</v>
      </c>
      <c r="D372" s="206" t="s">
        <v>8520</v>
      </c>
      <c r="E372" s="102"/>
      <c r="F372" s="191" t="s">
        <v>8523</v>
      </c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</row>
    <row r="373">
      <c r="A373" s="545" t="s">
        <v>8525</v>
      </c>
      <c r="B373" s="526" t="s">
        <v>8526</v>
      </c>
      <c r="C373" s="261" t="s">
        <v>8527</v>
      </c>
      <c r="D373" s="558" t="s">
        <v>8528</v>
      </c>
      <c r="E373" s="102"/>
      <c r="F373" s="225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</row>
    <row r="374">
      <c r="A374" s="545" t="s">
        <v>8532</v>
      </c>
      <c r="B374" s="522" t="s">
        <v>8534</v>
      </c>
      <c r="C374" s="261" t="s">
        <v>8535</v>
      </c>
      <c r="D374" s="558" t="s">
        <v>8536</v>
      </c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</row>
    <row r="375">
      <c r="A375" s="545" t="s">
        <v>8539</v>
      </c>
      <c r="B375" s="523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</row>
    <row r="376">
      <c r="A376" s="545" t="s">
        <v>8543</v>
      </c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</row>
    <row r="377">
      <c r="A377" s="545" t="s">
        <v>8548</v>
      </c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</row>
    <row r="378">
      <c r="A378" s="545" t="s">
        <v>8551</v>
      </c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</row>
    <row r="379">
      <c r="A379" s="545" t="s">
        <v>8556</v>
      </c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</row>
    <row r="380">
      <c r="A380" s="545" t="s">
        <v>8561</v>
      </c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</row>
    <row r="381">
      <c r="A381" s="545" t="s">
        <v>8565</v>
      </c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</row>
    <row r="382">
      <c r="A382" s="225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</row>
    <row r="383">
      <c r="A383" s="544" t="s">
        <v>8570</v>
      </c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</row>
    <row r="384">
      <c r="A384" s="545" t="s">
        <v>8577</v>
      </c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</row>
    <row r="385">
      <c r="A385" s="545" t="s">
        <v>8581</v>
      </c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</row>
    <row r="386">
      <c r="A386" s="545" t="s">
        <v>8582</v>
      </c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</row>
    <row r="387">
      <c r="A387" s="545" t="s">
        <v>8584</v>
      </c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</row>
    <row r="388">
      <c r="A388" s="545" t="s">
        <v>8587</v>
      </c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</row>
    <row r="389">
      <c r="A389" s="545" t="s">
        <v>8592</v>
      </c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</row>
    <row r="390">
      <c r="A390" s="545" t="s">
        <v>8596</v>
      </c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</row>
    <row r="391">
      <c r="A391" s="545" t="s">
        <v>8600</v>
      </c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</row>
    <row r="392">
      <c r="A392" s="545" t="s">
        <v>8604</v>
      </c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</row>
    <row r="393">
      <c r="A393" s="545" t="s">
        <v>8606</v>
      </c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</row>
    <row r="394">
      <c r="A394" s="545" t="s">
        <v>8607</v>
      </c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</row>
    <row r="395">
      <c r="A395" s="545" t="s">
        <v>8610</v>
      </c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</row>
    <row r="396">
      <c r="A396" s="545" t="s">
        <v>8613</v>
      </c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</row>
    <row r="397">
      <c r="A397" s="545" t="s">
        <v>8614</v>
      </c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</row>
    <row r="398">
      <c r="A398" s="545" t="s">
        <v>8618</v>
      </c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</row>
    <row r="399">
      <c r="A399" s="225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</row>
    <row r="401">
      <c r="A401" s="132"/>
      <c r="B401" s="132"/>
      <c r="C401" s="134"/>
      <c r="D401" s="134"/>
      <c r="E401" s="178"/>
    </row>
  </sheetData>
  <conditionalFormatting sqref="B1:B843 A262:A278 A383:A400">
    <cfRule type="expression" dxfId="0" priority="1">
      <formula>COUNTIF($B:$B, $B1) &gt; 1</formula>
    </cfRule>
  </conditionalFormatting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  <hyperlink r:id="rId56" ref="D60"/>
    <hyperlink r:id="rId57" ref="D61"/>
    <hyperlink r:id="rId58" ref="D62"/>
    <hyperlink r:id="rId59" ref="D63"/>
    <hyperlink r:id="rId60" ref="D64"/>
    <hyperlink r:id="rId61" ref="D65"/>
    <hyperlink r:id="rId62" ref="D66"/>
    <hyperlink r:id="rId63" ref="D67"/>
    <hyperlink r:id="rId64" ref="D68"/>
    <hyperlink r:id="rId65" ref="D69"/>
    <hyperlink r:id="rId66" ref="D70"/>
    <hyperlink r:id="rId67" ref="D71"/>
    <hyperlink r:id="rId68" ref="D72"/>
    <hyperlink r:id="rId69" ref="D73"/>
    <hyperlink r:id="rId70" ref="D74"/>
    <hyperlink r:id="rId71" ref="D75"/>
    <hyperlink r:id="rId72" ref="D76"/>
    <hyperlink r:id="rId73" ref="D77"/>
    <hyperlink r:id="rId74" ref="D78"/>
    <hyperlink r:id="rId75" ref="D79"/>
    <hyperlink r:id="rId76" ref="D80"/>
    <hyperlink r:id="rId77" ref="D81"/>
    <hyperlink r:id="rId78" ref="D82"/>
    <hyperlink r:id="rId79" ref="D83"/>
    <hyperlink r:id="rId80" ref="D85"/>
    <hyperlink r:id="rId81" ref="D87"/>
    <hyperlink r:id="rId82" ref="D88"/>
    <hyperlink r:id="rId83" ref="D89"/>
    <hyperlink r:id="rId84" ref="D90"/>
    <hyperlink r:id="rId85" ref="D91"/>
    <hyperlink r:id="rId86" ref="F91"/>
    <hyperlink r:id="rId87" ref="D93"/>
    <hyperlink r:id="rId88" ref="D94"/>
    <hyperlink r:id="rId89" ref="D95"/>
    <hyperlink r:id="rId90" ref="D96"/>
    <hyperlink r:id="rId91" ref="D97"/>
    <hyperlink r:id="rId92" ref="F98"/>
    <hyperlink r:id="rId93" ref="D99"/>
    <hyperlink r:id="rId94" ref="D100"/>
    <hyperlink r:id="rId95" ref="D101"/>
    <hyperlink r:id="rId96" ref="D102"/>
    <hyperlink r:id="rId97" ref="D103"/>
    <hyperlink r:id="rId98" ref="D104"/>
    <hyperlink r:id="rId99" ref="D105"/>
    <hyperlink r:id="rId100" ref="D106"/>
    <hyperlink r:id="rId101" ref="D107"/>
    <hyperlink r:id="rId102" ref="D108"/>
    <hyperlink r:id="rId103" ref="D109"/>
    <hyperlink r:id="rId104" ref="D110"/>
    <hyperlink r:id="rId105" ref="D111"/>
    <hyperlink r:id="rId106" ref="D112"/>
    <hyperlink r:id="rId107" ref="D113"/>
    <hyperlink r:id="rId108" ref="D114"/>
    <hyperlink r:id="rId109" ref="D115"/>
    <hyperlink r:id="rId110" ref="D116"/>
    <hyperlink r:id="rId111" ref="D117"/>
    <hyperlink r:id="rId112" ref="D118"/>
    <hyperlink r:id="rId113" ref="D119"/>
    <hyperlink r:id="rId114" ref="D120"/>
    <hyperlink r:id="rId115" ref="D121"/>
    <hyperlink r:id="rId116" ref="D122"/>
    <hyperlink r:id="rId117" ref="D123"/>
    <hyperlink r:id="rId118" ref="D124"/>
    <hyperlink r:id="rId119" ref="D125"/>
    <hyperlink r:id="rId120" ref="D126"/>
    <hyperlink r:id="rId121" ref="D127"/>
    <hyperlink r:id="rId122" ref="D128"/>
    <hyperlink r:id="rId123" ref="D129"/>
    <hyperlink r:id="rId124" ref="D130"/>
    <hyperlink r:id="rId125" ref="D178"/>
    <hyperlink r:id="rId126" ref="D180"/>
    <hyperlink r:id="rId127" ref="D182"/>
    <hyperlink r:id="rId128" ref="D184"/>
    <hyperlink r:id="rId129" ref="D186"/>
    <hyperlink r:id="rId130" ref="D188"/>
    <hyperlink r:id="rId131" ref="D190"/>
    <hyperlink r:id="rId132" ref="D191"/>
    <hyperlink r:id="rId133" ref="D193"/>
    <hyperlink r:id="rId134" ref="D194"/>
    <hyperlink r:id="rId135" ref="D196"/>
    <hyperlink r:id="rId136" ref="D198"/>
    <hyperlink r:id="rId137" ref="D200"/>
    <hyperlink r:id="rId138" ref="D201"/>
    <hyperlink r:id="rId139" ref="B203"/>
    <hyperlink r:id="rId140" ref="D205"/>
    <hyperlink r:id="rId141" ref="D206"/>
    <hyperlink r:id="rId142" ref="B208"/>
    <hyperlink r:id="rId143" ref="D208"/>
    <hyperlink r:id="rId144" ref="D209"/>
    <hyperlink r:id="rId145" ref="D210"/>
    <hyperlink r:id="rId146" ref="D211"/>
    <hyperlink r:id="rId147" ref="D212"/>
    <hyperlink r:id="rId148" ref="D214"/>
    <hyperlink r:id="rId149" ref="D215"/>
    <hyperlink r:id="rId150" ref="D216"/>
    <hyperlink r:id="rId151" ref="D217"/>
    <hyperlink r:id="rId152" ref="B218"/>
    <hyperlink r:id="rId153" ref="D219"/>
    <hyperlink r:id="rId154" ref="B220"/>
    <hyperlink r:id="rId155" ref="D223"/>
    <hyperlink r:id="rId156" ref="D224"/>
    <hyperlink r:id="rId157" ref="D225"/>
    <hyperlink r:id="rId158" ref="D227"/>
    <hyperlink r:id="rId159" ref="D228"/>
    <hyperlink r:id="rId160" ref="D230"/>
    <hyperlink r:id="rId161" ref="D232"/>
    <hyperlink r:id="rId162" ref="B234"/>
    <hyperlink r:id="rId163" ref="D235"/>
    <hyperlink r:id="rId164" ref="D237"/>
    <hyperlink r:id="rId165" ref="D238"/>
    <hyperlink r:id="rId166" ref="D239"/>
    <hyperlink r:id="rId167" ref="D240"/>
    <hyperlink r:id="rId168" ref="D241"/>
    <hyperlink r:id="rId169" ref="D244"/>
    <hyperlink r:id="rId170" ref="B245"/>
    <hyperlink r:id="rId171" ref="B246"/>
    <hyperlink r:id="rId172" ref="D251"/>
    <hyperlink r:id="rId173" ref="D252"/>
    <hyperlink r:id="rId174" ref="D253"/>
    <hyperlink r:id="rId175" ref="B254"/>
    <hyperlink r:id="rId176" ref="D254"/>
    <hyperlink r:id="rId177" ref="B255"/>
    <hyperlink r:id="rId178" ref="B256"/>
    <hyperlink r:id="rId179" ref="B257"/>
    <hyperlink r:id="rId180" ref="B258"/>
    <hyperlink r:id="rId181" ref="B259"/>
    <hyperlink r:id="rId182" ref="B260"/>
    <hyperlink r:id="rId183" ref="B261"/>
    <hyperlink r:id="rId184" ref="B262"/>
    <hyperlink r:id="rId185" ref="B263"/>
    <hyperlink r:id="rId186" ref="D264"/>
    <hyperlink r:id="rId187" ref="B265"/>
    <hyperlink r:id="rId188" ref="B266"/>
    <hyperlink r:id="rId189" ref="B267"/>
    <hyperlink r:id="rId190" ref="B268"/>
    <hyperlink r:id="rId191" ref="D269"/>
    <hyperlink r:id="rId192" ref="B270"/>
    <hyperlink r:id="rId193" ref="B271"/>
    <hyperlink r:id="rId194" ref="B272"/>
    <hyperlink r:id="rId195" ref="F277"/>
    <hyperlink r:id="rId196" ref="D280"/>
    <hyperlink r:id="rId197" ref="D281"/>
    <hyperlink r:id="rId198" ref="D282"/>
    <hyperlink r:id="rId199" ref="D283"/>
    <hyperlink r:id="rId200" ref="D284"/>
    <hyperlink r:id="rId201" ref="D285"/>
    <hyperlink r:id="rId202" ref="D286"/>
    <hyperlink r:id="rId203" ref="D287"/>
    <hyperlink r:id="rId204" ref="D288"/>
    <hyperlink r:id="rId205" ref="D289"/>
    <hyperlink r:id="rId206" ref="D298"/>
    <hyperlink r:id="rId207" ref="D299"/>
    <hyperlink r:id="rId208" ref="D300"/>
    <hyperlink r:id="rId209" ref="D301"/>
    <hyperlink r:id="rId210" ref="A310"/>
    <hyperlink r:id="rId211" ref="A312"/>
    <hyperlink r:id="rId212" ref="A321"/>
    <hyperlink r:id="rId213" ref="D323"/>
    <hyperlink r:id="rId214" ref="D324"/>
    <hyperlink r:id="rId215" ref="D325"/>
    <hyperlink r:id="rId216" ref="D326"/>
    <hyperlink r:id="rId217" ref="D327"/>
    <hyperlink r:id="rId218" ref="D328"/>
    <hyperlink r:id="rId219" ref="D329"/>
    <hyperlink r:id="rId220" ref="D330"/>
    <hyperlink r:id="rId221" ref="D331"/>
    <hyperlink r:id="rId222" ref="A343"/>
    <hyperlink r:id="rId223" ref="A352"/>
    <hyperlink r:id="rId224" ref="D353"/>
    <hyperlink r:id="rId225" ref="D354"/>
    <hyperlink r:id="rId226" ref="D355"/>
    <hyperlink r:id="rId227" ref="D367"/>
    <hyperlink r:id="rId228" ref="D368"/>
    <hyperlink r:id="rId229" ref="D369"/>
    <hyperlink r:id="rId230" ref="D370"/>
    <hyperlink r:id="rId231" ref="D371"/>
    <hyperlink r:id="rId232" ref="D372"/>
    <hyperlink r:id="rId233" ref="D373"/>
    <hyperlink r:id="rId234" ref="D374"/>
    <hyperlink r:id="rId235" ref="A383"/>
  </hyperlinks>
  <drawing r:id="rId236"/>
</worksheet>
</file>